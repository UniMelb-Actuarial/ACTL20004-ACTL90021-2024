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dolphus\Desktop\"/>
    </mc:Choice>
  </mc:AlternateContent>
  <xr:revisionPtr revIDLastSave="0" documentId="13_ncr:1_{5D8679C2-6132-4F29-83C7-27B9B645DB66}" xr6:coauthVersionLast="47" xr6:coauthVersionMax="47" xr10:uidLastSave="{00000000-0000-0000-0000-000000000000}"/>
  <bookViews>
    <workbookView xWindow="-120" yWindow="-120" windowWidth="29040" windowHeight="15840" firstSheet="8" activeTab="9"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Simulations'!$X$4:$X$10003</definedName>
    <definedName name="_xlchart.v1.1" hidden="1">'M6.6 Simulations'!$B$13</definedName>
    <definedName name="_xlchart.v1.2" hidden="1">'M6.6 Simulations'!$B$14:$B$10013</definedName>
    <definedName name="_xlchart.v1.3" hidden="1">'M6.6 Simulations'!$O$4:$O$10003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 i="15" l="1" a="1"/>
  <c r="V4" i="15" s="1"/>
  <c r="M4" i="15" a="1"/>
  <c r="M4" i="15" s="1"/>
  <c r="B15" i="15" a="1"/>
  <c r="B15" i="15" s="1"/>
  <c r="B4" i="15" a="1"/>
  <c r="B4" i="15" s="1"/>
  <c r="I29" i="12"/>
  <c r="P38" i="12" a="1"/>
  <c r="P38" i="12" s="1"/>
  <c r="N205" i="9"/>
  <c r="AG8" i="13" a="1"/>
  <c r="AG8" i="13" s="1"/>
  <c r="AH8" i="13" s="1" a="1"/>
  <c r="AH8" i="13" s="1"/>
  <c r="AA24" i="13"/>
  <c r="Z24" i="13"/>
  <c r="E34" i="13"/>
  <c r="X4" i="13" a="1"/>
  <c r="X4" i="13" s="1"/>
  <c r="O4" i="13" a="1"/>
  <c r="O4" i="13" s="1"/>
  <c r="B14" i="13" a="1"/>
  <c r="B14" i="13" s="1"/>
  <c r="I5" i="13" a="1"/>
  <c r="I5" i="13" s="1"/>
  <c r="D5" i="13" a="1"/>
  <c r="D5" i="13" s="1"/>
  <c r="B5" i="13"/>
  <c r="P39" i="12" a="1"/>
  <c r="P39" i="12" s="1"/>
  <c r="F11" i="12" a="1"/>
  <c r="F11" i="12" s="1"/>
  <c r="F6" i="12" a="1"/>
  <c r="F6" i="12" s="1"/>
  <c r="R210" i="9" a="1"/>
  <c r="R210" i="9"/>
  <c r="N210" i="9"/>
  <c r="N209" i="9"/>
  <c r="H207" i="9"/>
  <c r="H206" i="9"/>
  <c r="B187" i="9" a="1"/>
  <c r="B187" i="9"/>
  <c r="B9" i="1"/>
  <c r="F176" i="9" a="1"/>
  <c r="F176" i="9" s="1"/>
  <c r="A176" i="9" a="1"/>
  <c r="A176" i="9" s="1"/>
  <c r="A12" i="9" a="1"/>
  <c r="A12" i="9" s="1"/>
  <c r="H152" i="9" a="1"/>
  <c r="H15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B3" i="9" a="1"/>
  <c r="B3" i="9" s="1"/>
  <c r="B7" i="9" s="1" a="1"/>
  <c r="B7"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F153" i="9"/>
  <c r="B176" i="9"/>
  <c r="I207" i="9"/>
  <c r="R209" i="9"/>
  <c r="AG7" i="13"/>
  <c r="L152" i="9"/>
  <c r="I39" i="12" a="1"/>
  <c r="J29" i="12"/>
  <c r="H6" i="12"/>
  <c r="J37" i="9"/>
  <c r="X3" i="13"/>
  <c r="M31" i="9"/>
  <c r="F152" i="9"/>
  <c r="D152" i="9"/>
  <c r="O3" i="13"/>
  <c r="N197" i="9"/>
  <c r="I38" i="12" a="1"/>
  <c r="I67" i="12" a="1"/>
  <c r="M189" i="9"/>
  <c r="P45" i="12"/>
  <c r="D14" i="9" a="1"/>
  <c r="B152" i="9"/>
  <c r="O209" i="9"/>
  <c r="H197" i="9"/>
  <c r="I33" i="12" a="1"/>
  <c r="B12" i="9"/>
  <c r="B13" i="13"/>
  <c r="H187" i="9"/>
  <c r="P44" i="12"/>
  <c r="F44" i="12"/>
  <c r="I31" i="9"/>
  <c r="D4" i="13"/>
  <c r="J64" i="12"/>
  <c r="I4" i="13"/>
  <c r="H11" i="12"/>
  <c r="J33" i="12"/>
  <c r="T197" i="9"/>
  <c r="B4" i="13"/>
  <c r="L153" i="9"/>
  <c r="I152" i="9"/>
  <c r="I12" i="9"/>
  <c r="N204" i="9"/>
  <c r="F45" i="12"/>
  <c r="G176" i="9"/>
  <c r="L67" i="12"/>
  <c r="L12" i="9"/>
  <c r="I64" i="12" a="1"/>
  <c r="O210" i="9"/>
  <c r="I206" i="9"/>
  <c r="AG6" i="13"/>
  <c r="I64" i="12" l="1"/>
  <c r="I67" i="12"/>
  <c r="I38" i="12"/>
  <c r="I33" i="12"/>
  <c r="I39" i="12"/>
  <c r="T198" i="9"/>
  <c r="N198" i="9"/>
  <c r="H198" i="9" a="1"/>
  <c r="H198" i="9" s="1"/>
  <c r="H188" i="9" a="1"/>
  <c r="H188" i="9" s="1"/>
  <c r="M190" i="9" a="1"/>
  <c r="M190" i="9" s="1"/>
  <c r="Z20" i="13"/>
  <c r="AA20" i="13"/>
  <c r="D31" i="13"/>
  <c r="E31" i="13"/>
  <c r="Q20" i="13"/>
  <c r="R20" i="13"/>
  <c r="T199" i="9"/>
  <c r="T200" i="9"/>
  <c r="T201" i="9"/>
  <c r="N199" i="9"/>
  <c r="N200" i="9"/>
  <c r="N201" i="9"/>
  <c r="I35" i="9" a="1"/>
  <c r="I35" i="9" s="1"/>
  <c r="I34" i="9" a="1"/>
  <c r="I34" i="9" s="1"/>
  <c r="I33" i="9" a="1"/>
  <c r="I33" i="9" s="1"/>
  <c r="I32" i="9" a="1"/>
  <c r="I32" i="9" s="1"/>
  <c r="M35" i="9" a="1"/>
  <c r="M35" i="9" s="1"/>
  <c r="M34" i="9" a="1"/>
  <c r="M34" i="9" s="1"/>
  <c r="M33" i="9" a="1"/>
  <c r="M33" i="9" s="1"/>
  <c r="A152" i="9"/>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G160" i="1" a="1"/>
  <c r="G160" i="1" s="1"/>
  <c r="E160" i="1" a="1"/>
  <c r="E160" i="1" s="1"/>
  <c r="A160" i="1" a="1"/>
  <c r="A160" i="1" s="1"/>
  <c r="I18" i="1"/>
  <c r="G18" i="1"/>
  <c r="E18" i="1" a="1"/>
  <c r="E18" i="1" s="1"/>
  <c r="C18" i="1" a="1"/>
  <c r="C18" i="1" s="1"/>
  <c r="A18" i="1" a="1"/>
  <c r="A18" i="1" s="1"/>
  <c r="N9" i="1"/>
  <c r="J9" i="1"/>
  <c r="F9" i="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tc={F73317AD-2338-C446-8E48-6719AA927BD8}</author>
    <author>tc={AAFA770F-5E85-144B-9179-AF7F5981525F}</author>
  </authors>
  <commentList>
    <comment ref="C16" authorId="0" shapeId="0" xr:uid="{F73317AD-2338-C446-8E48-6719AA927BD8}">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AAFA770F-5E85-144B-9179-AF7F5981525F}">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<sst xmlns="http://schemas.openxmlformats.org/spreadsheetml/2006/main" count="578" uniqueCount="313">
  <si>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</si>
  <si>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</si>
  <si>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</si>
  <si>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</si>
  <si>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</si>
  <si>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</si>
  <si>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</si>
  <si>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</si>
  <si>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</si>
  <si>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</si>
  <si>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</si>
  <si>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</si>
  <si>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</si>
  <si>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</si>
  <si>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</si>
  <si>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</si>
  <si>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</si>
  <si>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</si>
  <si>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</si>
  <si>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</si>
  <si>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</si>
  <si>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</si>
  <si>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</si>
  <si>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</si>
  <si>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</si>
  <si>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</si>
  <si>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</si>
  <si>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</si>
  <si>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</si>
  <si>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</si>
  <si>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</si>
  <si>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</si>
  <si>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</si>
  <si>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</si>
  <si>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</si>
  <si>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</si>
  <si>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</si>
  <si>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</si>
  <si>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</si>
  <si>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</si>
  <si>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</si>
  <si>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</si>
  <si>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</si>
  <si>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</si>
  <si>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</si>
  <si>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</si>
  <si>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</si>
  <si>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</si>
  <si>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</si>
  <si>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</si>
  <si>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</si>
  <si>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</si>
  <si>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</si>
  <si>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</si>
  <si>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</si>
  <si>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</si>
  <si>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</si>
  <si>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</si>
  <si>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</si>
  <si>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</si>
  <si>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</si>
  <si>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</si>
  <si>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</si>
  <si>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</si>
  <si>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</si>
  <si>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</si>
  <si>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</si>
  <si>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</si>
  <si>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</si>
  <si>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</si>
  <si>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</si>
  <si>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</si>
  <si>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</si>
  <si>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</si>
  <si>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</si>
  <si>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</si>
  <si>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</si>
  <si>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</si>
  <si>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</si>
  <si>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</si>
  <si>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</si>
  <si>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</si>
  <si>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</si>
  <si>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</si>
  <si>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</si>
  <si>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</si>
  <si>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</si>
  <si>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 special: Chapter 11, pages 518-530</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</si>
  <si>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</si>
  <si>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</si>
  <si>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</si>
  <si>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</si>
  <si>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</si>
  <si>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</si>
  <si>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</si>
  <si>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</si>
  <si>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</si>
  <si>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</si>
  <si>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</si>
  <si>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</si>
  <si>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</si>
  <si>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</si>
  <si>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</si>
  <si>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</si>
  <si>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</si>
  <si>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</si>
  <si>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</si>
  <si>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</si>
  <si>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</si>
  <si>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</si>
  <si>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</si>
  <si>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</si>
  <si>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</si>
  <si>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</si>
  <si>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</si>
  <si>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</si>
  <si>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</si>
  <si>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</si>
  <si>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</si>
  <si>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</si>
  <si>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</si>
  <si>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</si>
  <si>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</si>
  <si>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</si>
  <si>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</si>
  <si>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</si>
  <si>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</si>
  <si>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</si>
  <si>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</si>
  <si>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</si>
  <si>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</si>
  <si>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</si>
  <si>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</si>
  <si>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</si>
  <si>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</si>
  <si>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</si>
  <si>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</si>
  <si>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</si>
  <si>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</si>
  <si>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</si>
  <si>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</si>
  <si>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</si>
  <si>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</si>
  <si>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</si>
  <si>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</si>
  <si>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</si>
  <si>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</si>
  <si>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</si>
  <si>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</si>
  <si>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</si>
  <si>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</si>
  <si>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</si>
  <si>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</si>
  <si>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</si>
  <si>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</si>
  <si>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</si>
  <si>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</si>
  <si>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</si>
  <si>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</si>
  <si>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</si>
  <si>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</si>
  <si>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</si>
  <si>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</si>
  <si>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</si>
  <si>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</si>
  <si>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</si>
  <si>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</si>
  <si>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You don't need to offset by columns, so 0 as the third argument.</t>
  </si>
  <si>
    <t>Dec</t>
  </si>
  <si>
    <t>Then you select the number of rows between starting and ending mont.</t>
  </si>
  <si>
    <t>And you select 2 columns, which is the original width of your table.</t>
  </si>
  <si>
    <t>ADDRESS</t>
  </si>
  <si>
    <t>find the address of the specified rows and columns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</si>
  <si>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</si>
  <si>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</si>
  <si>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</si>
  <si>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</si>
  <si>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</si>
  <si>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</si>
  <si>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</si>
  <si>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</si>
  <si>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</si>
  <si>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</si>
  <si>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</si>
  <si>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</si>
  <si>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</si>
  <si>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</si>
  <si>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</si>
  <si>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</si>
  <si>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</si>
  <si>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</si>
  <si>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</si>
  <si>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</si>
  <si>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</si>
  <si>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</si>
  <si>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</si>
  <si>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</si>
  <si>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</si>
  <si>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</si>
  <si>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</si>
  <si>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</si>
  <si>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</si>
  <si>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</si>
  <si>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</si>
  <si>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</si>
  <si>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</si>
  <si>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</si>
  <si>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</si>
  <si>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</si>
  <si>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</si>
  <si>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</si>
  <si>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</si>
  <si>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F55</t>
  </si>
  <si>
    <t>bottom right</t>
  </si>
  <si>
    <t>H57</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</si>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</sst>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_);_(* \(#,##0\);_(* &quot;-&quot;_);_(@_)"/>
    <numFmt numFmtId="165" formatCode="_(* #,##0.00_);_(* \(#,##0.00\);_(* &quot;-&quot;??_);_(@_)"/>
    <numFmt numFmtId="166" formatCode="0.000"/>
    <numFmt numFmtId="167" formatCode="0.0"/>
    <numFmt numFmtId="168" formatCode="0.0%"/>
    <numFmt numFmtId="169" formatCode="_(* #,##0_);_(* \(#,##0\);_(* &quot;-&quot;??_);_(@_)"/>
  </numFmts>
  <fonts count="22">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164" fontId="10" fillId="0" borderId="0" xfId="0" applyNumberFormat="1" applyFont="1"/>
    <xf numFmtId="166"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7" fontId="9" fillId="0" borderId="0" xfId="0" applyNumberFormat="1" applyFont="1"/>
    <xf numFmtId="167" fontId="11" fillId="0" borderId="0" xfId="0" applyNumberFormat="1" applyFont="1"/>
    <xf numFmtId="167" fontId="9" fillId="0" borderId="12" xfId="0" applyNumberFormat="1" applyFont="1" applyBorder="1"/>
    <xf numFmtId="167"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6" fontId="10" fillId="0" borderId="0" xfId="0" applyNumberFormat="1" applyFont="1"/>
    <xf numFmtId="167" fontId="10" fillId="0" borderId="0" xfId="0" applyNumberFormat="1" applyFont="1"/>
    <xf numFmtId="166" fontId="10" fillId="2" borderId="0" xfId="0" applyNumberFormat="1" applyFont="1" applyFill="1"/>
    <xf numFmtId="166" fontId="10" fillId="3" borderId="0" xfId="0" applyNumberFormat="1" applyFont="1" applyFill="1"/>
    <xf numFmtId="166" fontId="10" fillId="4" borderId="0" xfId="0" applyNumberFormat="1" applyFont="1" applyFill="1"/>
    <xf numFmtId="0" fontId="9" fillId="5" borderId="0" xfId="0" applyFont="1" applyFill="1"/>
    <xf numFmtId="0" fontId="9" fillId="0" borderId="0" xfId="0" applyFont="1" applyAlignment="1">
      <alignment horizontal="center"/>
    </xf>
    <xf numFmtId="168"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164" fontId="9" fillId="0" borderId="0" xfId="0" applyNumberFormat="1" applyFont="1"/>
    <xf numFmtId="169" fontId="11" fillId="0" borderId="0" xfId="0" applyNumberFormat="1" applyFont="1"/>
    <xf numFmtId="169" fontId="9" fillId="0" borderId="0" xfId="0" applyNumberFormat="1" applyFont="1"/>
    <xf numFmtId="164" fontId="8" fillId="0" borderId="0" xfId="0" applyNumberFormat="1" applyFont="1"/>
    <xf numFmtId="9" fontId="9" fillId="0" borderId="0" xfId="2" applyFont="1"/>
    <xf numFmtId="165" fontId="9" fillId="0" borderId="0" xfId="0" applyNumberFormat="1" applyFont="1"/>
    <xf numFmtId="164" fontId="8" fillId="0" borderId="10" xfId="0" applyNumberFormat="1" applyFont="1" applyBorder="1"/>
    <xf numFmtId="164" fontId="11" fillId="0" borderId="0" xfId="0" applyNumberFormat="1" applyFont="1"/>
    <xf numFmtId="169" fontId="10" fillId="0" borderId="10" xfId="0" applyNumberFormat="1" applyFont="1" applyBorder="1"/>
    <xf numFmtId="169"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6" fontId="0" fillId="0" borderId="0" xfId="0" applyNumberFormat="1"/>
    <xf numFmtId="166" fontId="0" fillId="0" borderId="6" xfId="0" applyNumberFormat="1" applyBorder="1"/>
    <xf numFmtId="166" fontId="0" fillId="0" borderId="8" xfId="0" applyNumberFormat="1" applyBorder="1"/>
    <xf numFmtId="166" fontId="0" fillId="0" borderId="9" xfId="0" applyNumberFormat="1" applyBorder="1"/>
    <xf numFmtId="0" fontId="0" fillId="0" borderId="15" xfId="0" applyBorder="1"/>
    <xf numFmtId="0" fontId="0" fillId="2" borderId="15" xfId="0" applyFill="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 (1).xlsm]M6.2 -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_xlchart.v1.1</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66925" y="28003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1300" y="647700"/>
              <a:ext cx="496252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563975" y="600075"/>
              <a:ext cx="46291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57150</xdr:rowOff>
        </xdr:from>
        <xdr:to>
          <xdr:col>9</xdr:col>
          <xdr:colOff>276225</xdr:colOff>
          <xdr:row>3</xdr:row>
          <xdr:rowOff>104775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recorded_example1</a:t>
              </a:r>
            </a:p>
            <a:p>
              <a:pPr algn="ctr" rtl="0">
                <a:defRPr sz="1000"/>
              </a:pPr>
              <a:endParaRPr lang="en-US" sz="1200" b="0" i="0" u="none" strike="noStrike" baseline="0">
                <a:solidFill>
                  <a:srgbClr val="000000"/>
                </a:solidFill>
                <a:latin typeface="Calibri"/>
                <a:cs typeface="Calibri"/>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47625</xdr:rowOff>
        </xdr:from>
        <xdr:to>
          <xdr:col>16</xdr:col>
          <xdr:colOff>409575</xdr:colOff>
          <xdr:row>12</xdr:row>
          <xdr:rowOff>95250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recorded_example1_edit</a:t>
              </a:r>
            </a:p>
            <a:p>
              <a:pPr algn="ctr" rtl="0">
                <a:defRPr sz="1000"/>
              </a:pPr>
              <a:endParaRPr lang="en-US" sz="12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314325</xdr:colOff>
          <xdr:row>12</xdr:row>
          <xdr:rowOff>142875</xdr:rowOff>
        </xdr:from>
        <xdr:to>
          <xdr:col>10</xdr:col>
          <xdr:colOff>514350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171450</xdr:rowOff>
        </xdr:from>
        <xdr:to>
          <xdr:col>24</xdr:col>
          <xdr:colOff>590550</xdr:colOff>
          <xdr:row>15</xdr:row>
          <xdr:rowOff>123825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28575</xdr:colOff>
          <xdr:row>16</xdr:row>
          <xdr:rowOff>19050</xdr:rowOff>
        </xdr:from>
        <xdr:to>
          <xdr:col>7</xdr:col>
          <xdr:colOff>600075</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14</xdr:row>
          <xdr:rowOff>76200</xdr:rowOff>
        </xdr:from>
        <xdr:to>
          <xdr:col>7</xdr:col>
          <xdr:colOff>676275</xdr:colOff>
          <xdr:row>15</xdr:row>
          <xdr:rowOff>28575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4</xdr:row>
          <xdr:rowOff>19050</xdr:rowOff>
        </xdr:from>
        <xdr:to>
          <xdr:col>29</xdr:col>
          <xdr:colOff>523875</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19050</xdr:rowOff>
        </xdr:from>
        <xdr:to>
          <xdr:col>39</xdr:col>
          <xdr:colOff>295275</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F73317AD-2338-C446-8E48-6719AA927BD8}">
    <text>Note how the formula proceeds to the second condition only if the first is not verified.</text>
  </threadedComment>
  <threadedComment ref="E16" dT="2023-08-17T09:47:37.39" personId="{41D526D4-9D67-3148-83A7-7F4FDCAD8DB6}" id="{AAFA770F-5E85-144B-9179-AF7F5981525F}">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defaultColWidth="11" defaultRowHeight="15.75"/>
  <sheetData>
    <row r="1" spans="1:19">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c r="A2" s="13" t="s">
        <v>1</v>
      </c>
      <c r="B2">
        <v>1</v>
      </c>
      <c r="C2">
        <v>1</v>
      </c>
      <c r="D2">
        <v>1</v>
      </c>
      <c r="E2">
        <v>1</v>
      </c>
      <c r="F2">
        <v>1</v>
      </c>
      <c r="G2">
        <v>1</v>
      </c>
      <c r="H2">
        <v>1</v>
      </c>
      <c r="I2">
        <v>1</v>
      </c>
      <c r="J2">
        <v>1</v>
      </c>
      <c r="K2">
        <v>1</v>
      </c>
      <c r="L2">
        <v>1</v>
      </c>
      <c r="M2">
        <v>1</v>
      </c>
      <c r="N2">
        <v>0.5</v>
      </c>
      <c r="O2">
        <v>0</v>
      </c>
      <c r="P2">
        <v>1</v>
      </c>
      <c r="Q2">
        <v>1</v>
      </c>
      <c r="R2">
        <v>0.5</v>
      </c>
      <c r="S2">
        <v>1</v>
      </c>
    </row>
    <row r="3" spans="1:19">
      <c r="A3" s="13" t="s">
        <v>2</v>
      </c>
      <c r="B3">
        <v>1</v>
      </c>
      <c r="C3">
        <v>0.5</v>
      </c>
      <c r="D3">
        <v>0.5</v>
      </c>
      <c r="E3">
        <v>1</v>
      </c>
      <c r="F3">
        <v>2</v>
      </c>
      <c r="G3">
        <v>2</v>
      </c>
      <c r="H3">
        <v>1</v>
      </c>
      <c r="I3">
        <v>1</v>
      </c>
      <c r="J3">
        <v>1</v>
      </c>
      <c r="K3">
        <v>1</v>
      </c>
      <c r="L3">
        <v>1</v>
      </c>
      <c r="M3">
        <v>2</v>
      </c>
      <c r="N3">
        <v>0.5</v>
      </c>
      <c r="O3">
        <v>1</v>
      </c>
      <c r="P3">
        <v>0.5</v>
      </c>
      <c r="Q3">
        <v>1</v>
      </c>
      <c r="R3">
        <v>2</v>
      </c>
      <c r="S3">
        <v>1</v>
      </c>
    </row>
    <row r="4" spans="1:19">
      <c r="A4" s="13" t="s">
        <v>3</v>
      </c>
      <c r="B4">
        <v>1</v>
      </c>
      <c r="C4">
        <v>2</v>
      </c>
      <c r="D4">
        <v>0.5</v>
      </c>
      <c r="E4">
        <v>1</v>
      </c>
      <c r="F4">
        <v>0.5</v>
      </c>
      <c r="G4">
        <v>1</v>
      </c>
      <c r="H4">
        <v>1</v>
      </c>
      <c r="I4">
        <v>1</v>
      </c>
      <c r="J4">
        <v>2</v>
      </c>
      <c r="K4">
        <v>1</v>
      </c>
      <c r="L4">
        <v>1</v>
      </c>
      <c r="M4">
        <v>1</v>
      </c>
      <c r="N4">
        <v>2</v>
      </c>
      <c r="O4">
        <v>1</v>
      </c>
      <c r="P4">
        <v>0.5</v>
      </c>
      <c r="Q4">
        <v>1</v>
      </c>
      <c r="R4">
        <v>1</v>
      </c>
      <c r="S4">
        <v>1</v>
      </c>
    </row>
    <row r="5" spans="1:19">
      <c r="A5" s="13" t="s">
        <v>4</v>
      </c>
      <c r="B5">
        <v>1</v>
      </c>
      <c r="C5">
        <v>1</v>
      </c>
      <c r="D5">
        <v>2</v>
      </c>
      <c r="E5">
        <v>0.5</v>
      </c>
      <c r="F5">
        <v>0.5</v>
      </c>
      <c r="G5">
        <v>1</v>
      </c>
      <c r="H5">
        <v>1</v>
      </c>
      <c r="I5">
        <v>1</v>
      </c>
      <c r="J5">
        <v>0</v>
      </c>
      <c r="K5">
        <v>2</v>
      </c>
      <c r="L5">
        <v>1</v>
      </c>
      <c r="M5">
        <v>1</v>
      </c>
      <c r="N5">
        <v>1</v>
      </c>
      <c r="O5">
        <v>1</v>
      </c>
      <c r="P5">
        <v>0.5</v>
      </c>
      <c r="Q5">
        <v>1</v>
      </c>
      <c r="R5">
        <v>1</v>
      </c>
      <c r="S5">
        <v>1</v>
      </c>
    </row>
    <row r="6" spans="1:19">
      <c r="A6" s="13" t="s">
        <v>5</v>
      </c>
      <c r="B6">
        <v>1</v>
      </c>
      <c r="C6">
        <v>0.5</v>
      </c>
      <c r="D6">
        <v>2</v>
      </c>
      <c r="E6">
        <v>1</v>
      </c>
      <c r="F6">
        <v>0.5</v>
      </c>
      <c r="G6">
        <v>1</v>
      </c>
      <c r="H6">
        <v>1</v>
      </c>
      <c r="I6">
        <v>0.5</v>
      </c>
      <c r="J6">
        <v>2</v>
      </c>
      <c r="K6">
        <v>0.5</v>
      </c>
      <c r="L6">
        <v>1</v>
      </c>
      <c r="M6">
        <v>0.5</v>
      </c>
      <c r="N6">
        <v>2</v>
      </c>
      <c r="O6">
        <v>1</v>
      </c>
      <c r="P6">
        <v>0.5</v>
      </c>
      <c r="Q6">
        <v>1</v>
      </c>
      <c r="R6">
        <v>0.5</v>
      </c>
      <c r="S6">
        <v>1</v>
      </c>
    </row>
    <row r="7" spans="1:19">
      <c r="A7" s="13" t="s">
        <v>6</v>
      </c>
      <c r="B7">
        <v>1</v>
      </c>
      <c r="C7">
        <v>0.5</v>
      </c>
      <c r="D7">
        <v>0.5</v>
      </c>
      <c r="E7">
        <v>1</v>
      </c>
      <c r="F7">
        <v>2</v>
      </c>
      <c r="G7">
        <v>0.5</v>
      </c>
      <c r="H7">
        <v>1</v>
      </c>
      <c r="I7">
        <v>1</v>
      </c>
      <c r="J7">
        <v>2</v>
      </c>
      <c r="K7">
        <v>2</v>
      </c>
      <c r="L7">
        <v>1</v>
      </c>
      <c r="M7">
        <v>1</v>
      </c>
      <c r="N7">
        <v>1</v>
      </c>
      <c r="O7">
        <v>1</v>
      </c>
      <c r="P7">
        <v>2</v>
      </c>
      <c r="Q7">
        <v>1</v>
      </c>
      <c r="R7">
        <v>0.5</v>
      </c>
      <c r="S7">
        <v>1</v>
      </c>
    </row>
    <row r="8" spans="1:19">
      <c r="A8" s="13" t="s">
        <v>7</v>
      </c>
      <c r="B8">
        <v>2</v>
      </c>
      <c r="C8">
        <v>1</v>
      </c>
      <c r="D8">
        <v>1</v>
      </c>
      <c r="E8">
        <v>1</v>
      </c>
      <c r="F8">
        <v>1</v>
      </c>
      <c r="G8">
        <v>2</v>
      </c>
      <c r="H8">
        <v>1</v>
      </c>
      <c r="I8">
        <v>0.5</v>
      </c>
      <c r="J8">
        <v>1</v>
      </c>
      <c r="K8">
        <v>0.5</v>
      </c>
      <c r="L8">
        <v>0.5</v>
      </c>
      <c r="M8">
        <v>0.5</v>
      </c>
      <c r="N8">
        <v>2</v>
      </c>
      <c r="O8">
        <v>0</v>
      </c>
      <c r="P8">
        <v>1</v>
      </c>
      <c r="Q8">
        <v>2</v>
      </c>
      <c r="R8">
        <v>2</v>
      </c>
      <c r="S8">
        <v>0.5</v>
      </c>
    </row>
    <row r="9" spans="1:19">
      <c r="A9" s="13" t="s">
        <v>8</v>
      </c>
      <c r="B9">
        <v>1</v>
      </c>
      <c r="C9">
        <v>1</v>
      </c>
      <c r="D9">
        <v>1</v>
      </c>
      <c r="E9">
        <v>1</v>
      </c>
      <c r="F9">
        <v>2</v>
      </c>
      <c r="G9">
        <v>1</v>
      </c>
      <c r="H9">
        <v>1</v>
      </c>
      <c r="I9">
        <v>0.5</v>
      </c>
      <c r="J9">
        <v>0.5</v>
      </c>
      <c r="K9">
        <v>1</v>
      </c>
      <c r="L9">
        <v>1</v>
      </c>
      <c r="M9">
        <v>1</v>
      </c>
      <c r="N9">
        <v>0.5</v>
      </c>
      <c r="O9">
        <v>0.5</v>
      </c>
      <c r="P9">
        <v>1</v>
      </c>
      <c r="Q9">
        <v>1</v>
      </c>
      <c r="R9">
        <v>0</v>
      </c>
      <c r="S9">
        <v>2</v>
      </c>
    </row>
    <row r="10" spans="1:19">
      <c r="A10" s="13" t="s">
        <v>9</v>
      </c>
      <c r="B10">
        <v>1</v>
      </c>
      <c r="C10">
        <v>2</v>
      </c>
      <c r="D10">
        <v>1</v>
      </c>
      <c r="E10">
        <v>2</v>
      </c>
      <c r="F10">
        <v>0.5</v>
      </c>
      <c r="G10">
        <v>1</v>
      </c>
      <c r="H10">
        <v>1</v>
      </c>
      <c r="I10">
        <v>2</v>
      </c>
      <c r="J10">
        <v>1</v>
      </c>
      <c r="K10">
        <v>0</v>
      </c>
      <c r="L10">
        <v>1</v>
      </c>
      <c r="M10">
        <v>0.5</v>
      </c>
      <c r="N10">
        <v>2</v>
      </c>
      <c r="O10">
        <v>1</v>
      </c>
      <c r="P10">
        <v>1</v>
      </c>
      <c r="Q10">
        <v>1</v>
      </c>
      <c r="R10">
        <v>2</v>
      </c>
      <c r="S10">
        <v>1</v>
      </c>
    </row>
    <row r="11" spans="1:19">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c r="A12" s="13" t="s">
        <v>11</v>
      </c>
      <c r="B12">
        <v>1</v>
      </c>
      <c r="C12">
        <v>1</v>
      </c>
      <c r="D12">
        <v>1</v>
      </c>
      <c r="E12">
        <v>1</v>
      </c>
      <c r="F12">
        <v>1</v>
      </c>
      <c r="G12">
        <v>1</v>
      </c>
      <c r="H12">
        <v>2</v>
      </c>
      <c r="I12">
        <v>2</v>
      </c>
      <c r="J12">
        <v>1</v>
      </c>
      <c r="K12">
        <v>1</v>
      </c>
      <c r="L12">
        <v>0.5</v>
      </c>
      <c r="M12">
        <v>1</v>
      </c>
      <c r="N12">
        <v>1</v>
      </c>
      <c r="O12">
        <v>1</v>
      </c>
      <c r="P12">
        <v>1</v>
      </c>
      <c r="Q12">
        <v>0</v>
      </c>
      <c r="R12">
        <v>0.5</v>
      </c>
      <c r="S12">
        <v>1</v>
      </c>
    </row>
    <row r="13" spans="1:19">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c r="A15" s="13" t="s">
        <v>14</v>
      </c>
      <c r="B15">
        <v>0</v>
      </c>
      <c r="C15">
        <v>1</v>
      </c>
      <c r="D15">
        <v>1</v>
      </c>
      <c r="E15">
        <v>1</v>
      </c>
      <c r="F15">
        <v>1</v>
      </c>
      <c r="G15">
        <v>1</v>
      </c>
      <c r="H15">
        <v>1</v>
      </c>
      <c r="I15">
        <v>1</v>
      </c>
      <c r="J15">
        <v>1</v>
      </c>
      <c r="K15">
        <v>1</v>
      </c>
      <c r="L15">
        <v>2</v>
      </c>
      <c r="M15">
        <v>1</v>
      </c>
      <c r="N15">
        <v>1</v>
      </c>
      <c r="O15">
        <v>2</v>
      </c>
      <c r="P15">
        <v>1</v>
      </c>
      <c r="Q15">
        <v>0.5</v>
      </c>
      <c r="R15">
        <v>1</v>
      </c>
      <c r="S15">
        <v>1</v>
      </c>
    </row>
    <row r="16" spans="1:19">
      <c r="A16" s="13" t="s">
        <v>15</v>
      </c>
      <c r="B16">
        <v>1</v>
      </c>
      <c r="C16">
        <v>1</v>
      </c>
      <c r="D16">
        <v>1</v>
      </c>
      <c r="E16">
        <v>1</v>
      </c>
      <c r="F16">
        <v>1</v>
      </c>
      <c r="G16">
        <v>1</v>
      </c>
      <c r="H16">
        <v>1</v>
      </c>
      <c r="I16">
        <v>1</v>
      </c>
      <c r="J16">
        <v>1</v>
      </c>
      <c r="K16">
        <v>1</v>
      </c>
      <c r="L16">
        <v>1</v>
      </c>
      <c r="M16">
        <v>1</v>
      </c>
      <c r="N16">
        <v>1</v>
      </c>
      <c r="O16">
        <v>1</v>
      </c>
      <c r="P16">
        <v>2</v>
      </c>
      <c r="Q16">
        <v>1</v>
      </c>
      <c r="R16">
        <v>0.5</v>
      </c>
      <c r="S16">
        <v>0</v>
      </c>
    </row>
    <row r="17" spans="1:19">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defaultColWidth="11" defaultRowHeight="15.75"/>
  <sheetData>
    <row r="1" spans="1:22" ht="18">
      <c r="A1" s="15" t="s">
        <v>21</v>
      </c>
    </row>
    <row r="3" spans="1:2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topLeftCell="A12" zoomScale="140" zoomScaleNormal="140" workbookViewId="0">
      <selection activeCell="C18" sqref="C18"/>
    </sheetView>
  </sheetViews>
  <sheetFormatPr defaultColWidth="11" defaultRowHeight="15.75"/>
  <sheetData>
    <row r="1" spans="1:16">
      <c r="A1" s="12" t="s">
        <v>80</v>
      </c>
    </row>
    <row r="2" spans="1:16" ht="16.5" thickBot="1"/>
    <row r="3" spans="1:16">
      <c r="B3" s="3">
        <v>1</v>
      </c>
      <c r="C3" s="4">
        <v>2</v>
      </c>
      <c r="D3" s="5">
        <v>3</v>
      </c>
    </row>
    <row r="4" spans="1:16">
      <c r="B4" s="6">
        <v>4</v>
      </c>
      <c r="C4">
        <v>5</v>
      </c>
      <c r="D4" s="7">
        <v>6</v>
      </c>
    </row>
    <row r="5" spans="1:16" ht="16.5" thickBot="1">
      <c r="B5" s="8">
        <v>7</v>
      </c>
      <c r="C5" s="9">
        <v>8</v>
      </c>
      <c r="D5" s="10">
        <v>9</v>
      </c>
    </row>
    <row r="7" spans="1:16">
      <c r="A7" s="11" t="s">
        <v>81</v>
      </c>
    </row>
    <row r="9" spans="1:16">
      <c r="B9" s="73">
        <f>B3</f>
        <v>1</v>
      </c>
      <c r="C9" s="2"/>
      <c r="D9" s="2"/>
      <c r="F9" s="2">
        <f>B$3</f>
        <v>1</v>
      </c>
      <c r="G9" s="2"/>
      <c r="H9" s="2"/>
      <c r="J9" s="2">
        <f>$B3</f>
        <v>1</v>
      </c>
      <c r="K9" s="2"/>
      <c r="L9" s="2"/>
      <c r="N9" s="2">
        <f>$B$3</f>
        <v>1</v>
      </c>
      <c r="O9" s="2"/>
      <c r="P9" s="2"/>
    </row>
    <row r="10" spans="1:16">
      <c r="B10" s="2"/>
      <c r="C10" s="2"/>
      <c r="D10" s="2"/>
      <c r="F10" s="2"/>
      <c r="G10" s="2"/>
      <c r="H10" s="2"/>
      <c r="J10" s="2"/>
      <c r="K10" s="2"/>
      <c r="L10" s="2"/>
      <c r="N10" s="2"/>
      <c r="O10" s="2"/>
      <c r="P10" s="2"/>
    </row>
    <row r="11" spans="1:16">
      <c r="B11" s="2"/>
      <c r="C11" s="2"/>
      <c r="D11" s="2"/>
      <c r="F11" s="2"/>
      <c r="G11" s="2"/>
      <c r="H11" s="2"/>
      <c r="J11" s="2"/>
      <c r="K11" s="2"/>
      <c r="L11" s="2"/>
      <c r="N11" s="2"/>
      <c r="O11" s="2"/>
      <c r="P11" s="2"/>
    </row>
    <row r="13" spans="1:16" s="1" customFormat="1"/>
    <row r="14" spans="1:16">
      <c r="A14" s="12" t="s">
        <v>82</v>
      </c>
    </row>
    <row r="16" spans="1:16">
      <c r="A16" s="11" t="s">
        <v>83</v>
      </c>
      <c r="C16" s="11" t="s">
        <v>84</v>
      </c>
      <c r="E16" s="11" t="s">
        <v>84</v>
      </c>
      <c r="G16" s="11" t="s">
        <v>85</v>
      </c>
      <c r="I16" s="11" t="s">
        <v>86</v>
      </c>
    </row>
    <row r="18" spans="1:9">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72">
        <f>_xlfn.MINIFS(matches_played,squad,"Australia",year,"&gt;2010")</f>
        <v>4</v>
      </c>
    </row>
    <row r="19" spans="1:9">
      <c r="A19" s="2" t="str">
        <v/>
      </c>
      <c r="C19" s="2" t="str">
        <v>bla</v>
      </c>
      <c r="E19" s="2" t="str">
        <v>bla</v>
      </c>
    </row>
    <row r="20" spans="1:9">
      <c r="A20" s="2" t="str">
        <v/>
      </c>
      <c r="C20" s="2" t="str">
        <v>bla</v>
      </c>
      <c r="E20" s="2" t="str">
        <v>bla</v>
      </c>
    </row>
    <row r="21" spans="1:9">
      <c r="A21" s="2" t="str">
        <v/>
      </c>
      <c r="C21" s="2" t="str">
        <v>bla</v>
      </c>
      <c r="E21" s="2" t="str">
        <v>bla</v>
      </c>
    </row>
    <row r="22" spans="1:9">
      <c r="A22" s="2" t="str">
        <v/>
      </c>
      <c r="C22" s="2" t="str">
        <v>bla</v>
      </c>
      <c r="E22" s="2" t="str">
        <v>bla</v>
      </c>
    </row>
    <row r="23" spans="1:9">
      <c r="A23" s="2" t="str">
        <v/>
      </c>
      <c r="C23" s="2" t="str">
        <v>bla</v>
      </c>
      <c r="E23" s="2" t="str">
        <v>bla</v>
      </c>
    </row>
    <row r="24" spans="1:9">
      <c r="A24" s="2" t="str">
        <v/>
      </c>
      <c r="C24" s="2" t="str">
        <v>bla</v>
      </c>
      <c r="E24" s="2" t="str">
        <v>bla</v>
      </c>
    </row>
    <row r="25" spans="1:9">
      <c r="A25" s="2" t="str">
        <v>England</v>
      </c>
      <c r="C25" s="2" t="str">
        <v>England</v>
      </c>
      <c r="E25" s="2" t="str">
        <v>England</v>
      </c>
    </row>
    <row r="26" spans="1:9">
      <c r="A26" s="2" t="str">
        <v/>
      </c>
      <c r="C26" s="2" t="str">
        <v>bla</v>
      </c>
      <c r="E26" s="2" t="str">
        <v>bla</v>
      </c>
    </row>
    <row r="27" spans="1:9">
      <c r="A27" s="2" t="str">
        <v/>
      </c>
      <c r="C27" s="2" t="str">
        <v>bla</v>
      </c>
      <c r="E27" s="2" t="str">
        <v>bla</v>
      </c>
    </row>
    <row r="28" spans="1:9">
      <c r="A28" s="2" t="str">
        <v/>
      </c>
      <c r="C28" s="2" t="str">
        <v>bla</v>
      </c>
      <c r="E28" s="2" t="str">
        <v>bla</v>
      </c>
    </row>
    <row r="29" spans="1:9">
      <c r="A29" s="2" t="str">
        <v/>
      </c>
      <c r="C29" s="2" t="str">
        <v>bla</v>
      </c>
      <c r="E29" s="2" t="str">
        <v>bla</v>
      </c>
      <c r="H29" s="72"/>
    </row>
    <row r="30" spans="1:9">
      <c r="A30" s="2" t="str">
        <v/>
      </c>
      <c r="C30" s="2" t="str">
        <v>bla</v>
      </c>
      <c r="E30" s="2" t="str">
        <v>bla</v>
      </c>
    </row>
    <row r="31" spans="1:9">
      <c r="A31" s="2" t="str">
        <v/>
      </c>
      <c r="C31" s="2" t="str">
        <v>bla</v>
      </c>
      <c r="E31" s="2" t="str">
        <v>bla</v>
      </c>
    </row>
    <row r="32" spans="1:9">
      <c r="A32" s="2" t="str">
        <v>Netherlands</v>
      </c>
      <c r="C32" s="2" t="str">
        <v>Netherlands</v>
      </c>
      <c r="E32" s="2" t="str">
        <v>Netherlands</v>
      </c>
    </row>
    <row r="33" spans="1:5">
      <c r="A33" s="2" t="str">
        <v/>
      </c>
      <c r="C33" s="2" t="str">
        <v>bla</v>
      </c>
      <c r="E33" s="2" t="str">
        <v>bla</v>
      </c>
    </row>
    <row r="34" spans="1:5">
      <c r="A34" s="2" t="str">
        <v/>
      </c>
      <c r="C34" s="2" t="str">
        <v>bla</v>
      </c>
      <c r="E34" s="2" t="str">
        <v>bla</v>
      </c>
    </row>
    <row r="35" spans="1:5">
      <c r="A35" s="2" t="str">
        <v/>
      </c>
      <c r="C35" s="2" t="str">
        <v>bla</v>
      </c>
      <c r="E35" s="2" t="str">
        <v>bla</v>
      </c>
    </row>
    <row r="36" spans="1:5">
      <c r="A36" s="2" t="str">
        <v/>
      </c>
      <c r="C36" s="2" t="str">
        <v>bla</v>
      </c>
      <c r="E36" s="2" t="str">
        <v>bla</v>
      </c>
    </row>
    <row r="37" spans="1:5">
      <c r="A37" s="2" t="str">
        <v/>
      </c>
      <c r="C37" s="2" t="str">
        <v>bla</v>
      </c>
      <c r="E37" s="2" t="str">
        <v>bla</v>
      </c>
    </row>
    <row r="38" spans="1:5">
      <c r="A38" s="2" t="str">
        <v/>
      </c>
      <c r="C38" s="2" t="str">
        <v>bla</v>
      </c>
      <c r="E38" s="2" t="str">
        <v>bla</v>
      </c>
    </row>
    <row r="39" spans="1:5">
      <c r="A39" s="2" t="str">
        <v>Sweden</v>
      </c>
      <c r="C39" s="2" t="str">
        <v>Sweden</v>
      </c>
      <c r="E39" s="2" t="str">
        <v>Sweden</v>
      </c>
    </row>
    <row r="40" spans="1:5">
      <c r="A40" s="2" t="str">
        <v/>
      </c>
      <c r="C40" s="2" t="str">
        <v>bla</v>
      </c>
      <c r="E40" s="2" t="str">
        <v>bla</v>
      </c>
    </row>
    <row r="41" spans="1:5">
      <c r="A41" s="2" t="str">
        <v>USA</v>
      </c>
      <c r="C41" s="2" t="str">
        <v>USA</v>
      </c>
      <c r="E41" s="2" t="str">
        <v>USA</v>
      </c>
    </row>
    <row r="42" spans="1:5">
      <c r="A42" s="2" t="str">
        <v/>
      </c>
      <c r="C42" s="2" t="e">
        <v>#N/A</v>
      </c>
      <c r="E42" s="2" t="str">
        <v/>
      </c>
    </row>
    <row r="43" spans="1:5">
      <c r="A43" s="2" t="str">
        <v/>
      </c>
      <c r="C43" s="2" t="e">
        <v>#N/A</v>
      </c>
      <c r="E43" s="2" t="str">
        <v/>
      </c>
    </row>
    <row r="44" spans="1:5">
      <c r="A44" s="2" t="str">
        <v/>
      </c>
      <c r="C44" s="2" t="e">
        <v>#N/A</v>
      </c>
      <c r="E44" s="2" t="str">
        <v/>
      </c>
    </row>
    <row r="45" spans="1:5">
      <c r="A45" s="2" t="str">
        <v/>
      </c>
      <c r="C45" s="2" t="e">
        <v>#N/A</v>
      </c>
      <c r="E45" s="2" t="str">
        <v/>
      </c>
    </row>
    <row r="46" spans="1:5">
      <c r="A46" s="2" t="str">
        <v/>
      </c>
      <c r="C46" s="2" t="e">
        <v>#N/A</v>
      </c>
      <c r="E46" s="2" t="str">
        <v/>
      </c>
    </row>
    <row r="47" spans="1:5">
      <c r="A47" s="2" t="str">
        <v/>
      </c>
      <c r="C47" s="2" t="e">
        <v>#N/A</v>
      </c>
      <c r="E47" s="2" t="str">
        <v/>
      </c>
    </row>
    <row r="48" spans="1:5">
      <c r="A48" s="2" t="str">
        <v/>
      </c>
      <c r="C48" s="2" t="e">
        <v>#N/A</v>
      </c>
      <c r="E48" s="2" t="str">
        <v/>
      </c>
    </row>
    <row r="49" spans="1:5">
      <c r="A49" s="2" t="str">
        <v/>
      </c>
      <c r="C49" s="2" t="e">
        <v>#N/A</v>
      </c>
      <c r="E49" s="2" t="str">
        <v/>
      </c>
    </row>
    <row r="50" spans="1:5">
      <c r="A50" s="2" t="str">
        <v/>
      </c>
      <c r="C50" s="2" t="e">
        <v>#N/A</v>
      </c>
      <c r="E50" s="2" t="str">
        <v/>
      </c>
    </row>
    <row r="51" spans="1:5">
      <c r="A51" s="2" t="str">
        <v>England</v>
      </c>
      <c r="C51" s="2" t="str">
        <v>England</v>
      </c>
      <c r="E51" s="2" t="str">
        <v>England</v>
      </c>
    </row>
    <row r="52" spans="1:5">
      <c r="A52" s="2" t="str">
        <v/>
      </c>
      <c r="C52" s="2" t="e">
        <v>#N/A</v>
      </c>
      <c r="E52" s="2" t="str">
        <v/>
      </c>
    </row>
    <row r="53" spans="1:5">
      <c r="A53" s="2" t="str">
        <v>Germany</v>
      </c>
      <c r="C53" s="2" t="str">
        <v>Germany</v>
      </c>
      <c r="E53" s="2" t="str">
        <v>Germany</v>
      </c>
    </row>
    <row r="54" spans="1:5">
      <c r="A54" s="2" t="str">
        <v>Japan</v>
      </c>
      <c r="C54" s="2" t="str">
        <v>Japan</v>
      </c>
      <c r="E54" s="2" t="str">
        <v>Japan</v>
      </c>
    </row>
    <row r="55" spans="1:5">
      <c r="A55" s="2" t="str">
        <v/>
      </c>
      <c r="C55" s="2" t="e">
        <v>#N/A</v>
      </c>
      <c r="E55" s="2" t="str">
        <v/>
      </c>
    </row>
    <row r="56" spans="1:5">
      <c r="A56" s="2" t="str">
        <v/>
      </c>
      <c r="C56" s="2" t="e">
        <v>#N/A</v>
      </c>
      <c r="E56" s="2" t="str">
        <v/>
      </c>
    </row>
    <row r="57" spans="1:5" hidden="1">
      <c r="A57" s="2" t="str">
        <v/>
      </c>
      <c r="C57" s="2" t="e">
        <v>#N/A</v>
      </c>
      <c r="E57" s="2" t="str">
        <v/>
      </c>
    </row>
    <row r="58" spans="1:5" hidden="1">
      <c r="A58" s="2" t="str">
        <v/>
      </c>
      <c r="C58" s="2" t="e">
        <v>#N/A</v>
      </c>
      <c r="E58" s="2" t="str">
        <v/>
      </c>
    </row>
    <row r="59" spans="1:5" hidden="1">
      <c r="A59" s="2" t="str">
        <v/>
      </c>
      <c r="C59" s="2" t="e">
        <v>#N/A</v>
      </c>
      <c r="E59" s="2" t="str">
        <v/>
      </c>
    </row>
    <row r="60" spans="1:5" hidden="1">
      <c r="A60" s="2" t="str">
        <v/>
      </c>
      <c r="C60" s="2" t="e">
        <v>#N/A</v>
      </c>
      <c r="E60" s="2" t="str">
        <v/>
      </c>
    </row>
    <row r="61" spans="1:5" hidden="1">
      <c r="A61" s="2" t="str">
        <v/>
      </c>
      <c r="C61" s="2" t="e">
        <v>#N/A</v>
      </c>
      <c r="E61" s="2" t="str">
        <v/>
      </c>
    </row>
    <row r="62" spans="1:5" hidden="1">
      <c r="A62" s="2" t="str">
        <v/>
      </c>
      <c r="C62" s="2" t="e">
        <v>#N/A</v>
      </c>
      <c r="E62" s="2" t="str">
        <v/>
      </c>
    </row>
    <row r="63" spans="1:5" hidden="1">
      <c r="A63" s="2" t="str">
        <v/>
      </c>
      <c r="C63" s="2" t="e">
        <v>#N/A</v>
      </c>
      <c r="E63" s="2" t="str">
        <v/>
      </c>
    </row>
    <row r="64" spans="1:5" hidden="1">
      <c r="A64" s="2" t="str">
        <v/>
      </c>
      <c r="C64" s="2" t="e">
        <v>#N/A</v>
      </c>
      <c r="E64" s="2" t="str">
        <v/>
      </c>
    </row>
    <row r="65" spans="1:5" hidden="1">
      <c r="A65" s="2" t="str">
        <v>USA</v>
      </c>
      <c r="C65" s="2" t="str">
        <v>USA</v>
      </c>
      <c r="E65" s="2" t="str">
        <v>USA</v>
      </c>
    </row>
    <row r="66" spans="1:5" hidden="1">
      <c r="A66" s="2" t="str">
        <v/>
      </c>
      <c r="C66" s="2" t="e">
        <v>#N/A</v>
      </c>
      <c r="E66" s="2" t="str">
        <v/>
      </c>
    </row>
    <row r="67" spans="1:5" hidden="1">
      <c r="A67" s="2" t="str">
        <v/>
      </c>
      <c r="C67" s="2" t="e">
        <v>#N/A</v>
      </c>
      <c r="E67" s="2" t="str">
        <v/>
      </c>
    </row>
    <row r="68" spans="1:5" hidden="1">
      <c r="A68" s="2" t="str">
        <v/>
      </c>
      <c r="C68" s="2" t="e">
        <v>#N/A</v>
      </c>
      <c r="E68" s="2" t="str">
        <v/>
      </c>
    </row>
    <row r="69" spans="1:5" hidden="1">
      <c r="A69" s="2" t="str">
        <v/>
      </c>
      <c r="C69" s="2" t="e">
        <v>#N/A</v>
      </c>
      <c r="E69" s="2" t="str">
        <v/>
      </c>
    </row>
    <row r="70" spans="1:5" hidden="1">
      <c r="A70" s="2" t="str">
        <v/>
      </c>
      <c r="C70" s="2" t="e">
        <v>#N/A</v>
      </c>
      <c r="E70" s="2" t="str">
        <v/>
      </c>
    </row>
    <row r="71" spans="1:5" hidden="1">
      <c r="A71" s="2" t="str">
        <v/>
      </c>
      <c r="C71" s="2" t="e">
        <v>#N/A</v>
      </c>
      <c r="E71" s="2" t="str">
        <v/>
      </c>
    </row>
    <row r="72" spans="1:5" hidden="1">
      <c r="A72" s="2" t="str">
        <v/>
      </c>
      <c r="C72" s="2" t="e">
        <v>#N/A</v>
      </c>
      <c r="E72" s="2" t="str">
        <v/>
      </c>
    </row>
    <row r="73" spans="1:5" hidden="1">
      <c r="A73" s="2" t="str">
        <v/>
      </c>
      <c r="C73" s="2" t="e">
        <v>#N/A</v>
      </c>
      <c r="E73" s="2" t="str">
        <v/>
      </c>
    </row>
    <row r="74" spans="1:5" hidden="1">
      <c r="A74" s="2" t="str">
        <v/>
      </c>
      <c r="C74" s="2" t="e">
        <v>#N/A</v>
      </c>
      <c r="E74" s="2" t="str">
        <v/>
      </c>
    </row>
    <row r="75" spans="1:5" hidden="1">
      <c r="A75" s="2" t="str">
        <v/>
      </c>
      <c r="C75" s="2" t="e">
        <v>#N/A</v>
      </c>
      <c r="E75" s="2" t="str">
        <v/>
      </c>
    </row>
    <row r="76" spans="1:5" hidden="1">
      <c r="A76" s="2" t="str">
        <v/>
      </c>
      <c r="C76" s="2" t="e">
        <v>#N/A</v>
      </c>
      <c r="E76" s="2" t="str">
        <v/>
      </c>
    </row>
    <row r="77" spans="1:5" hidden="1">
      <c r="A77" s="2" t="str">
        <v/>
      </c>
      <c r="C77" s="2" t="e">
        <v>#N/A</v>
      </c>
      <c r="E77" s="2" t="str">
        <v/>
      </c>
    </row>
    <row r="78" spans="1:5" hidden="1">
      <c r="A78" s="2" t="str">
        <v/>
      </c>
      <c r="C78" s="2" t="e">
        <v>#N/A</v>
      </c>
      <c r="E78" s="2" t="str">
        <v/>
      </c>
    </row>
    <row r="79" spans="1:5" hidden="1">
      <c r="A79" s="2" t="str">
        <v/>
      </c>
      <c r="C79" s="2" t="e">
        <v>#N/A</v>
      </c>
      <c r="E79" s="2" t="str">
        <v/>
      </c>
    </row>
    <row r="80" spans="1:5" hidden="1">
      <c r="A80" s="2" t="str">
        <v/>
      </c>
      <c r="C80" s="2" t="e">
        <v>#N/A</v>
      </c>
      <c r="E80" s="2" t="str">
        <v/>
      </c>
    </row>
    <row r="81" spans="1:5" hidden="1">
      <c r="A81" s="2" t="str">
        <v/>
      </c>
      <c r="C81" s="2" t="e">
        <v>#N/A</v>
      </c>
      <c r="E81" s="2" t="str">
        <v/>
      </c>
    </row>
    <row r="82" spans="1:5" hidden="1">
      <c r="A82" s="2" t="str">
        <v/>
      </c>
      <c r="C82" s="2" t="e">
        <v>#N/A</v>
      </c>
      <c r="E82" s="2" t="str">
        <v/>
      </c>
    </row>
    <row r="83" spans="1:5" hidden="1">
      <c r="A83" s="2" t="str">
        <v/>
      </c>
      <c r="C83" s="2" t="e">
        <v>#N/A</v>
      </c>
      <c r="E83" s="2" t="str">
        <v/>
      </c>
    </row>
    <row r="84" spans="1:5" hidden="1">
      <c r="A84" s="2" t="str">
        <v/>
      </c>
      <c r="C84" s="2" t="e">
        <v>#N/A</v>
      </c>
      <c r="E84" s="2" t="str">
        <v/>
      </c>
    </row>
    <row r="85" spans="1:5" hidden="1">
      <c r="A85" s="2" t="str">
        <v/>
      </c>
      <c r="C85" s="2" t="e">
        <v>#N/A</v>
      </c>
      <c r="E85" s="2" t="str">
        <v/>
      </c>
    </row>
    <row r="86" spans="1:5" hidden="1">
      <c r="A86" s="2" t="str">
        <v/>
      </c>
      <c r="C86" s="2" t="e">
        <v>#N/A</v>
      </c>
      <c r="E86" s="2" t="str">
        <v/>
      </c>
    </row>
    <row r="87" spans="1:5" hidden="1">
      <c r="A87" s="2" t="str">
        <v/>
      </c>
      <c r="C87" s="2" t="e">
        <v>#N/A</v>
      </c>
      <c r="E87" s="2" t="str">
        <v/>
      </c>
    </row>
    <row r="88" spans="1:5" hidden="1">
      <c r="A88" s="2" t="str">
        <v/>
      </c>
      <c r="C88" s="2" t="e">
        <v>#N/A</v>
      </c>
      <c r="E88" s="2" t="str">
        <v/>
      </c>
    </row>
    <row r="89" spans="1:5" hidden="1">
      <c r="A89" s="2" t="str">
        <v/>
      </c>
      <c r="C89" s="2" t="e">
        <v>#N/A</v>
      </c>
      <c r="E89" s="2" t="str">
        <v/>
      </c>
    </row>
    <row r="90" spans="1:5" hidden="1">
      <c r="A90" s="2" t="str">
        <v/>
      </c>
      <c r="C90" s="2" t="e">
        <v>#N/A</v>
      </c>
      <c r="E90" s="2" t="str">
        <v/>
      </c>
    </row>
    <row r="91" spans="1:5" hidden="1">
      <c r="A91" s="2" t="str">
        <v/>
      </c>
      <c r="C91" s="2" t="e">
        <v>#N/A</v>
      </c>
      <c r="E91" s="2" t="str">
        <v/>
      </c>
    </row>
    <row r="92" spans="1:5" hidden="1">
      <c r="A92" s="2" t="str">
        <v/>
      </c>
      <c r="C92" s="2" t="e">
        <v>#N/A</v>
      </c>
      <c r="E92" s="2" t="str">
        <v/>
      </c>
    </row>
    <row r="93" spans="1:5" hidden="1">
      <c r="A93" s="2" t="str">
        <v/>
      </c>
      <c r="C93" s="2" t="e">
        <v>#N/A</v>
      </c>
      <c r="E93" s="2" t="str">
        <v/>
      </c>
    </row>
    <row r="94" spans="1:5" hidden="1">
      <c r="A94" s="2" t="str">
        <v/>
      </c>
      <c r="C94" s="2" t="e">
        <v>#N/A</v>
      </c>
      <c r="E94" s="2" t="str">
        <v/>
      </c>
    </row>
    <row r="95" spans="1:5" hidden="1">
      <c r="A95" s="2" t="str">
        <v/>
      </c>
      <c r="C95" s="2" t="e">
        <v>#N/A</v>
      </c>
      <c r="E95" s="2" t="str">
        <v/>
      </c>
    </row>
    <row r="96" spans="1:5" hidden="1">
      <c r="A96" s="2" t="str">
        <v/>
      </c>
      <c r="C96" s="2" t="e">
        <v>#N/A</v>
      </c>
      <c r="E96" s="2" t="str">
        <v/>
      </c>
    </row>
    <row r="97" spans="1:5" hidden="1">
      <c r="A97" s="2" t="str">
        <v/>
      </c>
      <c r="C97" s="2" t="e">
        <v>#N/A</v>
      </c>
      <c r="E97" s="2" t="str">
        <v/>
      </c>
    </row>
    <row r="98" spans="1:5" hidden="1">
      <c r="A98" s="2" t="str">
        <v/>
      </c>
      <c r="C98" s="2" t="e">
        <v>#N/A</v>
      </c>
      <c r="E98" s="2" t="str">
        <v/>
      </c>
    </row>
    <row r="99" spans="1:5" hidden="1">
      <c r="A99" s="2" t="str">
        <v/>
      </c>
      <c r="C99" s="2" t="e">
        <v>#N/A</v>
      </c>
      <c r="E99" s="2" t="str">
        <v/>
      </c>
    </row>
    <row r="100" spans="1:5" hidden="1">
      <c r="A100" s="2" t="str">
        <v/>
      </c>
      <c r="C100" s="2" t="e">
        <v>#N/A</v>
      </c>
      <c r="E100" s="2" t="str">
        <v/>
      </c>
    </row>
    <row r="101" spans="1:5" hidden="1">
      <c r="A101" s="2" t="str">
        <v/>
      </c>
      <c r="C101" s="2" t="e">
        <v>#N/A</v>
      </c>
      <c r="E101" s="2" t="str">
        <v/>
      </c>
    </row>
    <row r="102" spans="1:5" hidden="1">
      <c r="A102" s="2" t="str">
        <v/>
      </c>
      <c r="C102" s="2" t="e">
        <v>#N/A</v>
      </c>
      <c r="E102" s="2" t="str">
        <v/>
      </c>
    </row>
    <row r="103" spans="1:5" hidden="1">
      <c r="A103" s="2" t="str">
        <v/>
      </c>
      <c r="C103" s="2" t="e">
        <v>#N/A</v>
      </c>
      <c r="E103" s="2" t="str">
        <v/>
      </c>
    </row>
    <row r="104" spans="1:5" hidden="1">
      <c r="A104" s="2" t="str">
        <v/>
      </c>
      <c r="C104" s="2" t="e">
        <v>#N/A</v>
      </c>
      <c r="E104" s="2" t="str">
        <v/>
      </c>
    </row>
    <row r="105" spans="1:5" hidden="1">
      <c r="A105" s="2" t="str">
        <v/>
      </c>
      <c r="C105" s="2" t="e">
        <v>#N/A</v>
      </c>
      <c r="E105" s="2" t="str">
        <v/>
      </c>
    </row>
    <row r="106" spans="1:5" hidden="1">
      <c r="A106" s="2" t="str">
        <v/>
      </c>
      <c r="C106" s="2" t="e">
        <v>#N/A</v>
      </c>
      <c r="E106" s="2" t="str">
        <v/>
      </c>
    </row>
    <row r="107" spans="1:5" hidden="1">
      <c r="A107" s="2" t="str">
        <v/>
      </c>
      <c r="C107" s="2" t="e">
        <v>#N/A</v>
      </c>
      <c r="E107" s="2" t="str">
        <v/>
      </c>
    </row>
    <row r="108" spans="1:5" hidden="1">
      <c r="A108" s="2" t="str">
        <v/>
      </c>
      <c r="C108" s="2" t="e">
        <v>#N/A</v>
      </c>
      <c r="E108" s="2" t="str">
        <v/>
      </c>
    </row>
    <row r="109" spans="1:5" hidden="1">
      <c r="A109" s="2" t="str">
        <v/>
      </c>
      <c r="C109" s="2" t="e">
        <v>#N/A</v>
      </c>
      <c r="E109" s="2" t="str">
        <v/>
      </c>
    </row>
    <row r="110" spans="1:5" hidden="1">
      <c r="A110" s="2" t="str">
        <v/>
      </c>
      <c r="C110" s="2" t="e">
        <v>#N/A</v>
      </c>
      <c r="E110" s="2" t="str">
        <v/>
      </c>
    </row>
    <row r="111" spans="1:5" hidden="1">
      <c r="A111" s="2" t="str">
        <v/>
      </c>
      <c r="C111" s="2" t="e">
        <v>#N/A</v>
      </c>
      <c r="E111" s="2" t="str">
        <v/>
      </c>
    </row>
    <row r="112" spans="1:5" hidden="1">
      <c r="A112" s="2" t="str">
        <v/>
      </c>
      <c r="C112" s="2" t="e">
        <v>#N/A</v>
      </c>
      <c r="E112" s="2" t="str">
        <v/>
      </c>
    </row>
    <row r="113" spans="1:5" hidden="1">
      <c r="A113" s="2" t="str">
        <v/>
      </c>
      <c r="C113" s="2" t="e">
        <v>#N/A</v>
      </c>
      <c r="E113" s="2" t="str">
        <v/>
      </c>
    </row>
    <row r="114" spans="1:5" hidden="1">
      <c r="A114" s="2" t="str">
        <v/>
      </c>
      <c r="C114" s="2" t="e">
        <v>#N/A</v>
      </c>
      <c r="E114" s="2" t="str">
        <v/>
      </c>
    </row>
    <row r="115" spans="1:5" hidden="1">
      <c r="A115" s="2" t="str">
        <v/>
      </c>
      <c r="C115" s="2" t="e">
        <v>#N/A</v>
      </c>
      <c r="E115" s="2" t="str">
        <v/>
      </c>
    </row>
    <row r="116" spans="1:5" hidden="1">
      <c r="A116" s="2" t="str">
        <v/>
      </c>
      <c r="C116" s="2" t="e">
        <v>#N/A</v>
      </c>
      <c r="E116" s="2" t="str">
        <v/>
      </c>
    </row>
    <row r="117" spans="1:5" hidden="1">
      <c r="A117" s="2" t="str">
        <v/>
      </c>
      <c r="C117" s="2" t="e">
        <v>#N/A</v>
      </c>
      <c r="E117" s="2" t="str">
        <v/>
      </c>
    </row>
    <row r="118" spans="1:5" hidden="1">
      <c r="A118" s="2" t="str">
        <v/>
      </c>
      <c r="C118" s="2" t="e">
        <v>#N/A</v>
      </c>
      <c r="E118" s="2" t="str">
        <v/>
      </c>
    </row>
    <row r="119" spans="1:5" hidden="1">
      <c r="A119" s="2" t="str">
        <v/>
      </c>
      <c r="C119" s="2" t="e">
        <v>#N/A</v>
      </c>
      <c r="E119" s="2" t="str">
        <v/>
      </c>
    </row>
    <row r="120" spans="1:5" hidden="1">
      <c r="A120" s="2" t="str">
        <v/>
      </c>
      <c r="C120" s="2" t="e">
        <v>#N/A</v>
      </c>
      <c r="E120" s="2" t="str">
        <v/>
      </c>
    </row>
    <row r="121" spans="1:5" hidden="1">
      <c r="A121" s="2" t="str">
        <v/>
      </c>
      <c r="C121" s="2" t="e">
        <v>#N/A</v>
      </c>
      <c r="E121" s="2" t="str">
        <v/>
      </c>
    </row>
    <row r="122" spans="1:5" hidden="1">
      <c r="A122" s="2" t="str">
        <v/>
      </c>
      <c r="C122" s="2" t="e">
        <v>#N/A</v>
      </c>
      <c r="E122" s="2" t="str">
        <v/>
      </c>
    </row>
    <row r="123" spans="1:5" hidden="1">
      <c r="A123" s="2" t="str">
        <v/>
      </c>
      <c r="C123" s="2" t="e">
        <v>#N/A</v>
      </c>
      <c r="E123" s="2" t="str">
        <v/>
      </c>
    </row>
    <row r="124" spans="1:5" hidden="1">
      <c r="A124" s="2" t="str">
        <v/>
      </c>
      <c r="C124" s="2" t="e">
        <v>#N/A</v>
      </c>
      <c r="E124" s="2" t="str">
        <v/>
      </c>
    </row>
    <row r="125" spans="1:5" hidden="1">
      <c r="A125" s="2" t="str">
        <v/>
      </c>
      <c r="C125" s="2" t="e">
        <v>#N/A</v>
      </c>
      <c r="E125" s="2" t="str">
        <v/>
      </c>
    </row>
    <row r="126" spans="1:5" hidden="1">
      <c r="A126" s="2" t="str">
        <v/>
      </c>
      <c r="C126" s="2" t="e">
        <v>#N/A</v>
      </c>
      <c r="E126" s="2" t="str">
        <v/>
      </c>
    </row>
    <row r="127" spans="1:5" hidden="1">
      <c r="A127" s="2" t="str">
        <v/>
      </c>
      <c r="C127" s="2" t="e">
        <v>#N/A</v>
      </c>
      <c r="E127" s="2" t="str">
        <v/>
      </c>
    </row>
    <row r="128" spans="1:5" hidden="1">
      <c r="A128" s="2" t="str">
        <v/>
      </c>
      <c r="C128" s="2" t="e">
        <v>#N/A</v>
      </c>
      <c r="E128" s="2" t="str">
        <v/>
      </c>
    </row>
    <row r="129" spans="1:5" hidden="1">
      <c r="A129" s="2" t="str">
        <v/>
      </c>
      <c r="C129" s="2" t="e">
        <v>#N/A</v>
      </c>
      <c r="E129" s="2" t="str">
        <v/>
      </c>
    </row>
    <row r="130" spans="1:5" hidden="1">
      <c r="A130" s="2" t="str">
        <v/>
      </c>
      <c r="C130" s="2" t="e">
        <v>#N/A</v>
      </c>
      <c r="E130" s="2" t="str">
        <v/>
      </c>
    </row>
    <row r="131" spans="1:5" hidden="1">
      <c r="A131" s="2" t="str">
        <v/>
      </c>
      <c r="C131" s="2" t="e">
        <v>#N/A</v>
      </c>
      <c r="E131" s="2" t="str">
        <v/>
      </c>
    </row>
    <row r="132" spans="1:5" hidden="1">
      <c r="A132" s="2" t="str">
        <v/>
      </c>
      <c r="C132" s="2" t="e">
        <v>#N/A</v>
      </c>
      <c r="E132" s="2" t="str">
        <v/>
      </c>
    </row>
    <row r="133" spans="1:5" hidden="1">
      <c r="A133" s="2" t="str">
        <v/>
      </c>
      <c r="C133" s="2" t="e">
        <v>#N/A</v>
      </c>
      <c r="E133" s="2" t="str">
        <v/>
      </c>
    </row>
    <row r="134" spans="1:5" hidden="1">
      <c r="A134" s="2" t="str">
        <v/>
      </c>
      <c r="C134" s="2" t="e">
        <v>#N/A</v>
      </c>
      <c r="E134" s="2" t="str">
        <v/>
      </c>
    </row>
    <row r="135" spans="1:5" hidden="1">
      <c r="A135" s="2" t="str">
        <v/>
      </c>
      <c r="C135" s="2" t="e">
        <v>#N/A</v>
      </c>
      <c r="E135" s="2" t="str">
        <v/>
      </c>
    </row>
    <row r="136" spans="1:5" hidden="1">
      <c r="A136" s="2" t="str">
        <v/>
      </c>
      <c r="C136" s="2" t="e">
        <v>#N/A</v>
      </c>
      <c r="E136" s="2" t="str">
        <v/>
      </c>
    </row>
    <row r="137" spans="1:5" hidden="1">
      <c r="A137" s="2" t="str">
        <v/>
      </c>
      <c r="C137" s="2" t="e">
        <v>#N/A</v>
      </c>
      <c r="E137" s="2" t="str">
        <v/>
      </c>
    </row>
    <row r="138" spans="1:5" hidden="1">
      <c r="A138" s="2" t="str">
        <v/>
      </c>
      <c r="C138" s="2" t="e">
        <v>#N/A</v>
      </c>
      <c r="E138" s="2" t="str">
        <v/>
      </c>
    </row>
    <row r="139" spans="1:5" hidden="1">
      <c r="A139" s="2" t="str">
        <v/>
      </c>
      <c r="C139" s="2" t="e">
        <v>#N/A</v>
      </c>
      <c r="E139" s="2" t="str">
        <v/>
      </c>
    </row>
    <row r="140" spans="1:5" hidden="1">
      <c r="A140" s="2" t="str">
        <v/>
      </c>
      <c r="C140" s="2" t="e">
        <v>#N/A</v>
      </c>
      <c r="E140" s="2" t="str">
        <v/>
      </c>
    </row>
    <row r="141" spans="1:5" hidden="1">
      <c r="A141" s="2" t="str">
        <v/>
      </c>
      <c r="C141" s="2" t="e">
        <v>#N/A</v>
      </c>
      <c r="E141" s="2" t="str">
        <v/>
      </c>
    </row>
    <row r="142" spans="1:5" hidden="1">
      <c r="A142" s="2" t="str">
        <v/>
      </c>
      <c r="C142" s="2" t="e">
        <v>#N/A</v>
      </c>
      <c r="E142" s="2" t="str">
        <v/>
      </c>
    </row>
    <row r="143" spans="1:5" hidden="1">
      <c r="A143" s="2" t="str">
        <v/>
      </c>
      <c r="C143" s="2" t="e">
        <v>#N/A</v>
      </c>
      <c r="E143" s="2" t="str">
        <v/>
      </c>
    </row>
    <row r="144" spans="1:5" hidden="1">
      <c r="A144" s="2" t="str">
        <v/>
      </c>
      <c r="C144" s="2" t="e">
        <v>#N/A</v>
      </c>
      <c r="E144" s="2" t="str">
        <v/>
      </c>
    </row>
    <row r="145" spans="1:9" hidden="1">
      <c r="A145" s="2" t="str">
        <v/>
      </c>
      <c r="C145" s="2" t="e">
        <v>#N/A</v>
      </c>
      <c r="E145" s="2" t="str">
        <v/>
      </c>
    </row>
    <row r="146" spans="1:9" hidden="1">
      <c r="A146" s="2" t="str">
        <v/>
      </c>
      <c r="C146" s="2" t="e">
        <v>#N/A</v>
      </c>
      <c r="E146" s="2" t="str">
        <v/>
      </c>
    </row>
    <row r="147" spans="1:9" hidden="1">
      <c r="A147" s="2" t="str">
        <v/>
      </c>
      <c r="C147" s="2" t="e">
        <v>#N/A</v>
      </c>
      <c r="E147" s="2" t="str">
        <v/>
      </c>
    </row>
    <row r="148" spans="1:9" hidden="1">
      <c r="A148" s="2" t="str">
        <v/>
      </c>
      <c r="C148" s="2" t="e">
        <v>#N/A</v>
      </c>
      <c r="E148" s="2" t="str">
        <v/>
      </c>
    </row>
    <row r="149" spans="1:9" hidden="1">
      <c r="A149" s="2" t="str">
        <v/>
      </c>
      <c r="C149" s="2" t="e">
        <v>#N/A</v>
      </c>
      <c r="E149" s="2" t="str">
        <v/>
      </c>
    </row>
    <row r="150" spans="1:9" hidden="1">
      <c r="A150" s="2" t="str">
        <v/>
      </c>
      <c r="C150" s="2" t="e">
        <v>#N/A</v>
      </c>
      <c r="E150" s="2" t="str">
        <v/>
      </c>
    </row>
    <row r="151" spans="1:9" hidden="1">
      <c r="A151" s="2" t="str">
        <v/>
      </c>
      <c r="C151" s="2" t="e">
        <v>#N/A</v>
      </c>
      <c r="E151" s="2" t="str">
        <v/>
      </c>
    </row>
    <row r="152" spans="1:9" hidden="1">
      <c r="A152" s="2" t="str">
        <v/>
      </c>
      <c r="C152" s="2" t="e">
        <v>#N/A</v>
      </c>
      <c r="E152" s="2" t="str">
        <v/>
      </c>
    </row>
    <row r="153" spans="1:9" hidden="1">
      <c r="A153" s="2" t="str">
        <v/>
      </c>
      <c r="C153" s="2" t="e">
        <v>#N/A</v>
      </c>
      <c r="E153" s="2" t="str">
        <v/>
      </c>
    </row>
    <row r="155" spans="1:9" s="1" customFormat="1"/>
    <row r="156" spans="1:9">
      <c r="A156" s="12" t="s">
        <v>87</v>
      </c>
    </row>
    <row r="158" spans="1:9">
      <c r="A158" t="s">
        <v>88</v>
      </c>
    </row>
    <row r="160" spans="1:9">
      <c r="A160" s="2" cm="1">
        <f t="array" ref="A160:C162">TRANSPOSE(B3:D5)</f>
        <v>1</v>
      </c>
      <c r="B160" s="2">
        <v>4</v>
      </c>
      <c r="C160" s="2">
        <v>7</v>
      </c>
      <c r="E160" s="2" cm="1">
        <f t="array" ref="E160:E162">TRANSPOSE(B3:D3)</f>
        <v>1</v>
      </c>
      <c r="G160" s="2" cm="1">
        <f t="array" ref="G160:I160">TRANSPOSE(B3:B5)</f>
        <v>1</v>
      </c>
      <c r="H160" s="2">
        <v>4</v>
      </c>
      <c r="I160" s="2">
        <v>7</v>
      </c>
    </row>
    <row r="161" spans="1:5">
      <c r="A161" s="2">
        <v>2</v>
      </c>
      <c r="B161" s="2">
        <v>5</v>
      </c>
      <c r="C161" s="2">
        <v>8</v>
      </c>
      <c r="E161" s="2">
        <v>2</v>
      </c>
    </row>
    <row r="162" spans="1:5">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defaultColWidth="11" defaultRowHeight="15.75"/>
  <cols>
    <col min="1" max="1" width="13" bestFit="1" customWidth="1"/>
    <col min="2" max="2" width="21.125" bestFit="1" customWidth="1"/>
    <col min="3" max="3" width="11.875" bestFit="1" customWidth="1"/>
    <col min="4" max="4" width="11.125" bestFit="1" customWidth="1"/>
  </cols>
  <sheetData>
    <row r="1" spans="1:3">
      <c r="A1" s="62" t="s">
        <v>24</v>
      </c>
      <c r="B1" t="s">
        <v>89</v>
      </c>
    </row>
    <row r="3" spans="1:3">
      <c r="A3" s="62" t="s">
        <v>90</v>
      </c>
      <c r="B3" t="s">
        <v>91</v>
      </c>
      <c r="C3" t="s">
        <v>92</v>
      </c>
    </row>
    <row r="4" spans="1:3">
      <c r="A4" s="63" t="s">
        <v>44</v>
      </c>
      <c r="B4">
        <v>9</v>
      </c>
      <c r="C4">
        <v>4</v>
      </c>
    </row>
    <row r="5" spans="1:3">
      <c r="A5" s="63" t="s">
        <v>45</v>
      </c>
      <c r="B5">
        <v>26</v>
      </c>
      <c r="C5">
        <v>37</v>
      </c>
    </row>
    <row r="6" spans="1:3">
      <c r="A6" s="63" t="s">
        <v>46</v>
      </c>
      <c r="B6">
        <v>34</v>
      </c>
      <c r="C6">
        <v>65</v>
      </c>
    </row>
    <row r="7" spans="1:3">
      <c r="A7" s="63" t="s">
        <v>70</v>
      </c>
      <c r="B7">
        <v>3</v>
      </c>
      <c r="C7">
        <v>3</v>
      </c>
    </row>
    <row r="8" spans="1:3">
      <c r="A8" s="63" t="s">
        <v>47</v>
      </c>
      <c r="B8">
        <v>8</v>
      </c>
      <c r="C8">
        <v>12</v>
      </c>
    </row>
    <row r="9" spans="1:3">
      <c r="A9" s="63" t="s">
        <v>48</v>
      </c>
      <c r="B9">
        <v>27</v>
      </c>
      <c r="C9">
        <v>34</v>
      </c>
    </row>
    <row r="10" spans="1:3">
      <c r="A10" s="63" t="s">
        <v>49</v>
      </c>
      <c r="B10">
        <v>3</v>
      </c>
      <c r="C10">
        <v>1</v>
      </c>
    </row>
    <row r="11" spans="1:3">
      <c r="A11" s="63" t="s">
        <v>50</v>
      </c>
      <c r="B11">
        <v>33</v>
      </c>
      <c r="C11">
        <v>53</v>
      </c>
    </row>
    <row r="12" spans="1:3">
      <c r="A12" s="63" t="s">
        <v>79</v>
      </c>
      <c r="B12">
        <v>4</v>
      </c>
      <c r="C12">
        <v>2</v>
      </c>
    </row>
    <row r="13" spans="1:3">
      <c r="A13" s="63" t="s">
        <v>68</v>
      </c>
      <c r="B13">
        <v>7</v>
      </c>
      <c r="C13">
        <v>4</v>
      </c>
    </row>
    <row r="14" spans="1:3">
      <c r="A14" s="63" t="s">
        <v>69</v>
      </c>
      <c r="B14">
        <v>3</v>
      </c>
      <c r="C14">
        <v>3</v>
      </c>
    </row>
    <row r="15" spans="1:3">
      <c r="A15" s="63" t="s">
        <v>76</v>
      </c>
      <c r="B15">
        <v>14</v>
      </c>
      <c r="C15">
        <v>19</v>
      </c>
    </row>
    <row r="16" spans="1:3">
      <c r="A16" s="63" t="s">
        <v>71</v>
      </c>
      <c r="B16">
        <v>3</v>
      </c>
      <c r="C16">
        <v>1</v>
      </c>
    </row>
    <row r="17" spans="1:3">
      <c r="A17" s="63" t="s">
        <v>51</v>
      </c>
      <c r="B17">
        <v>26</v>
      </c>
      <c r="C17">
        <v>42</v>
      </c>
    </row>
    <row r="18" spans="1:3">
      <c r="A18" s="63" t="s">
        <v>74</v>
      </c>
      <c r="B18">
        <v>3</v>
      </c>
      <c r="C18">
        <v>2</v>
      </c>
    </row>
    <row r="19" spans="1:3">
      <c r="A19" s="63" t="s">
        <v>52</v>
      </c>
      <c r="B19">
        <v>19</v>
      </c>
      <c r="C19">
        <v>31</v>
      </c>
    </row>
    <row r="20" spans="1:3">
      <c r="A20" s="63" t="s">
        <v>53</v>
      </c>
      <c r="B20">
        <v>44</v>
      </c>
      <c r="C20">
        <v>119</v>
      </c>
    </row>
    <row r="21" spans="1:3">
      <c r="A21" s="63" t="s">
        <v>77</v>
      </c>
      <c r="B21">
        <v>9</v>
      </c>
      <c r="C21">
        <v>6</v>
      </c>
    </row>
    <row r="22" spans="1:3">
      <c r="A22" s="63" t="s">
        <v>54</v>
      </c>
      <c r="B22">
        <v>12</v>
      </c>
      <c r="C22">
        <v>20</v>
      </c>
    </row>
    <row r="23" spans="1:3">
      <c r="A23" s="63" t="s">
        <v>55</v>
      </c>
      <c r="B23">
        <v>3</v>
      </c>
      <c r="C23">
        <v>1</v>
      </c>
    </row>
    <row r="24" spans="1:3">
      <c r="A24" s="63" t="s">
        <v>56</v>
      </c>
      <c r="B24">
        <v>33</v>
      </c>
      <c r="C24">
        <v>37</v>
      </c>
    </row>
    <row r="25" spans="1:3">
      <c r="A25" s="63" t="s">
        <v>75</v>
      </c>
      <c r="B25">
        <v>13</v>
      </c>
      <c r="C25">
        <v>12</v>
      </c>
    </row>
    <row r="26" spans="1:3">
      <c r="A26" s="63" t="s">
        <v>57</v>
      </c>
      <c r="B26">
        <v>10</v>
      </c>
      <c r="C26">
        <v>6</v>
      </c>
    </row>
    <row r="27" spans="1:3">
      <c r="A27" s="63" t="s">
        <v>72</v>
      </c>
      <c r="B27">
        <v>9</v>
      </c>
      <c r="C27">
        <v>6</v>
      </c>
    </row>
    <row r="28" spans="1:3">
      <c r="A28" s="63" t="s">
        <v>58</v>
      </c>
      <c r="B28">
        <v>11</v>
      </c>
      <c r="C28">
        <v>14</v>
      </c>
    </row>
    <row r="29" spans="1:3">
      <c r="A29" s="63" t="s">
        <v>59</v>
      </c>
      <c r="B29">
        <v>15</v>
      </c>
      <c r="C29">
        <v>7</v>
      </c>
    </row>
    <row r="30" spans="1:3">
      <c r="A30" s="63" t="s">
        <v>60</v>
      </c>
      <c r="B30">
        <v>26</v>
      </c>
      <c r="C30">
        <v>19</v>
      </c>
    </row>
    <row r="31" spans="1:3">
      <c r="A31" s="63" t="s">
        <v>61</v>
      </c>
      <c r="B31">
        <v>40</v>
      </c>
      <c r="C31">
        <v>89</v>
      </c>
    </row>
    <row r="32" spans="1:3">
      <c r="A32" s="63" t="s">
        <v>78</v>
      </c>
      <c r="B32">
        <v>8</v>
      </c>
      <c r="C32">
        <v>15</v>
      </c>
    </row>
    <row r="33" spans="1:3">
      <c r="A33" s="63" t="s">
        <v>62</v>
      </c>
      <c r="B33">
        <v>3</v>
      </c>
      <c r="C33">
        <v>5</v>
      </c>
    </row>
    <row r="34" spans="1:3">
      <c r="A34" s="63" t="s">
        <v>63</v>
      </c>
      <c r="B34">
        <v>3</v>
      </c>
      <c r="C34">
        <v>1</v>
      </c>
    </row>
    <row r="35" spans="1:3">
      <c r="A35" s="63" t="s">
        <v>64</v>
      </c>
      <c r="B35">
        <v>7</v>
      </c>
      <c r="C35">
        <v>6</v>
      </c>
    </row>
    <row r="36" spans="1:3">
      <c r="A36" s="63" t="s">
        <v>65</v>
      </c>
      <c r="B36">
        <v>40</v>
      </c>
      <c r="C36">
        <v>69</v>
      </c>
    </row>
    <row r="37" spans="1:3">
      <c r="A37" s="63" t="s">
        <v>73</v>
      </c>
      <c r="B37">
        <v>4</v>
      </c>
      <c r="C37">
        <v>9</v>
      </c>
    </row>
    <row r="38" spans="1:3">
      <c r="A38" s="63" t="s">
        <v>66</v>
      </c>
      <c r="B38">
        <v>6</v>
      </c>
      <c r="C38">
        <v>4</v>
      </c>
    </row>
    <row r="39" spans="1:3">
      <c r="A39" s="63" t="s">
        <v>67</v>
      </c>
      <c r="B39">
        <v>50</v>
      </c>
      <c r="C39">
        <v>135</v>
      </c>
    </row>
    <row r="40" spans="1:3">
      <c r="A40" s="63" t="s">
        <v>93</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defaultColWidth="11" defaultRowHeight="15.75"/>
  <cols>
    <col min="1" max="1" width="13" bestFit="1" customWidth="1"/>
    <col min="2" max="2" width="21.125" bestFit="1" customWidth="1"/>
    <col min="3" max="3" width="11.875" bestFit="1" customWidth="1"/>
    <col min="4" max="4" width="18.875" bestFit="1" customWidth="1"/>
  </cols>
  <sheetData>
    <row r="1" spans="1:4">
      <c r="A1" s="62" t="s">
        <v>23</v>
      </c>
      <c r="B1" t="s">
        <v>45</v>
      </c>
    </row>
    <row r="3" spans="1:4">
      <c r="A3" s="62" t="s">
        <v>90</v>
      </c>
      <c r="B3" t="s">
        <v>91</v>
      </c>
      <c r="C3" t="s">
        <v>92</v>
      </c>
      <c r="D3" t="s">
        <v>94</v>
      </c>
    </row>
    <row r="4" spans="1:4">
      <c r="A4" s="63">
        <v>1995</v>
      </c>
      <c r="B4">
        <v>3</v>
      </c>
      <c r="C4">
        <v>3</v>
      </c>
    </row>
    <row r="5" spans="1:4">
      <c r="A5" s="63">
        <v>1999</v>
      </c>
      <c r="B5">
        <v>3</v>
      </c>
      <c r="C5">
        <v>3</v>
      </c>
    </row>
    <row r="6" spans="1:4">
      <c r="A6" s="63">
        <v>2003</v>
      </c>
      <c r="B6">
        <v>3</v>
      </c>
      <c r="C6">
        <v>3</v>
      </c>
      <c r="D6">
        <v>49</v>
      </c>
    </row>
    <row r="7" spans="1:4">
      <c r="A7" s="63">
        <v>2007</v>
      </c>
      <c r="B7">
        <v>4</v>
      </c>
      <c r="C7">
        <v>9</v>
      </c>
      <c r="D7">
        <v>48.3</v>
      </c>
    </row>
    <row r="8" spans="1:4">
      <c r="A8" s="63">
        <v>2011</v>
      </c>
      <c r="B8">
        <v>4</v>
      </c>
      <c r="C8">
        <v>6</v>
      </c>
      <c r="D8">
        <v>53.5</v>
      </c>
    </row>
    <row r="9" spans="1:4">
      <c r="A9" s="63">
        <v>2015</v>
      </c>
      <c r="B9">
        <v>5</v>
      </c>
      <c r="C9">
        <v>5</v>
      </c>
      <c r="D9">
        <v>46.2</v>
      </c>
    </row>
    <row r="10" spans="1:4">
      <c r="A10" s="63">
        <v>2019</v>
      </c>
      <c r="B10">
        <v>4</v>
      </c>
      <c r="C10">
        <v>8</v>
      </c>
      <c r="D10">
        <v>61.3</v>
      </c>
    </row>
    <row r="11" spans="1:4">
      <c r="A11" s="63" t="s">
        <v>93</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G184" workbookViewId="0">
      <selection activeCell="L194" sqref="L194"/>
    </sheetView>
  </sheetViews>
  <sheetFormatPr defaultColWidth="11" defaultRowHeight="15.75"/>
  <cols>
    <col min="9" max="9" width="11.5" customWidth="1"/>
    <col min="15" max="15" width="11.5" customWidth="1"/>
  </cols>
  <sheetData>
    <row r="1" spans="1:12">
      <c r="A1" s="12" t="s">
        <v>95</v>
      </c>
    </row>
    <row r="3" spans="1:12">
      <c r="A3" t="s">
        <v>96</v>
      </c>
      <c r="B3" s="2" cm="1">
        <f t="array" ref="B3:B6">LEN(A3:A6)</f>
        <v>5</v>
      </c>
      <c r="C3" s="64" t="s">
        <v>97</v>
      </c>
    </row>
    <row r="4" spans="1:12">
      <c r="A4" t="s">
        <v>98</v>
      </c>
      <c r="B4" s="2">
        <v>6</v>
      </c>
    </row>
    <row r="5" spans="1:12">
      <c r="A5" t="s">
        <v>99</v>
      </c>
      <c r="B5" s="2">
        <v>2</v>
      </c>
    </row>
    <row r="6" spans="1:12">
      <c r="A6" t="s">
        <v>100</v>
      </c>
      <c r="B6" s="2">
        <v>9</v>
      </c>
    </row>
    <row r="7" spans="1:12" ht="16.5" thickBot="1">
      <c r="B7" s="65" cm="1">
        <f t="array" ref="B7">SUM(LEN(_xlfn.ANCHORARRAY(B3)))</f>
        <v>4</v>
      </c>
    </row>
    <row r="8" spans="1:12" s="66" customFormat="1" ht="16.5" thickTop="1"/>
    <row r="10" spans="1:12">
      <c r="A10" s="12" t="s">
        <v>101</v>
      </c>
    </row>
    <row r="11" spans="1:12">
      <c r="H11" s="67" t="s">
        <v>102</v>
      </c>
      <c r="K11" s="67" t="s">
        <v>103</v>
      </c>
    </row>
    <row r="12" spans="1:1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c r="A13" s="2">
        <v>0</v>
      </c>
      <c r="H13" s="2">
        <v>0</v>
      </c>
      <c r="K13" s="2" t="str">
        <v/>
      </c>
    </row>
    <row r="14" spans="1:12">
      <c r="A14" s="2">
        <v>0</v>
      </c>
      <c r="B14">
        <v>1</v>
      </c>
      <c r="C14" s="2" cm="1">
        <f t="array" ref="C14">SUM(IF(matches_played=B14,1,0))</f>
        <v>0</v>
      </c>
      <c r="D14" t="str" cm="1">
        <f t="array" aca="1" ref="D14:D20" ca="1">_xlfn.FORMULATEXT(C14:C20)</f>
        <v>=SUM(IF(matches_played=B14,1,0))</v>
      </c>
      <c r="H14" s="2">
        <v>1</v>
      </c>
      <c r="K14" s="2" t="str">
        <v>Water</v>
      </c>
    </row>
    <row r="15" spans="1:12">
      <c r="A15" s="2">
        <v>0</v>
      </c>
      <c r="B15">
        <v>2</v>
      </c>
      <c r="C15" s="2" cm="1">
        <f t="array" ref="C15">SUM(IF(matches_played=B15,1,0))</f>
        <v>0</v>
      </c>
      <c r="D15" t="str">
        <f ca="1"/>
        <v>=SUM(IF(matches_played=B15,1,0))</v>
      </c>
      <c r="H15" s="2">
        <v>0</v>
      </c>
      <c r="K15" s="2" t="str">
        <v/>
      </c>
    </row>
    <row r="16" spans="1:12">
      <c r="A16" s="2">
        <v>0</v>
      </c>
      <c r="B16">
        <v>3</v>
      </c>
      <c r="C16" s="2" cm="1">
        <f t="array" ref="C16">SUM(IF(matches_played=B16,1,0))</f>
        <v>56</v>
      </c>
      <c r="D16" t="str">
        <f ca="1"/>
        <v>=SUM(IF(matches_played=B16,1,0))</v>
      </c>
      <c r="H16" s="2">
        <v>0</v>
      </c>
      <c r="K16" s="2" t="str">
        <v/>
      </c>
    </row>
    <row r="17" spans="1:13">
      <c r="A17" s="2">
        <v>0</v>
      </c>
      <c r="B17">
        <v>4</v>
      </c>
      <c r="C17" s="2" cm="1">
        <f t="array" ref="C17">SUM(IF(matches_played=B17,1,0))</f>
        <v>40</v>
      </c>
      <c r="D17" t="str">
        <f ca="1"/>
        <v>=SUM(IF(matches_played=B17,1,0))</v>
      </c>
      <c r="H17" s="2">
        <v>0</v>
      </c>
      <c r="K17" s="2" t="str">
        <v/>
      </c>
    </row>
    <row r="18" spans="1:13">
      <c r="A18" s="2">
        <v>0</v>
      </c>
      <c r="B18">
        <v>5</v>
      </c>
      <c r="C18" s="2" cm="1">
        <f t="array" ref="C18">SUM(IF(matches_played=B18,1,0))</f>
        <v>8</v>
      </c>
      <c r="D18" t="str">
        <f ca="1"/>
        <v>=SUM(IF(matches_played=B18,1,0))</v>
      </c>
      <c r="H18" s="2">
        <v>0</v>
      </c>
      <c r="K18" s="2" t="str">
        <v/>
      </c>
    </row>
    <row r="19" spans="1:13">
      <c r="A19" s="2">
        <v>1</v>
      </c>
      <c r="B19">
        <v>6</v>
      </c>
      <c r="C19" s="2" cm="1">
        <f t="array" ref="C19">SUM(IF(matches_played=B19,1,0))</f>
        <v>24</v>
      </c>
      <c r="D19" t="str">
        <f ca="1"/>
        <v>=SUM(IF(matches_played=B19,1,0))</v>
      </c>
      <c r="H19" s="2">
        <v>0</v>
      </c>
      <c r="K19" s="2" t="str">
        <v/>
      </c>
    </row>
    <row r="20" spans="1:13">
      <c r="A20" s="2">
        <v>0</v>
      </c>
      <c r="B20">
        <v>7</v>
      </c>
      <c r="C20" s="2" cm="1">
        <f t="array" ref="C20">SUM(IF(matches_played=B20,1,0))</f>
        <v>8</v>
      </c>
      <c r="D20" t="str">
        <f ca="1"/>
        <v>=SUM(IF(matches_played=B20,1,0))</v>
      </c>
      <c r="H20" s="2">
        <v>1</v>
      </c>
      <c r="K20" s="2" t="str">
        <v>Ground</v>
      </c>
    </row>
    <row r="21" spans="1:13">
      <c r="A21" s="2">
        <v>0</v>
      </c>
      <c r="H21" s="2">
        <v>0</v>
      </c>
      <c r="K21" s="2" t="str">
        <v/>
      </c>
    </row>
    <row r="22" spans="1:13">
      <c r="A22" s="2">
        <v>0</v>
      </c>
      <c r="H22" s="2">
        <v>0</v>
      </c>
      <c r="K22" s="2" t="str">
        <v/>
      </c>
    </row>
    <row r="23" spans="1:13">
      <c r="A23" s="2">
        <v>0</v>
      </c>
      <c r="H23" s="2">
        <v>0</v>
      </c>
      <c r="K23" s="2" t="str">
        <v/>
      </c>
    </row>
    <row r="24" spans="1:13">
      <c r="A24" s="2">
        <v>0</v>
      </c>
      <c r="H24" s="2">
        <v>1</v>
      </c>
      <c r="K24" s="2" t="str">
        <v>Rock</v>
      </c>
    </row>
    <row r="25" spans="1:13">
      <c r="A25" s="2">
        <v>0</v>
      </c>
      <c r="H25" s="2">
        <v>0</v>
      </c>
      <c r="K25" s="2" t="str">
        <v/>
      </c>
    </row>
    <row r="26" spans="1:13">
      <c r="A26" s="2">
        <v>1</v>
      </c>
      <c r="H26" s="2">
        <v>0</v>
      </c>
      <c r="K26" s="2" t="str">
        <v/>
      </c>
    </row>
    <row r="27" spans="1:13">
      <c r="A27" s="2">
        <v>0</v>
      </c>
      <c r="H27" s="2">
        <v>0</v>
      </c>
      <c r="K27" s="2" t="str">
        <v/>
      </c>
    </row>
    <row r="28" spans="1:13">
      <c r="A28" s="2">
        <v>0</v>
      </c>
      <c r="H28" s="2">
        <v>0</v>
      </c>
      <c r="K28" s="2" t="str">
        <v/>
      </c>
    </row>
    <row r="29" spans="1:13">
      <c r="A29" s="2">
        <v>0</v>
      </c>
      <c r="H29" s="2">
        <v>0</v>
      </c>
      <c r="K29" s="2" t="str">
        <v/>
      </c>
    </row>
    <row r="30" spans="1:13" ht="16.5" thickBot="1">
      <c r="A30" s="2">
        <v>0</v>
      </c>
    </row>
    <row r="31" spans="1:13">
      <c r="A31" s="2">
        <v>0</v>
      </c>
      <c r="C31" s="3" t="s">
        <v>104</v>
      </c>
      <c r="D31" s="4" t="s">
        <v>105</v>
      </c>
      <c r="E31" s="4" t="s">
        <v>106</v>
      </c>
      <c r="F31" s="5" t="s">
        <v>107</v>
      </c>
      <c r="I31" t="str">
        <f ca="1">_xlfn.FORMULATEXT(I32)</f>
        <v>=VLOOKUP(H32,lossratios,{2,4},FALSE)</v>
      </c>
      <c r="M31" t="str">
        <f ca="1">_xlfn.FORMULATEXT(M32)</f>
        <v>=AVERAGE(VLOOKUP(H32,lossratios,{2,4},FALSE))</v>
      </c>
    </row>
    <row r="32" spans="1:13">
      <c r="A32" s="2">
        <v>0</v>
      </c>
      <c r="C32" s="6" t="s">
        <v>108</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c r="A33" s="2">
        <v>1</v>
      </c>
      <c r="C33" s="6" t="s">
        <v>109</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c r="A34" s="2">
        <v>0</v>
      </c>
      <c r="C34" s="6" t="s">
        <v>110</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6.5" thickBot="1">
      <c r="A35" s="2">
        <v>1</v>
      </c>
      <c r="C35" s="8" t="s">
        <v>111</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c r="A36" s="2">
        <v>0</v>
      </c>
    </row>
    <row r="37" spans="1:13">
      <c r="A37" s="2">
        <v>0</v>
      </c>
      <c r="H37" t="str">
        <f>C32</f>
        <v>Motor</v>
      </c>
      <c r="I37" s="2" cm="1">
        <f t="array" ref="I37:I38">VLOOKUP(H37,lossratios,{2;4},FALSE)</f>
        <v>0.92900000000000005</v>
      </c>
      <c r="J37" t="str">
        <f ca="1">_xlfn.FORMULATEXT(I37)</f>
        <v>=VLOOKUP(H37,lossratios,{2;4},FALSE)</v>
      </c>
    </row>
    <row r="38" spans="1:13">
      <c r="A38" s="2">
        <v>0</v>
      </c>
      <c r="I38" s="2">
        <v>0.94099999999999995</v>
      </c>
    </row>
    <row r="39" spans="1:13">
      <c r="A39" s="2">
        <v>0</v>
      </c>
    </row>
    <row r="40" spans="1:13">
      <c r="A40" s="2">
        <v>0</v>
      </c>
    </row>
    <row r="41" spans="1:13" hidden="1">
      <c r="A41" s="2">
        <v>0</v>
      </c>
    </row>
    <row r="42" spans="1:13" hidden="1">
      <c r="A42" s="2">
        <v>0</v>
      </c>
    </row>
    <row r="43" spans="1:13" hidden="1">
      <c r="A43" s="2">
        <v>0</v>
      </c>
    </row>
    <row r="44" spans="1:13" hidden="1">
      <c r="A44" s="2">
        <v>0</v>
      </c>
    </row>
    <row r="45" spans="1:13" hidden="1">
      <c r="A45" s="2">
        <v>1</v>
      </c>
    </row>
    <row r="46" spans="1:13" hidden="1">
      <c r="A46" s="2">
        <v>0</v>
      </c>
    </row>
    <row r="47" spans="1:13" hidden="1">
      <c r="A47" s="2">
        <v>1</v>
      </c>
    </row>
    <row r="48" spans="1:13" hidden="1">
      <c r="A48" s="2">
        <v>1</v>
      </c>
    </row>
    <row r="49" spans="1:1" hidden="1">
      <c r="A49" s="2">
        <v>0</v>
      </c>
    </row>
    <row r="50" spans="1:1" hidden="1">
      <c r="A50" s="2">
        <v>0</v>
      </c>
    </row>
    <row r="51" spans="1:1" hidden="1">
      <c r="A51" s="2">
        <v>0</v>
      </c>
    </row>
    <row r="52" spans="1:1" hidden="1">
      <c r="A52" s="2">
        <v>0</v>
      </c>
    </row>
    <row r="53" spans="1:1" hidden="1">
      <c r="A53" s="2">
        <v>0</v>
      </c>
    </row>
    <row r="54" spans="1:1" hidden="1">
      <c r="A54" s="2">
        <v>0</v>
      </c>
    </row>
    <row r="55" spans="1:1" hidden="1">
      <c r="A55" s="2">
        <v>0</v>
      </c>
    </row>
    <row r="56" spans="1:1" hidden="1">
      <c r="A56" s="2">
        <v>0</v>
      </c>
    </row>
    <row r="57" spans="1:1" hidden="1">
      <c r="A57" s="2">
        <v>0</v>
      </c>
    </row>
    <row r="58" spans="1:1" hidden="1">
      <c r="A58" s="2">
        <v>0</v>
      </c>
    </row>
    <row r="59" spans="1:1" hidden="1">
      <c r="A59" s="2">
        <v>1</v>
      </c>
    </row>
    <row r="60" spans="1:1" hidden="1">
      <c r="A60" s="2">
        <v>0</v>
      </c>
    </row>
    <row r="61" spans="1:1" hidden="1">
      <c r="A61" s="2">
        <v>0</v>
      </c>
    </row>
    <row r="62" spans="1:1" hidden="1">
      <c r="A62" s="2">
        <v>0</v>
      </c>
    </row>
    <row r="63" spans="1:1" hidden="1">
      <c r="A63" s="2">
        <v>0</v>
      </c>
    </row>
    <row r="64" spans="1:1" hidden="1">
      <c r="A64" s="2">
        <v>0</v>
      </c>
    </row>
    <row r="65" spans="1:1" hidden="1">
      <c r="A65" s="2">
        <v>0</v>
      </c>
    </row>
    <row r="66" spans="1:1" hidden="1">
      <c r="A66" s="2">
        <v>0</v>
      </c>
    </row>
    <row r="67" spans="1:1" hidden="1">
      <c r="A67" s="2">
        <v>0</v>
      </c>
    </row>
    <row r="68" spans="1:1" hidden="1">
      <c r="A68" s="2">
        <v>0</v>
      </c>
    </row>
    <row r="69" spans="1:1" hidden="1">
      <c r="A69" s="2">
        <v>0</v>
      </c>
    </row>
    <row r="70" spans="1:1" hidden="1">
      <c r="A70" s="2">
        <v>0</v>
      </c>
    </row>
    <row r="71" spans="1:1" hidden="1">
      <c r="A71" s="2">
        <v>0</v>
      </c>
    </row>
    <row r="72" spans="1:1" hidden="1">
      <c r="A72" s="2">
        <v>0</v>
      </c>
    </row>
    <row r="73" spans="1:1" hidden="1">
      <c r="A73" s="2">
        <v>0</v>
      </c>
    </row>
    <row r="74" spans="1:1" hidden="1">
      <c r="A74" s="2">
        <v>0</v>
      </c>
    </row>
    <row r="75" spans="1:1" hidden="1">
      <c r="A75" s="2">
        <v>0</v>
      </c>
    </row>
    <row r="76" spans="1:1" hidden="1">
      <c r="A76" s="2">
        <v>0</v>
      </c>
    </row>
    <row r="77" spans="1:1" hidden="1">
      <c r="A77" s="2">
        <v>0</v>
      </c>
    </row>
    <row r="78" spans="1:1" hidden="1">
      <c r="A78" s="2">
        <v>0</v>
      </c>
    </row>
    <row r="79" spans="1:1" hidden="1">
      <c r="A79" s="2">
        <v>0</v>
      </c>
    </row>
    <row r="80" spans="1:1" hidden="1">
      <c r="A80" s="2">
        <v>0</v>
      </c>
    </row>
    <row r="81" spans="1:1" hidden="1">
      <c r="A81" s="2">
        <v>0</v>
      </c>
    </row>
    <row r="82" spans="1:1" hidden="1">
      <c r="A82" s="2">
        <v>0</v>
      </c>
    </row>
    <row r="83" spans="1:1" hidden="1">
      <c r="A83" s="2">
        <v>0</v>
      </c>
    </row>
    <row r="84" spans="1:1" hidden="1">
      <c r="A84" s="2">
        <v>0</v>
      </c>
    </row>
    <row r="85" spans="1:1" hidden="1">
      <c r="A85" s="2">
        <v>0</v>
      </c>
    </row>
    <row r="86" spans="1:1" hidden="1">
      <c r="A86" s="2">
        <v>0</v>
      </c>
    </row>
    <row r="87" spans="1:1" hidden="1">
      <c r="A87" s="2">
        <v>0</v>
      </c>
    </row>
    <row r="88" spans="1:1" hidden="1">
      <c r="A88" s="2">
        <v>0</v>
      </c>
    </row>
    <row r="89" spans="1:1" hidden="1">
      <c r="A89" s="2">
        <v>0</v>
      </c>
    </row>
    <row r="90" spans="1:1" hidden="1">
      <c r="A90" s="2">
        <v>0</v>
      </c>
    </row>
    <row r="91" spans="1:1" hidden="1">
      <c r="A91" s="2">
        <v>0</v>
      </c>
    </row>
    <row r="92" spans="1:1" hidden="1">
      <c r="A92" s="2">
        <v>0</v>
      </c>
    </row>
    <row r="93" spans="1:1" hidden="1">
      <c r="A93" s="2">
        <v>0</v>
      </c>
    </row>
    <row r="94" spans="1:1" hidden="1">
      <c r="A94" s="2">
        <v>0</v>
      </c>
    </row>
    <row r="95" spans="1:1" hidden="1">
      <c r="A95" s="2">
        <v>0</v>
      </c>
    </row>
    <row r="96" spans="1:1" hidden="1">
      <c r="A96" s="2">
        <v>0</v>
      </c>
    </row>
    <row r="97" spans="1:1" hidden="1">
      <c r="A97" s="2">
        <v>0</v>
      </c>
    </row>
    <row r="98" spans="1:1" hidden="1">
      <c r="A98" s="2">
        <v>0</v>
      </c>
    </row>
    <row r="99" spans="1:1" hidden="1">
      <c r="A99" s="2">
        <v>0</v>
      </c>
    </row>
    <row r="100" spans="1:1" hidden="1">
      <c r="A100" s="2">
        <v>0</v>
      </c>
    </row>
    <row r="101" spans="1:1" hidden="1">
      <c r="A101" s="2">
        <v>0</v>
      </c>
    </row>
    <row r="102" spans="1:1" hidden="1">
      <c r="A102" s="2">
        <v>0</v>
      </c>
    </row>
    <row r="103" spans="1:1" hidden="1">
      <c r="A103" s="2">
        <v>0</v>
      </c>
    </row>
    <row r="104" spans="1:1" hidden="1">
      <c r="A104" s="2">
        <v>0</v>
      </c>
    </row>
    <row r="105" spans="1:1" hidden="1">
      <c r="A105" s="2">
        <v>0</v>
      </c>
    </row>
    <row r="106" spans="1:1" hidden="1">
      <c r="A106" s="2">
        <v>0</v>
      </c>
    </row>
    <row r="107" spans="1:1" hidden="1">
      <c r="A107" s="2">
        <v>0</v>
      </c>
    </row>
    <row r="108" spans="1:1" hidden="1">
      <c r="A108" s="2">
        <v>0</v>
      </c>
    </row>
    <row r="109" spans="1:1" hidden="1">
      <c r="A109" s="2">
        <v>0</v>
      </c>
    </row>
    <row r="110" spans="1:1" hidden="1">
      <c r="A110" s="2">
        <v>0</v>
      </c>
    </row>
    <row r="111" spans="1:1" hidden="1">
      <c r="A111" s="2">
        <v>0</v>
      </c>
    </row>
    <row r="112" spans="1:1" hidden="1">
      <c r="A112" s="2">
        <v>0</v>
      </c>
    </row>
    <row r="113" spans="1:1" hidden="1">
      <c r="A113" s="2">
        <v>0</v>
      </c>
    </row>
    <row r="114" spans="1:1" hidden="1">
      <c r="A114" s="2">
        <v>0</v>
      </c>
    </row>
    <row r="115" spans="1:1" hidden="1">
      <c r="A115" s="2">
        <v>0</v>
      </c>
    </row>
    <row r="116" spans="1:1" hidden="1">
      <c r="A116" s="2">
        <v>0</v>
      </c>
    </row>
    <row r="117" spans="1:1" hidden="1">
      <c r="A117" s="2">
        <v>0</v>
      </c>
    </row>
    <row r="118" spans="1:1" hidden="1">
      <c r="A118" s="2">
        <v>0</v>
      </c>
    </row>
    <row r="119" spans="1:1" hidden="1">
      <c r="A119" s="2">
        <v>0</v>
      </c>
    </row>
    <row r="120" spans="1:1" hidden="1">
      <c r="A120" s="2">
        <v>0</v>
      </c>
    </row>
    <row r="121" spans="1:1" hidden="1">
      <c r="A121" s="2">
        <v>0</v>
      </c>
    </row>
    <row r="122" spans="1:1" hidden="1">
      <c r="A122" s="2">
        <v>0</v>
      </c>
    </row>
    <row r="123" spans="1:1" hidden="1">
      <c r="A123" s="2">
        <v>0</v>
      </c>
    </row>
    <row r="124" spans="1:1" hidden="1">
      <c r="A124" s="2">
        <v>0</v>
      </c>
    </row>
    <row r="125" spans="1:1" hidden="1">
      <c r="A125" s="2">
        <v>0</v>
      </c>
    </row>
    <row r="126" spans="1:1" hidden="1">
      <c r="A126" s="2">
        <v>0</v>
      </c>
    </row>
    <row r="127" spans="1:1" hidden="1">
      <c r="A127" s="2">
        <v>0</v>
      </c>
    </row>
    <row r="128" spans="1:1" hidden="1">
      <c r="A128" s="2">
        <v>0</v>
      </c>
    </row>
    <row r="129" spans="1:1" hidden="1">
      <c r="A129" s="2">
        <v>0</v>
      </c>
    </row>
    <row r="130" spans="1:1" hidden="1">
      <c r="A130" s="2">
        <v>0</v>
      </c>
    </row>
    <row r="131" spans="1:1" hidden="1">
      <c r="A131" s="2">
        <v>0</v>
      </c>
    </row>
    <row r="132" spans="1:1" hidden="1">
      <c r="A132" s="2">
        <v>0</v>
      </c>
    </row>
    <row r="133" spans="1:1" hidden="1">
      <c r="A133" s="2">
        <v>0</v>
      </c>
    </row>
    <row r="134" spans="1:1" hidden="1">
      <c r="A134" s="2">
        <v>0</v>
      </c>
    </row>
    <row r="135" spans="1:1" hidden="1">
      <c r="A135" s="2">
        <v>0</v>
      </c>
    </row>
    <row r="136" spans="1:1" hidden="1">
      <c r="A136" s="2">
        <v>0</v>
      </c>
    </row>
    <row r="137" spans="1:1" hidden="1">
      <c r="A137" s="2">
        <v>0</v>
      </c>
    </row>
    <row r="138" spans="1:1" hidden="1">
      <c r="A138" s="2">
        <v>0</v>
      </c>
    </row>
    <row r="139" spans="1:1" hidden="1">
      <c r="A139" s="2">
        <v>0</v>
      </c>
    </row>
    <row r="140" spans="1:1" hidden="1">
      <c r="A140" s="2">
        <v>0</v>
      </c>
    </row>
    <row r="141" spans="1:1" hidden="1">
      <c r="A141" s="2">
        <v>0</v>
      </c>
    </row>
    <row r="142" spans="1:1" hidden="1">
      <c r="A142" s="2">
        <v>0</v>
      </c>
    </row>
    <row r="143" spans="1:1" hidden="1">
      <c r="A143" s="2">
        <v>0</v>
      </c>
    </row>
    <row r="144" spans="1:1">
      <c r="A144" s="2">
        <v>0</v>
      </c>
    </row>
    <row r="145" spans="1:12">
      <c r="A145" s="2">
        <v>0</v>
      </c>
    </row>
    <row r="146" spans="1:12">
      <c r="A146" s="2">
        <v>0</v>
      </c>
    </row>
    <row r="147" spans="1:12">
      <c r="A147" s="2">
        <v>0</v>
      </c>
    </row>
    <row r="149" spans="1:12" s="1" customFormat="1"/>
    <row r="150" spans="1:12">
      <c r="A150" s="12" t="s">
        <v>112</v>
      </c>
    </row>
    <row r="152" spans="1:1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c r="C153" s="2">
        <v>0</v>
      </c>
      <c r="E153" s="2">
        <f>SUM(_xlfn.ANCHORARRAY(H12))</f>
        <v>3</v>
      </c>
      <c r="F153" t="str">
        <f ca="1">_xlfn.FORMULATEXT(E153)</f>
        <v>=SUM(H12#)</v>
      </c>
      <c r="H153" s="2">
        <v>2</v>
      </c>
      <c r="K153" s="2">
        <f>SUM(_xlfn.ANCHORARRAY(H152))</f>
        <v>15</v>
      </c>
      <c r="L153" t="str">
        <f ca="1">_xlfn.FORMULATEXT(K153)</f>
        <v>=SUM(H152#)</v>
      </c>
    </row>
    <row r="154" spans="1:12">
      <c r="C154" s="2">
        <v>1</v>
      </c>
      <c r="H154" s="2">
        <v>3</v>
      </c>
    </row>
    <row r="155" spans="1:12">
      <c r="C155" s="2">
        <v>0</v>
      </c>
      <c r="H155" s="2">
        <v>4</v>
      </c>
      <c r="J155" s="12" t="s">
        <v>113</v>
      </c>
    </row>
    <row r="156" spans="1:12">
      <c r="C156" s="2">
        <v>0</v>
      </c>
      <c r="H156" s="2">
        <v>5</v>
      </c>
    </row>
    <row r="157" spans="1:12">
      <c r="C157" s="2">
        <v>0</v>
      </c>
    </row>
    <row r="158" spans="1:12">
      <c r="C158" s="2">
        <v>0</v>
      </c>
    </row>
    <row r="159" spans="1:12">
      <c r="C159" s="2">
        <v>0</v>
      </c>
    </row>
    <row r="160" spans="1:12">
      <c r="C160" s="2">
        <v>1</v>
      </c>
    </row>
    <row r="161" spans="1:7">
      <c r="C161" s="2">
        <v>0</v>
      </c>
    </row>
    <row r="162" spans="1:7">
      <c r="C162" s="2">
        <v>0</v>
      </c>
    </row>
    <row r="163" spans="1:7">
      <c r="C163" s="2">
        <v>0</v>
      </c>
    </row>
    <row r="164" spans="1:7">
      <c r="C164" s="2">
        <v>1</v>
      </c>
    </row>
    <row r="165" spans="1:7">
      <c r="C165" s="2">
        <v>0</v>
      </c>
    </row>
    <row r="166" spans="1:7">
      <c r="C166" s="2">
        <v>0</v>
      </c>
    </row>
    <row r="167" spans="1:7">
      <c r="C167" s="2">
        <v>0</v>
      </c>
    </row>
    <row r="168" spans="1:7">
      <c r="C168" s="2">
        <v>0</v>
      </c>
    </row>
    <row r="169" spans="1:7">
      <c r="C169" s="2">
        <v>0</v>
      </c>
    </row>
    <row r="171" spans="1:7" s="1" customFormat="1"/>
    <row r="172" spans="1:7">
      <c r="A172" s="12" t="s">
        <v>114</v>
      </c>
    </row>
    <row r="174" spans="1:7">
      <c r="A174" s="67" t="s">
        <v>115</v>
      </c>
    </row>
    <row r="176" spans="1:7">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c r="A177" s="2" t="str">
        <v>England</v>
      </c>
      <c r="F177" s="2" t="str">
        <v>Netherlands</v>
      </c>
    </row>
    <row r="178" spans="1:18">
      <c r="A178" s="2" t="str">
        <v>Netherlands</v>
      </c>
      <c r="F178" s="2" t="str">
        <v>Sweden</v>
      </c>
    </row>
    <row r="179" spans="1:18">
      <c r="A179" s="2" t="str">
        <v>Sweden</v>
      </c>
      <c r="F179" s="2" t="str">
        <v>USA</v>
      </c>
    </row>
    <row r="180" spans="1:18">
      <c r="A180" s="2" t="str">
        <v>USA</v>
      </c>
      <c r="F180" s="2" t="str">
        <v>Germany</v>
      </c>
    </row>
    <row r="181" spans="1:18">
      <c r="A181" s="2" t="str">
        <v>Germany</v>
      </c>
      <c r="F181" s="2" t="str">
        <v>Japan</v>
      </c>
    </row>
    <row r="182" spans="1:18">
      <c r="A182" s="2" t="str">
        <v>Japan</v>
      </c>
    </row>
    <row r="183" spans="1:18" s="74" customFormat="1"/>
    <row r="185" spans="1:18">
      <c r="A185" s="12" t="s">
        <v>116</v>
      </c>
      <c r="H185" s="12" t="s">
        <v>117</v>
      </c>
    </row>
    <row r="186" spans="1:18">
      <c r="H186" s="67" t="s">
        <v>118</v>
      </c>
    </row>
    <row r="187" spans="1:18">
      <c r="B187" s="75" t="str" cm="1">
        <f t="array" ref="B187:E191">lossratios</f>
        <v>Loss ratios</v>
      </c>
      <c r="C187" s="76" t="str">
        <v>NSW</v>
      </c>
      <c r="D187" s="76" t="str">
        <v>VIC</v>
      </c>
      <c r="E187" s="77" t="str">
        <v>ACT</v>
      </c>
      <c r="H187" t="str">
        <f ca="1">_xlfn.FORMULATEXT(H188)</f>
        <v>=VLOOKUP(products,B188:E191,4, FALSE)</v>
      </c>
      <c r="M187" s="67" t="s">
        <v>119</v>
      </c>
    </row>
    <row r="188" spans="1:18">
      <c r="B188" s="78" t="str">
        <v>Motor</v>
      </c>
      <c r="C188">
        <v>0.92900000000000005</v>
      </c>
      <c r="D188">
        <v>0.76500000000000001</v>
      </c>
      <c r="E188" s="79">
        <v>0.94099999999999995</v>
      </c>
      <c r="H188" s="2" cm="1">
        <f t="array" ref="H188:H192">VLOOKUP(products,B188:E191,4, FALSE)</f>
        <v>0.94099999999999995</v>
      </c>
      <c r="M188" s="67" t="s">
        <v>120</v>
      </c>
    </row>
    <row r="189" spans="1:18">
      <c r="B189" s="78" t="str">
        <v>Liability</v>
      </c>
      <c r="C189">
        <v>0.61199999999999999</v>
      </c>
      <c r="D189">
        <v>0.76100000000000001</v>
      </c>
      <c r="E189" s="79">
        <v>1.093</v>
      </c>
      <c r="H189" s="2">
        <v>0.65900000000000003</v>
      </c>
      <c r="I189" t="s">
        <v>121</v>
      </c>
      <c r="M189" t="str">
        <f ca="1">_xlfn.FORMULATEXT(M190)</f>
        <v>=VLOOKUP(E197,B188:E191,{2,4;1,3;4,2},FALSE)</v>
      </c>
    </row>
    <row r="190" spans="1:18">
      <c r="B190" s="78" t="str">
        <v>Life</v>
      </c>
      <c r="C190">
        <v>0.871</v>
      </c>
      <c r="D190">
        <v>0.92800000000000005</v>
      </c>
      <c r="E190" s="79">
        <v>0.65900000000000003</v>
      </c>
      <c r="H190" s="2">
        <v>1.093</v>
      </c>
      <c r="I190" t="s">
        <v>122</v>
      </c>
      <c r="M190" s="2" cm="1">
        <f t="array" ref="M190:N192">VLOOKUP(E197,B188:E191,{2,4;1,3;4,2},FALSE)</f>
        <v>0.92900000000000005</v>
      </c>
      <c r="N190" s="2">
        <v>0.94099999999999995</v>
      </c>
      <c r="O190" t="s">
        <v>123</v>
      </c>
      <c r="P190" s="67"/>
      <c r="Q190" s="67"/>
      <c r="R190" s="67"/>
    </row>
    <row r="191" spans="1:18">
      <c r="B191" s="80" t="str">
        <v>Property</v>
      </c>
      <c r="C191" s="74">
        <v>1.0489999999999999</v>
      </c>
      <c r="D191" s="74">
        <v>0.67500000000000004</v>
      </c>
      <c r="E191" s="81">
        <v>0.96699999999999997</v>
      </c>
      <c r="H191" s="2">
        <v>0.96699999999999997</v>
      </c>
      <c r="I191" t="s">
        <v>124</v>
      </c>
      <c r="M191" s="2" t="str">
        <v>Motor</v>
      </c>
      <c r="N191" s="2">
        <v>0.76500000000000001</v>
      </c>
      <c r="O191" t="s">
        <v>125</v>
      </c>
      <c r="P191" s="67"/>
      <c r="Q191" s="67"/>
      <c r="R191" s="67"/>
    </row>
    <row r="192" spans="1:18">
      <c r="H192" t="e">
        <v>#N/A</v>
      </c>
      <c r="I192" t="s">
        <v>126</v>
      </c>
      <c r="M192" s="2">
        <v>0.94099999999999995</v>
      </c>
      <c r="N192" s="2">
        <v>0.92900000000000005</v>
      </c>
      <c r="O192" t="s">
        <v>127</v>
      </c>
      <c r="P192" s="67"/>
      <c r="Q192" s="67"/>
      <c r="R192" s="67"/>
    </row>
    <row r="195" spans="5:20">
      <c r="H195" s="85" t="s">
        <v>128</v>
      </c>
    </row>
    <row r="196" spans="5:20">
      <c r="E196" s="82" t="s">
        <v>129</v>
      </c>
      <c r="H196" s="67" t="s">
        <v>130</v>
      </c>
      <c r="N196" s="86" t="s">
        <v>131</v>
      </c>
      <c r="R196" s="67" t="s">
        <v>132</v>
      </c>
    </row>
    <row r="197" spans="5:20">
      <c r="E197" s="83" t="s">
        <v>108</v>
      </c>
      <c r="H197" t="str">
        <f ca="1">_xlfn.FORMULATEXT(H198)</f>
        <v>=XLOOKUP(products,loss_ratios,E188:E191,"No such product")</v>
      </c>
      <c r="N197" s="88" t="str">
        <f ca="1">_xlfn.FORMULATEXT(N198)</f>
        <v>=MATCH(B188,loss_ratios,0)</v>
      </c>
      <c r="T197" s="88" t="str">
        <f ca="1">_xlfn.FORMULATEXT(T198)</f>
        <v>=INDEX(C$188:C$191,MATCH(B188,loss_ratios,0))</v>
      </c>
    </row>
    <row r="198" spans="5:20">
      <c r="E198" s="83" t="s">
        <v>110</v>
      </c>
      <c r="H198" s="2" cm="1">
        <f t="array" ref="H198:H202">_xlfn.XLOOKUP(products,loss_ratios,E188:E191,"No such product")</f>
        <v>0.94099999999999995</v>
      </c>
      <c r="N198" s="2">
        <f>MATCH(B188,loss_ratios,0)</f>
        <v>1</v>
      </c>
      <c r="T198" s="2">
        <f>INDEX(C$188:C$191,MATCH(B188,loss_ratios,0))</f>
        <v>0.92900000000000005</v>
      </c>
    </row>
    <row r="199" spans="5:20">
      <c r="E199" s="83" t="s">
        <v>109</v>
      </c>
      <c r="H199" s="2">
        <v>0.65900000000000003</v>
      </c>
      <c r="I199" t="s">
        <v>133</v>
      </c>
      <c r="N199" s="2">
        <f t="shared" ref="N199:N201" si="0">MATCH(B189,B$188:B$191,0)</f>
        <v>2</v>
      </c>
      <c r="T199" s="2">
        <f>INDEX(C$188:C$191,MATCH(B189,B$188:B$191,0))</f>
        <v>0.61199999999999999</v>
      </c>
    </row>
    <row r="200" spans="5:20">
      <c r="E200" s="83" t="s">
        <v>111</v>
      </c>
      <c r="H200" s="2">
        <v>1.093</v>
      </c>
      <c r="I200" t="s">
        <v>134</v>
      </c>
      <c r="N200" s="2">
        <f t="shared" si="0"/>
        <v>3</v>
      </c>
      <c r="T200" s="2">
        <f>INDEX(C$188:C$191,MATCH(B190,B$188:B$191,0))</f>
        <v>0.871</v>
      </c>
    </row>
    <row r="201" spans="5:20">
      <c r="E201" s="84" t="s">
        <v>135</v>
      </c>
      <c r="H201" s="2">
        <v>0.96699999999999997</v>
      </c>
      <c r="N201" s="2">
        <f t="shared" si="0"/>
        <v>4</v>
      </c>
      <c r="T201" s="2">
        <f>INDEX(C$188:C$191,MATCH(B191,B$188:B$191,0))</f>
        <v>1.0489999999999999</v>
      </c>
    </row>
    <row r="202" spans="5:20">
      <c r="H202" s="2" t="str">
        <v>No such product</v>
      </c>
    </row>
    <row r="203" spans="5:20">
      <c r="N203" s="12" t="s">
        <v>136</v>
      </c>
      <c r="O203" s="67" t="s">
        <v>137</v>
      </c>
    </row>
    <row r="204" spans="5:20">
      <c r="H204" t="s">
        <v>138</v>
      </c>
      <c r="N204" t="str">
        <f ca="1">_xlfn.FORMULATEXT(N205)</f>
        <v>=INDEX(products,2)</v>
      </c>
    </row>
    <row r="205" spans="5:20">
      <c r="H205" s="67" t="s">
        <v>139</v>
      </c>
      <c r="J205" s="67" t="s">
        <v>140</v>
      </c>
      <c r="N205" s="2" t="str">
        <f>INDEX(products,2)</f>
        <v>Life</v>
      </c>
    </row>
    <row r="206" spans="5:20">
      <c r="H206" s="2">
        <f>_xlfn.XLOOKUP("Argentina",squad, goals,,0,1)</f>
        <v>2</v>
      </c>
      <c r="I206" t="str">
        <f ca="1">_xlfn.FORMULATEXT(H206)</f>
        <v>=XLOOKUP("Argentina",squad, goals,,0,1)</v>
      </c>
    </row>
    <row r="207" spans="5:20">
      <c r="H207" s="2">
        <f>_xlfn.XLOOKUP("Argentina",squad, goals,,0,-1)</f>
        <v>1</v>
      </c>
      <c r="I207" t="str">
        <f ca="1">_xlfn.FORMULATEXT(H207)</f>
        <v>=XLOOKUP("Argentina",squad, goals,,0,-1)</v>
      </c>
    </row>
    <row r="208" spans="5:20">
      <c r="N208" s="87" t="s">
        <v>141</v>
      </c>
      <c r="R208" s="67" t="s">
        <v>142</v>
      </c>
    </row>
    <row r="209" spans="8:18">
      <c r="H209" t="s">
        <v>143</v>
      </c>
      <c r="N209" s="2">
        <f>_xlfn.XMATCH("Argentina",squad,0,1)</f>
        <v>1</v>
      </c>
      <c r="O209" s="88" t="str">
        <f ca="1">_xlfn.FORMULATEXT(N209)</f>
        <v>=XMATCH("Argentina",squad,0,1)</v>
      </c>
      <c r="R209" t="str">
        <f ca="1">_xlfn.FORMULATEXT(R210)</f>
        <v>=INDEX(goals, XMATCH("Argentina",squad,0,-1))</v>
      </c>
    </row>
    <row r="210" spans="8:18">
      <c r="H210" t="s">
        <v>144</v>
      </c>
      <c r="N210" s="2">
        <f>_xlfn.XMATCH("Argentina",squad,0,-1)</f>
        <v>81</v>
      </c>
      <c r="O210" s="88"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workbookViewId="0">
      <selection activeCell="D14" sqref="D14"/>
    </sheetView>
  </sheetViews>
  <sheetFormatPr defaultRowHeight="15.75"/>
  <cols>
    <col min="10" max="10" width="11.125" customWidth="1"/>
    <col min="11" max="11" width="9.875" customWidth="1"/>
    <col min="13" max="13" width="9" customWidth="1"/>
    <col min="14" max="14" width="12.75" customWidth="1"/>
  </cols>
  <sheetData>
    <row r="2" spans="1:12">
      <c r="A2" s="12" t="s">
        <v>145</v>
      </c>
    </row>
    <row r="3" spans="1:12">
      <c r="F3" s="12" t="s">
        <v>146</v>
      </c>
    </row>
    <row r="4" spans="1:12">
      <c r="B4" s="75" t="s">
        <v>147</v>
      </c>
      <c r="C4" s="77" t="s">
        <v>148</v>
      </c>
      <c r="F4" t="s">
        <v>149</v>
      </c>
    </row>
    <row r="5" spans="1:12">
      <c r="B5" s="78" t="s">
        <v>150</v>
      </c>
      <c r="C5" s="79">
        <v>624</v>
      </c>
      <c r="F5" s="100">
        <v>5</v>
      </c>
    </row>
    <row r="6" spans="1:12">
      <c r="B6" s="78" t="s">
        <v>151</v>
      </c>
      <c r="C6" s="79">
        <v>390</v>
      </c>
      <c r="F6" s="2" t="str" cm="1">
        <f t="array" aca="1" ref="F6:G6" ca="1">OFFSET(monthly_profit, F5,0,1,2)</f>
        <v>May</v>
      </c>
      <c r="G6" s="2">
        <f ca="1"/>
        <v>439</v>
      </c>
      <c r="H6" t="str">
        <f ca="1">_xlfn.FORMULATEXT(F6)</f>
        <v>=OFFSET(monthly_profit, F5,0,1,2)</v>
      </c>
    </row>
    <row r="7" spans="1:12">
      <c r="B7" s="78" t="s">
        <v>152</v>
      </c>
      <c r="C7" s="79">
        <v>1000</v>
      </c>
    </row>
    <row r="8" spans="1:12">
      <c r="B8" s="78" t="s">
        <v>153</v>
      </c>
      <c r="C8" s="79">
        <v>250</v>
      </c>
    </row>
    <row r="9" spans="1:12">
      <c r="B9" s="78" t="s">
        <v>154</v>
      </c>
      <c r="C9" s="79">
        <v>439</v>
      </c>
      <c r="F9" t="s">
        <v>155</v>
      </c>
      <c r="G9" t="s">
        <v>156</v>
      </c>
    </row>
    <row r="10" spans="1:12">
      <c r="B10" s="78" t="s">
        <v>157</v>
      </c>
      <c r="C10" s="79">
        <v>109</v>
      </c>
      <c r="F10" s="100">
        <v>3</v>
      </c>
      <c r="G10" s="100">
        <v>7</v>
      </c>
      <c r="H10" s="67" t="s">
        <v>158</v>
      </c>
    </row>
    <row r="11" spans="1:12">
      <c r="B11" s="78" t="s">
        <v>159</v>
      </c>
      <c r="C11" s="79">
        <v>530</v>
      </c>
      <c r="F11" s="2" t="str" cm="1">
        <f t="array" aca="1" ref="F11:G15" ca="1">OFFSET(monthly_profit, F10, 0,G10-F10+1,2)</f>
        <v>Mar</v>
      </c>
      <c r="G11" s="2">
        <f ca="1"/>
        <v>1000</v>
      </c>
      <c r="H11" t="str">
        <f ca="1">_xlfn.FORMULATEXT(F11)</f>
        <v>=OFFSET(monthly_profit, F10, 0,G10-F10+1,2)</v>
      </c>
      <c r="L11" s="67" t="s">
        <v>160</v>
      </c>
    </row>
    <row r="12" spans="1:12">
      <c r="B12" s="78" t="s">
        <v>161</v>
      </c>
      <c r="C12" s="79">
        <v>123</v>
      </c>
      <c r="F12" s="2" t="str">
        <f ca="1"/>
        <v>Apr</v>
      </c>
      <c r="G12" s="2">
        <f ca="1"/>
        <v>250</v>
      </c>
    </row>
    <row r="13" spans="1:12">
      <c r="B13" s="78" t="s">
        <v>162</v>
      </c>
      <c r="C13" s="79">
        <v>5345</v>
      </c>
      <c r="F13" s="2" t="str">
        <f ca="1"/>
        <v>May</v>
      </c>
      <c r="G13" s="2">
        <f ca="1"/>
        <v>439</v>
      </c>
      <c r="I13" t="s">
        <v>163</v>
      </c>
    </row>
    <row r="14" spans="1:12">
      <c r="B14" s="78" t="s">
        <v>164</v>
      </c>
      <c r="C14" s="79">
        <v>312</v>
      </c>
      <c r="F14" s="2" t="str">
        <f ca="1"/>
        <v>Jun</v>
      </c>
      <c r="G14" s="2">
        <f ca="1"/>
        <v>109</v>
      </c>
      <c r="I14" t="s">
        <v>165</v>
      </c>
    </row>
    <row r="15" spans="1:12">
      <c r="B15" s="78" t="s">
        <v>166</v>
      </c>
      <c r="C15" s="79">
        <v>98</v>
      </c>
      <c r="F15" s="2" t="str">
        <f ca="1"/>
        <v>Jul</v>
      </c>
      <c r="G15" s="2">
        <f ca="1"/>
        <v>530</v>
      </c>
      <c r="I15" t="s">
        <v>167</v>
      </c>
    </row>
    <row r="16" spans="1:12">
      <c r="B16" s="80" t="s">
        <v>168</v>
      </c>
      <c r="C16" s="81">
        <v>672</v>
      </c>
      <c r="F16" s="2"/>
      <c r="G16" s="2"/>
      <c r="I16" t="s">
        <v>169</v>
      </c>
    </row>
    <row r="17" spans="6:14">
      <c r="F17" s="2"/>
      <c r="G17" s="2"/>
      <c r="I17" t="s">
        <v>170</v>
      </c>
    </row>
    <row r="18" spans="6:14">
      <c r="F18" s="2"/>
      <c r="G18" s="2"/>
    </row>
    <row r="19" spans="6:14">
      <c r="F19" s="2"/>
      <c r="G19" s="2"/>
    </row>
    <row r="20" spans="6:14">
      <c r="F20" s="2"/>
      <c r="G20" s="2"/>
    </row>
    <row r="21" spans="6:14">
      <c r="F21" s="2"/>
      <c r="G21" s="2"/>
    </row>
    <row r="22" spans="6:14">
      <c r="F22" s="2"/>
      <c r="G22" s="2"/>
    </row>
    <row r="23" spans="6:14" s="74" customFormat="1"/>
    <row r="27" spans="6:14">
      <c r="I27" s="12" t="s">
        <v>171</v>
      </c>
      <c r="J27" s="67" t="s">
        <v>172</v>
      </c>
    </row>
    <row r="28" spans="6:14">
      <c r="I28" s="88" t="s">
        <v>173</v>
      </c>
    </row>
    <row r="29" spans="6:14">
      <c r="I29" s="2" t="str">
        <f>ADDRESS(26,2)</f>
        <v>$B$26</v>
      </c>
      <c r="J29" t="str">
        <f ca="1">_xlfn.FORMULATEXT(I29)</f>
        <v>=ADDRESS(26,2)</v>
      </c>
      <c r="L29" s="11" t="s">
        <v>174</v>
      </c>
    </row>
    <row r="30" spans="6:14">
      <c r="N30" s="11"/>
    </row>
    <row r="31" spans="6:14">
      <c r="I31" s="12" t="s">
        <v>175</v>
      </c>
      <c r="J31" s="67" t="s">
        <v>176</v>
      </c>
    </row>
    <row r="32" spans="6:14">
      <c r="I32" t="s">
        <v>177</v>
      </c>
    </row>
    <row r="33" spans="1:21">
      <c r="I33" s="2" cm="1">
        <f t="array" aca="1" ref="I33" ca="1">INDIRECT(I29)</f>
        <v>0</v>
      </c>
      <c r="J33" t="str">
        <f ca="1">_xlfn.FORMULATEXT(I33)</f>
        <v>=INDIRECT(I29)</v>
      </c>
    </row>
    <row r="35" spans="1:21">
      <c r="I35" s="12" t="s">
        <v>178</v>
      </c>
      <c r="K35" s="67" t="s">
        <v>179</v>
      </c>
      <c r="P35" s="12" t="s">
        <v>180</v>
      </c>
    </row>
    <row r="36" spans="1:21">
      <c r="I36" s="74" t="s">
        <v>155</v>
      </c>
      <c r="J36" s="74" t="s">
        <v>181</v>
      </c>
      <c r="K36" s="74" t="s">
        <v>182</v>
      </c>
      <c r="L36" s="74" t="s">
        <v>183</v>
      </c>
      <c r="M36" s="74"/>
      <c r="P36" s="74" t="s">
        <v>155</v>
      </c>
      <c r="Q36" s="74" t="s">
        <v>181</v>
      </c>
      <c r="R36" s="74" t="s">
        <v>182</v>
      </c>
      <c r="S36" s="74" t="s">
        <v>183</v>
      </c>
      <c r="T36" s="74"/>
    </row>
    <row r="37" spans="1:21">
      <c r="I37" s="100" t="s">
        <v>151</v>
      </c>
      <c r="J37" s="100" t="s">
        <v>154</v>
      </c>
      <c r="K37" s="100">
        <v>1</v>
      </c>
      <c r="L37" s="100">
        <v>3</v>
      </c>
      <c r="M37" s="67" t="s">
        <v>184</v>
      </c>
      <c r="N37" s="98" t="s">
        <v>185</v>
      </c>
      <c r="O37" s="99" t="s">
        <v>186</v>
      </c>
      <c r="P37" s="100" t="s">
        <v>152</v>
      </c>
      <c r="Q37" s="100" t="s">
        <v>157</v>
      </c>
      <c r="R37" s="100">
        <v>2</v>
      </c>
      <c r="S37" s="100">
        <v>4</v>
      </c>
    </row>
    <row r="38" spans="1:21">
      <c r="A38" s="75"/>
      <c r="B38" s="76" t="s">
        <v>150</v>
      </c>
      <c r="C38" s="76" t="s">
        <v>151</v>
      </c>
      <c r="D38" s="76" t="s">
        <v>152</v>
      </c>
      <c r="E38" s="76" t="s">
        <v>153</v>
      </c>
      <c r="F38" s="76" t="s">
        <v>154</v>
      </c>
      <c r="G38" s="77" t="s">
        <v>157</v>
      </c>
      <c r="I38" s="89" t="str" cm="1">
        <f t="array" aca="1" ref="I38:L38" ca="1">INDIRECT(ADDRESS(38,MATCH(I37,A38:G38,0))):INDIRECT(ADDRESS(38,MATCH(J37,A38:G38,0)))</f>
        <v>Feb</v>
      </c>
      <c r="J38" s="89" t="str">
        <f ca="1"/>
        <v>Mar</v>
      </c>
      <c r="K38" s="89" t="str">
        <f ca="1"/>
        <v>Apr</v>
      </c>
      <c r="L38" s="89" t="str">
        <f ca="1"/>
        <v>May</v>
      </c>
      <c r="M38" s="95"/>
      <c r="N38" s="90"/>
      <c r="P38" s="89" t="str" cm="1">
        <f t="array" aca="1" ref="P38:S38" ca="1">OFFSET(B38:G38,0,MATCH(P37,B38:G38,0)-1,1,MATCH(Q37,B38:G38,0)-MATCH(P37,B38:G38,0)+1)</f>
        <v>Mar</v>
      </c>
      <c r="Q38" s="89" t="str">
        <f ca="1"/>
        <v>Apr</v>
      </c>
      <c r="R38" s="89" t="str">
        <f ca="1"/>
        <v>May</v>
      </c>
      <c r="S38" s="89" t="str">
        <f ca="1"/>
        <v>Jun</v>
      </c>
      <c r="T38" s="95"/>
      <c r="U38" s="90"/>
    </row>
    <row r="39" spans="1:21">
      <c r="A39" s="78" t="s">
        <v>187</v>
      </c>
      <c r="B39">
        <v>3</v>
      </c>
      <c r="C39">
        <v>2</v>
      </c>
      <c r="D39">
        <v>7</v>
      </c>
      <c r="E39">
        <v>8</v>
      </c>
      <c r="F39">
        <v>6</v>
      </c>
      <c r="G39" s="79">
        <v>8</v>
      </c>
      <c r="I39" s="89" cm="1">
        <f t="array" aca="1" ref="I39:L41" ca="1">INDIRECT(ADDRESS(38+K37,MATCH(I37,A38:G38,0))):INDIRECT(ADDRESS(38+L37,MATCH(J37,A38:G38,0)))</f>
        <v>2</v>
      </c>
      <c r="J39" s="89">
        <f ca="1"/>
        <v>7</v>
      </c>
      <c r="K39" s="89">
        <f ca="1"/>
        <v>8</v>
      </c>
      <c r="L39" s="89">
        <f ca="1"/>
        <v>6</v>
      </c>
      <c r="M39" s="95"/>
      <c r="N39" s="90"/>
      <c r="P39" s="89" cm="1">
        <f t="array" aca="1" ref="P39:S41" ca="1">OFFSET(B39:G42,R37-1,MATCH(P37,B38:G38,0)-1,S37-R37+1,MATCH(Q37,B38:G38,0)-MATCH(P37,B38:G38,0)+1)</f>
        <v>9</v>
      </c>
      <c r="Q39" s="89">
        <f ca="1"/>
        <v>4</v>
      </c>
      <c r="R39" s="89">
        <f ca="1"/>
        <v>5</v>
      </c>
      <c r="S39" s="89">
        <f ca="1"/>
        <v>9</v>
      </c>
      <c r="T39" s="95"/>
      <c r="U39" s="90"/>
    </row>
    <row r="40" spans="1:21">
      <c r="A40" s="78" t="s">
        <v>188</v>
      </c>
      <c r="B40">
        <v>2</v>
      </c>
      <c r="C40">
        <v>3</v>
      </c>
      <c r="D40">
        <v>9</v>
      </c>
      <c r="E40">
        <v>4</v>
      </c>
      <c r="F40">
        <v>5</v>
      </c>
      <c r="G40" s="79">
        <v>9</v>
      </c>
      <c r="I40" s="91">
        <f ca="1"/>
        <v>3</v>
      </c>
      <c r="J40" s="91">
        <f ca="1"/>
        <v>9</v>
      </c>
      <c r="K40" s="91">
        <f ca="1"/>
        <v>4</v>
      </c>
      <c r="L40" s="91">
        <f ca="1"/>
        <v>5</v>
      </c>
      <c r="M40" s="96"/>
      <c r="N40" s="92"/>
      <c r="P40" s="91">
        <f ca="1"/>
        <v>0</v>
      </c>
      <c r="Q40" s="91">
        <f ca="1"/>
        <v>23</v>
      </c>
      <c r="R40" s="91">
        <f ca="1"/>
        <v>10</v>
      </c>
      <c r="S40" s="91">
        <f ca="1"/>
        <v>7</v>
      </c>
      <c r="T40" s="96"/>
      <c r="U40" s="92"/>
    </row>
    <row r="41" spans="1:21">
      <c r="A41" s="78" t="s">
        <v>189</v>
      </c>
      <c r="B41">
        <v>1</v>
      </c>
      <c r="C41">
        <v>7</v>
      </c>
      <c r="D41">
        <v>0</v>
      </c>
      <c r="E41">
        <v>23</v>
      </c>
      <c r="F41">
        <v>10</v>
      </c>
      <c r="G41" s="79">
        <v>7</v>
      </c>
      <c r="I41" s="91">
        <f ca="1"/>
        <v>7</v>
      </c>
      <c r="J41" s="91">
        <f ca="1"/>
        <v>0</v>
      </c>
      <c r="K41" s="91">
        <f ca="1"/>
        <v>23</v>
      </c>
      <c r="L41" s="91">
        <f ca="1"/>
        <v>10</v>
      </c>
      <c r="M41" s="96"/>
      <c r="N41" s="92"/>
      <c r="P41" s="91">
        <f ca="1"/>
        <v>2</v>
      </c>
      <c r="Q41" s="91">
        <f ca="1"/>
        <v>1</v>
      </c>
      <c r="R41" s="91">
        <f ca="1"/>
        <v>2</v>
      </c>
      <c r="S41" s="91">
        <f ca="1"/>
        <v>4</v>
      </c>
      <c r="T41" s="96"/>
      <c r="U41" s="92"/>
    </row>
    <row r="42" spans="1:21">
      <c r="A42" s="80" t="s">
        <v>190</v>
      </c>
      <c r="B42" s="74">
        <v>4</v>
      </c>
      <c r="C42" s="74">
        <v>6</v>
      </c>
      <c r="D42" s="74">
        <v>2</v>
      </c>
      <c r="E42" s="74">
        <v>1</v>
      </c>
      <c r="F42" s="74">
        <v>2</v>
      </c>
      <c r="G42" s="81">
        <v>4</v>
      </c>
      <c r="I42" s="93"/>
      <c r="J42" s="93"/>
      <c r="K42" s="93"/>
      <c r="L42" s="93"/>
      <c r="M42" s="97"/>
      <c r="N42" s="94"/>
      <c r="P42" s="93"/>
      <c r="Q42" s="93"/>
      <c r="R42" s="93"/>
      <c r="S42" s="93"/>
      <c r="T42" s="97"/>
      <c r="U42" s="94"/>
    </row>
    <row r="44" spans="1:21">
      <c r="D44" t="s">
        <v>191</v>
      </c>
      <c r="F44" t="str">
        <f ca="1">_xlfn.FORMULATEXT(I38)</f>
        <v>=INDIRECT(ADDRESS(38,MATCH(I37,A38:G38,0))):INDIRECT(ADDRESS(38,MATCH(J37,A38:G38,0)))</v>
      </c>
      <c r="P44" t="str">
        <f ca="1">_xlfn.FORMULATEXT(P38)</f>
        <v>=OFFSET(B38:G38,0,MATCH(P37,B38:G38,0)-1,1,MATCH(Q37,B38:G38,0)-MATCH(P37,B38:G38,0)+1)</v>
      </c>
    </row>
    <row r="45" spans="1:21">
      <c r="D45" t="s">
        <v>192</v>
      </c>
      <c r="F45" t="str">
        <f ca="1">_xlfn.FORMULATEXT(I39)</f>
        <v>=INDIRECT(ADDRESS(38+K37,MATCH(I37,A38:G38,0))):INDIRECT(ADDRESS(38+L37,MATCH(J37,A38:G38,0)))</v>
      </c>
      <c r="P45" t="str">
        <f ca="1">_xlfn.FORMULATEXT(P39)</f>
        <v>=OFFSET(B39:G42,R37-1,MATCH(P37,B38:G38,0)-1,S37-R37+1,MATCH(Q37,B38:G38,0)-MATCH(P37,B38:G38,0)+1)</v>
      </c>
    </row>
    <row r="46" spans="1:21">
      <c r="F46" s="67"/>
    </row>
    <row r="47" spans="1:21">
      <c r="F47" s="67"/>
      <c r="P47" s="67" t="s">
        <v>193</v>
      </c>
    </row>
    <row r="48" spans="1:21">
      <c r="B48" s="102" t="s">
        <v>194</v>
      </c>
      <c r="C48" s="76"/>
      <c r="D48" s="76"/>
      <c r="E48" s="76"/>
      <c r="F48" s="101"/>
      <c r="G48" s="76"/>
      <c r="H48" s="76"/>
      <c r="I48" s="76"/>
      <c r="J48" s="76"/>
      <c r="K48" s="76"/>
      <c r="L48" s="76"/>
      <c r="M48" s="76"/>
      <c r="N48" s="76"/>
      <c r="O48" s="76"/>
      <c r="P48" s="77"/>
    </row>
    <row r="49" spans="2:16">
      <c r="B49" s="78" t="s">
        <v>195</v>
      </c>
      <c r="D49" t="s">
        <v>196</v>
      </c>
      <c r="H49" t="s">
        <v>197</v>
      </c>
      <c r="P49" s="79"/>
    </row>
    <row r="50" spans="2:16">
      <c r="B50" s="78"/>
      <c r="D50" t="s">
        <v>198</v>
      </c>
      <c r="H50" t="s">
        <v>199</v>
      </c>
      <c r="P50" s="79"/>
    </row>
    <row r="51" spans="2:16">
      <c r="B51" s="78"/>
      <c r="D51" t="s">
        <v>200</v>
      </c>
      <c r="H51" t="s">
        <v>201</v>
      </c>
      <c r="P51" s="79"/>
    </row>
    <row r="52" spans="2:16">
      <c r="B52" s="78"/>
      <c r="P52" s="79"/>
    </row>
    <row r="53" spans="2:16">
      <c r="B53" s="78"/>
      <c r="H53" t="s">
        <v>202</v>
      </c>
      <c r="P53" s="79"/>
    </row>
    <row r="54" spans="2:16">
      <c r="B54" s="78"/>
      <c r="H54" t="s">
        <v>203</v>
      </c>
      <c r="P54" s="79"/>
    </row>
    <row r="55" spans="2:16">
      <c r="B55" s="78"/>
      <c r="P55" s="79"/>
    </row>
    <row r="56" spans="2:16">
      <c r="B56" s="78" t="s">
        <v>204</v>
      </c>
      <c r="D56" t="s">
        <v>196</v>
      </c>
      <c r="H56" t="s">
        <v>205</v>
      </c>
      <c r="P56" s="79"/>
    </row>
    <row r="57" spans="2:16">
      <c r="B57" s="78"/>
      <c r="D57" t="s">
        <v>206</v>
      </c>
      <c r="H57" t="s">
        <v>207</v>
      </c>
      <c r="P57" s="79"/>
    </row>
    <row r="58" spans="2:16">
      <c r="B58" s="78"/>
      <c r="D58" t="s">
        <v>200</v>
      </c>
      <c r="H58" t="s">
        <v>208</v>
      </c>
      <c r="P58" s="79"/>
    </row>
    <row r="59" spans="2:16">
      <c r="B59" s="78"/>
      <c r="P59" s="79"/>
    </row>
    <row r="60" spans="2:16">
      <c r="B60" s="80"/>
      <c r="C60" s="74"/>
      <c r="D60" s="74"/>
      <c r="E60" s="74"/>
      <c r="F60" s="74"/>
      <c r="G60" s="74"/>
      <c r="H60" s="74" t="s">
        <v>209</v>
      </c>
      <c r="I60" s="74"/>
      <c r="J60" s="74"/>
      <c r="K60" s="74"/>
      <c r="L60" s="74"/>
      <c r="M60" s="74"/>
      <c r="N60" s="74"/>
      <c r="O60" s="74"/>
      <c r="P60" s="81"/>
    </row>
    <row r="62" spans="2:16">
      <c r="B62" s="102" t="s">
        <v>210</v>
      </c>
      <c r="C62" s="76"/>
      <c r="D62" s="76"/>
      <c r="E62" s="76"/>
      <c r="F62" s="76"/>
      <c r="G62" s="76"/>
      <c r="H62" s="76"/>
      <c r="I62" s="76"/>
      <c r="J62" s="76"/>
      <c r="K62" s="76"/>
      <c r="L62" s="76"/>
      <c r="M62" s="76"/>
      <c r="N62" s="76"/>
      <c r="O62" s="76"/>
      <c r="P62" s="77"/>
    </row>
    <row r="63" spans="2:16">
      <c r="B63" s="78"/>
      <c r="P63" s="79"/>
    </row>
    <row r="64" spans="2:16">
      <c r="B64" s="75">
        <v>1</v>
      </c>
      <c r="C64" s="76">
        <v>4</v>
      </c>
      <c r="D64" s="77">
        <v>7</v>
      </c>
      <c r="F64" t="s">
        <v>211</v>
      </c>
      <c r="G64" t="s">
        <v>212</v>
      </c>
      <c r="I64" s="2" t="e" cm="1">
        <f t="array" aca="1" ref="I64:I65" ca="1">INDIRECT(G64:G65)</f>
        <v>#VALUE!</v>
      </c>
      <c r="J64" t="str">
        <f ca="1">_xlfn.FORMULATEXT(I64)</f>
        <v>=INDIRECT(G64:G65)</v>
      </c>
      <c r="P64" s="79"/>
    </row>
    <row r="65" spans="2:16">
      <c r="B65" s="78">
        <v>2</v>
      </c>
      <c r="C65">
        <v>5</v>
      </c>
      <c r="D65" s="79">
        <v>8</v>
      </c>
      <c r="F65" t="s">
        <v>213</v>
      </c>
      <c r="G65" t="s">
        <v>214</v>
      </c>
      <c r="I65" s="2" t="e">
        <f ca="1"/>
        <v>#VALUE!</v>
      </c>
      <c r="P65" s="79"/>
    </row>
    <row r="66" spans="2:16">
      <c r="B66" s="80">
        <v>3</v>
      </c>
      <c r="C66" s="74">
        <v>6</v>
      </c>
      <c r="D66" s="81">
        <v>9</v>
      </c>
      <c r="P66" s="79"/>
    </row>
    <row r="67" spans="2:16">
      <c r="B67" s="78"/>
      <c r="I67" s="2" cm="1">
        <f t="array" aca="1" ref="I67:K69" ca="1">INDIRECT(G64):INDIRECT(G65)</f>
        <v>0</v>
      </c>
      <c r="J67" s="2">
        <f ca="1"/>
        <v>0</v>
      </c>
      <c r="K67" s="2">
        <f ca="1"/>
        <v>0</v>
      </c>
      <c r="L67" t="str">
        <f ca="1">_xlfn.FORMULATEXT(I67)</f>
        <v>=INDIRECT(G64):INDIRECT(G65)</v>
      </c>
      <c r="P67" s="79"/>
    </row>
    <row r="68" spans="2:16">
      <c r="B68" s="78"/>
      <c r="I68" s="2">
        <f ca="1"/>
        <v>0</v>
      </c>
      <c r="J68" s="2">
        <f ca="1"/>
        <v>0</v>
      </c>
      <c r="K68" s="2" t="str">
        <f ca="1"/>
        <v>Same as above</v>
      </c>
      <c r="P68" s="79"/>
    </row>
    <row r="69" spans="2:16">
      <c r="B69" s="78"/>
      <c r="I69" s="2">
        <f ca="1"/>
        <v>0</v>
      </c>
      <c r="J69" s="2">
        <f ca="1"/>
        <v>0</v>
      </c>
      <c r="K69" s="2" t="str">
        <f ca="1"/>
        <v>We move down few rows (+K39) based on the starting week</v>
      </c>
      <c r="P69" s="79"/>
    </row>
    <row r="70" spans="2:16">
      <c r="B70" s="80"/>
      <c r="C70" s="74"/>
      <c r="D70" s="74"/>
      <c r="E70" s="74"/>
      <c r="F70" s="74"/>
      <c r="G70" s="74"/>
      <c r="H70" s="74"/>
      <c r="I70" s="74"/>
      <c r="J70" s="74"/>
      <c r="K70" s="74"/>
      <c r="L70" s="74"/>
      <c r="M70" s="74"/>
      <c r="N70" s="74"/>
      <c r="O70" s="74"/>
      <c r="P70" s="8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workbookViewId="0">
      <selection activeCell="G179" sqref="G179"/>
    </sheetView>
  </sheetViews>
  <sheetFormatPr defaultColWidth="10.875" defaultRowHeight="15"/>
  <cols>
    <col min="1" max="3" width="11" style="17" bestFit="1" customWidth="1"/>
    <col min="4" max="6" width="11.625" style="17" bestFit="1" customWidth="1"/>
    <col min="7" max="20" width="11" style="17" bestFit="1" customWidth="1"/>
    <col min="21" max="16384" width="10.875" style="17"/>
  </cols>
  <sheetData>
    <row r="1" spans="1:20" ht="15.75">
      <c r="A1" s="16" t="s">
        <v>215</v>
      </c>
      <c r="C1" s="18"/>
      <c r="D1" s="18"/>
      <c r="E1" s="18"/>
      <c r="F1" s="18"/>
      <c r="G1" s="18"/>
      <c r="H1" s="18"/>
      <c r="I1" s="18"/>
      <c r="J1" s="18"/>
      <c r="K1" s="18"/>
      <c r="L1" s="18"/>
      <c r="M1" s="18"/>
      <c r="N1" s="18"/>
      <c r="O1" s="18"/>
      <c r="P1" s="18"/>
      <c r="Q1" s="18"/>
      <c r="R1" s="18"/>
      <c r="S1" s="18"/>
    </row>
    <row r="2" spans="1:20" ht="15.75">
      <c r="A2" s="16" t="s">
        <v>216</v>
      </c>
      <c r="C2" s="18"/>
      <c r="D2" s="18"/>
      <c r="E2" s="18"/>
      <c r="F2" s="18"/>
      <c r="G2" s="18"/>
      <c r="H2" s="18"/>
      <c r="I2" s="18"/>
      <c r="J2" s="18"/>
      <c r="K2" s="18"/>
      <c r="L2" s="18"/>
      <c r="M2" s="18"/>
      <c r="N2" s="18"/>
      <c r="O2" s="18"/>
      <c r="P2" s="18"/>
      <c r="Q2" s="18"/>
      <c r="R2" s="18"/>
      <c r="S2" s="18"/>
    </row>
    <row r="3" spans="1:20" hidden="1"/>
    <row r="4" spans="1:20" s="22" customFormat="1" ht="15.75" hidden="1">
      <c r="A4" s="19" t="s">
        <v>217</v>
      </c>
      <c r="B4" s="20"/>
      <c r="C4" s="16" t="s">
        <v>218</v>
      </c>
      <c r="D4" s="21"/>
      <c r="E4" s="21"/>
      <c r="F4" s="21"/>
      <c r="G4" s="21"/>
      <c r="H4" s="21"/>
      <c r="I4" s="21"/>
      <c r="J4" s="21"/>
      <c r="K4" s="21"/>
      <c r="L4" s="21"/>
      <c r="M4" s="21"/>
      <c r="N4" s="21"/>
      <c r="O4" s="21"/>
      <c r="P4" s="21"/>
      <c r="Q4" s="21"/>
      <c r="R4" s="21"/>
      <c r="S4" s="21"/>
      <c r="T4" s="21"/>
    </row>
    <row r="5" spans="1:20" s="22" customFormat="1" ht="15.75" hidden="1">
      <c r="A5" s="23" t="s">
        <v>219</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c r="C6" s="25" t="s">
        <v>220</v>
      </c>
      <c r="D6" s="25" t="s">
        <v>220</v>
      </c>
      <c r="E6" s="25" t="s">
        <v>220</v>
      </c>
      <c r="F6" s="25" t="s">
        <v>220</v>
      </c>
      <c r="G6" s="25" t="s">
        <v>220</v>
      </c>
      <c r="H6" s="25" t="s">
        <v>220</v>
      </c>
      <c r="I6" s="25" t="s">
        <v>220</v>
      </c>
      <c r="J6" s="25" t="s">
        <v>220</v>
      </c>
      <c r="K6" s="25" t="s">
        <v>220</v>
      </c>
      <c r="L6" s="25" t="s">
        <v>220</v>
      </c>
      <c r="M6" s="25" t="s">
        <v>220</v>
      </c>
      <c r="N6" s="25" t="s">
        <v>220</v>
      </c>
      <c r="O6" s="25" t="s">
        <v>220</v>
      </c>
      <c r="P6" s="25" t="s">
        <v>220</v>
      </c>
      <c r="Q6" s="25" t="s">
        <v>220</v>
      </c>
      <c r="R6" s="25" t="s">
        <v>220</v>
      </c>
      <c r="S6" s="25" t="s">
        <v>220</v>
      </c>
      <c r="T6" s="25" t="s">
        <v>220</v>
      </c>
    </row>
    <row r="7" spans="1:20" hidden="1"/>
    <row r="8" spans="1:20" hidden="1">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c r="A25" s="18">
        <f t="shared" si="1"/>
        <v>1995</v>
      </c>
      <c r="B25" s="26"/>
      <c r="C25" s="26">
        <v>9715</v>
      </c>
      <c r="D25" s="26"/>
      <c r="E25" s="26"/>
      <c r="F25" s="26"/>
      <c r="G25" s="26"/>
      <c r="H25" s="26"/>
      <c r="I25" s="26"/>
      <c r="J25" s="26"/>
      <c r="K25" s="26"/>
      <c r="L25" s="26"/>
      <c r="M25" s="26"/>
      <c r="N25" s="26"/>
      <c r="O25" s="26"/>
      <c r="P25" s="26"/>
      <c r="Q25" s="26"/>
      <c r="R25" s="26"/>
      <c r="S25" s="26"/>
      <c r="T25" s="26"/>
    </row>
    <row r="27" spans="1:20" ht="15.75">
      <c r="A27" s="19" t="s">
        <v>217</v>
      </c>
      <c r="B27" s="20" t="s">
        <v>221</v>
      </c>
      <c r="C27" s="16" t="s">
        <v>222</v>
      </c>
      <c r="D27" s="21"/>
      <c r="E27" s="21"/>
      <c r="F27" s="21"/>
      <c r="G27" s="21"/>
      <c r="H27" s="21"/>
      <c r="I27" s="21"/>
      <c r="J27" s="21"/>
      <c r="K27" s="21"/>
      <c r="L27" s="21"/>
      <c r="M27" s="21"/>
      <c r="N27" s="21"/>
      <c r="O27" s="21"/>
      <c r="P27" s="21"/>
      <c r="Q27" s="21"/>
      <c r="R27" s="21"/>
      <c r="S27" s="21"/>
      <c r="T27" s="21"/>
    </row>
    <row r="28" spans="1:20" ht="15.75">
      <c r="A28" s="23" t="s">
        <v>219</v>
      </c>
      <c r="B28" s="24" t="s">
        <v>223</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c r="C29" s="25" t="s">
        <v>220</v>
      </c>
      <c r="D29" s="25" t="s">
        <v>220</v>
      </c>
      <c r="E29" s="25" t="s">
        <v>220</v>
      </c>
      <c r="F29" s="25" t="s">
        <v>220</v>
      </c>
      <c r="G29" s="25" t="s">
        <v>220</v>
      </c>
      <c r="H29" s="25" t="s">
        <v>220</v>
      </c>
      <c r="I29" s="25" t="s">
        <v>220</v>
      </c>
      <c r="J29" s="25" t="s">
        <v>220</v>
      </c>
      <c r="K29" s="25" t="s">
        <v>220</v>
      </c>
      <c r="L29" s="25" t="s">
        <v>220</v>
      </c>
      <c r="M29" s="25" t="s">
        <v>220</v>
      </c>
      <c r="N29" s="25" t="s">
        <v>220</v>
      </c>
      <c r="O29" s="25" t="s">
        <v>220</v>
      </c>
      <c r="P29" s="25" t="s">
        <v>220</v>
      </c>
      <c r="Q29" s="25" t="s">
        <v>220</v>
      </c>
      <c r="R29" s="25" t="s">
        <v>220</v>
      </c>
      <c r="S29" s="25" t="s">
        <v>220</v>
      </c>
      <c r="T29" s="25" t="s">
        <v>220</v>
      </c>
    </row>
    <row r="31" spans="1:20">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ht="15.75">
      <c r="A51" s="22" t="s">
        <v>224</v>
      </c>
    </row>
    <row r="52" spans="1:16" ht="15.75">
      <c r="A52" s="22" t="s">
        <v>225</v>
      </c>
    </row>
    <row r="54" spans="1:16" ht="15.75">
      <c r="A54" s="19" t="s">
        <v>217</v>
      </c>
      <c r="B54" s="22" t="s">
        <v>226</v>
      </c>
      <c r="C54" s="22"/>
      <c r="D54" s="22"/>
      <c r="E54" s="22"/>
      <c r="F54" s="22"/>
      <c r="G54" s="22"/>
      <c r="H54" s="22"/>
      <c r="I54" s="22"/>
      <c r="J54" s="22"/>
      <c r="K54" s="22"/>
      <c r="L54" s="22"/>
      <c r="N54" s="28"/>
      <c r="O54" s="22" t="s">
        <v>227</v>
      </c>
      <c r="P54" s="22"/>
    </row>
    <row r="55" spans="1:16" ht="15.75">
      <c r="A55" s="19" t="s">
        <v>219</v>
      </c>
      <c r="B55" s="22">
        <v>0</v>
      </c>
      <c r="C55" s="22">
        <v>1</v>
      </c>
      <c r="D55" s="22">
        <v>2</v>
      </c>
      <c r="E55" s="22">
        <v>3</v>
      </c>
      <c r="F55" s="22">
        <v>4</v>
      </c>
      <c r="G55" s="22">
        <v>5</v>
      </c>
      <c r="H55" s="22">
        <v>6</v>
      </c>
      <c r="I55" s="22">
        <v>7</v>
      </c>
      <c r="J55" s="22">
        <v>8</v>
      </c>
      <c r="K55" s="22">
        <v>9</v>
      </c>
      <c r="L55" s="22">
        <v>10</v>
      </c>
      <c r="M55" s="29" t="s">
        <v>228</v>
      </c>
      <c r="N55" s="28" t="s">
        <v>229</v>
      </c>
      <c r="O55" s="22" t="s">
        <v>230</v>
      </c>
      <c r="P55" s="22" t="s">
        <v>231</v>
      </c>
    </row>
    <row r="56" spans="1:16">
      <c r="A56" s="30"/>
      <c r="N56" s="31"/>
    </row>
    <row r="57" spans="1:16" ht="15.75">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ht="15.75">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ht="15.75">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ht="15.75">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ht="15.75">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ht="15.75">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ht="15.75">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ht="15.75">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ht="15.75">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ht="15.75">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ht="15.75">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ht="15.75">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ht="15.75">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ht="15.75">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ht="15.75">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ht="15.75">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ht="15.75">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ht="15.75">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ht="15.75">
      <c r="O75" s="22"/>
      <c r="P75" s="22"/>
    </row>
    <row r="76" spans="1:16" ht="16.5" thickBot="1">
      <c r="O76" s="35">
        <f>SUM(O57:O74)</f>
        <v>408.14582952927879</v>
      </c>
      <c r="P76" s="22"/>
    </row>
    <row r="77" spans="1:16" ht="15.75" thickTop="1"/>
    <row r="78" spans="1:16" ht="15.75">
      <c r="A78" s="22"/>
    </row>
    <row r="79" spans="1:16" ht="15.75">
      <c r="A79" s="22" t="s">
        <v>232</v>
      </c>
    </row>
    <row r="81" spans="1:19" ht="15.75">
      <c r="A81" s="19" t="s">
        <v>217</v>
      </c>
      <c r="B81" s="22" t="s">
        <v>226</v>
      </c>
      <c r="C81" s="22"/>
      <c r="D81" s="22"/>
      <c r="E81" s="22"/>
      <c r="F81" s="22"/>
      <c r="G81" s="22"/>
      <c r="H81" s="22"/>
      <c r="I81" s="22"/>
      <c r="J81" s="22"/>
      <c r="K81" s="22"/>
      <c r="L81" s="22"/>
    </row>
    <row r="82" spans="1:19" ht="15.75">
      <c r="A82" s="19" t="s">
        <v>219</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c r="A83" s="30"/>
    </row>
    <row r="84" spans="1:19">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ht="15.75">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ht="15.75">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ht="15.75">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ht="15.75">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ht="15.75">
      <c r="A96" s="18">
        <v>1990</v>
      </c>
      <c r="B96" s="32">
        <v>564</v>
      </c>
      <c r="C96" s="32">
        <f>SUM($B69:C69)</f>
        <v>760</v>
      </c>
      <c r="D96" s="32">
        <f>SUM($B69:D69)</f>
        <v>783</v>
      </c>
      <c r="E96" s="32">
        <f>SUM($B69:E69)</f>
        <v>795</v>
      </c>
      <c r="F96" s="32">
        <f>SUM($B69:F69)</f>
        <v>804</v>
      </c>
      <c r="G96" s="32">
        <f>SUM($B69:G69)</f>
        <v>809</v>
      </c>
      <c r="H96" s="33"/>
      <c r="I96" s="33"/>
      <c r="J96" s="33"/>
      <c r="K96" s="33"/>
      <c r="L96" s="33"/>
    </row>
    <row r="97" spans="1:19" ht="15.75">
      <c r="A97" s="18">
        <v>1991</v>
      </c>
      <c r="B97" s="32">
        <v>607</v>
      </c>
      <c r="C97" s="32">
        <f>SUM($B70:C70)</f>
        <v>810</v>
      </c>
      <c r="D97" s="32">
        <f>SUM($B70:D70)</f>
        <v>839</v>
      </c>
      <c r="E97" s="32">
        <f>SUM($B70:E70)</f>
        <v>848</v>
      </c>
      <c r="F97" s="32">
        <f>SUM($B70:F70)</f>
        <v>855</v>
      </c>
      <c r="G97" s="33"/>
      <c r="H97" s="33"/>
      <c r="I97" s="33"/>
      <c r="J97" s="33"/>
      <c r="K97" s="33"/>
      <c r="L97" s="33"/>
    </row>
    <row r="98" spans="1:19" ht="15.75">
      <c r="A98" s="18">
        <v>1992</v>
      </c>
      <c r="B98" s="32">
        <v>674</v>
      </c>
      <c r="C98" s="32">
        <f>SUM($B71:C71)</f>
        <v>843</v>
      </c>
      <c r="D98" s="32">
        <f>SUM($B71:D71)</f>
        <v>863</v>
      </c>
      <c r="E98" s="32">
        <f>SUM($B71:E71)</f>
        <v>875</v>
      </c>
      <c r="F98" s="33"/>
      <c r="G98" s="33"/>
      <c r="H98" s="33"/>
      <c r="I98" s="33"/>
      <c r="J98" s="33"/>
      <c r="K98" s="33"/>
      <c r="L98" s="33"/>
    </row>
    <row r="99" spans="1:19" ht="15.75">
      <c r="A99" s="18">
        <v>1993</v>
      </c>
      <c r="B99" s="32">
        <v>619</v>
      </c>
      <c r="C99" s="32">
        <f>SUM($B72:C72)</f>
        <v>809</v>
      </c>
      <c r="D99" s="32">
        <f>SUM($B72:D72)</f>
        <v>850</v>
      </c>
      <c r="E99" s="33"/>
      <c r="F99" s="33"/>
      <c r="G99" s="33"/>
      <c r="H99" s="33"/>
      <c r="I99" s="33"/>
      <c r="J99" s="33"/>
      <c r="K99" s="33"/>
      <c r="L99" s="33"/>
    </row>
    <row r="100" spans="1:19" ht="15.75">
      <c r="A100" s="18">
        <v>1994</v>
      </c>
      <c r="B100" s="32">
        <v>660</v>
      </c>
      <c r="C100" s="32">
        <f>SUM($B73:C73)</f>
        <v>821</v>
      </c>
      <c r="D100" s="33"/>
      <c r="E100" s="33"/>
      <c r="F100" s="33"/>
      <c r="G100" s="33"/>
      <c r="H100" s="33"/>
      <c r="I100" s="33"/>
      <c r="J100" s="33"/>
      <c r="K100" s="33"/>
      <c r="L100" s="33"/>
    </row>
    <row r="101" spans="1:19" ht="15.75">
      <c r="A101" s="18">
        <v>1995</v>
      </c>
      <c r="B101" s="32">
        <v>660</v>
      </c>
      <c r="C101" s="33"/>
      <c r="D101" s="33"/>
      <c r="E101" s="33"/>
      <c r="F101" s="33"/>
      <c r="G101" s="33"/>
      <c r="H101" s="33"/>
      <c r="I101" s="33"/>
      <c r="J101" s="33"/>
      <c r="K101" s="33"/>
      <c r="L101" s="33"/>
    </row>
    <row r="103" spans="1:19" ht="15.75">
      <c r="A103" s="19" t="s">
        <v>217</v>
      </c>
      <c r="B103" s="16" t="s">
        <v>233</v>
      </c>
      <c r="C103" s="21"/>
      <c r="D103" s="21"/>
      <c r="E103" s="21"/>
      <c r="F103" s="21"/>
      <c r="G103" s="21"/>
      <c r="H103" s="21"/>
      <c r="I103" s="21"/>
      <c r="J103" s="21"/>
      <c r="K103" s="21"/>
      <c r="L103" s="21"/>
      <c r="M103" s="21"/>
      <c r="N103" s="21"/>
      <c r="O103" s="21"/>
      <c r="P103" s="21"/>
      <c r="Q103" s="21"/>
      <c r="R103" s="21"/>
      <c r="S103" s="21"/>
    </row>
    <row r="104" spans="1:19" ht="15.75">
      <c r="A104" s="23" t="s">
        <v>219</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c r="B105" s="25" t="s">
        <v>220</v>
      </c>
      <c r="C105" s="25" t="s">
        <v>220</v>
      </c>
      <c r="D105" s="25" t="s">
        <v>220</v>
      </c>
      <c r="E105" s="25" t="s">
        <v>220</v>
      </c>
      <c r="F105" s="25" t="s">
        <v>220</v>
      </c>
      <c r="G105" s="25" t="s">
        <v>220</v>
      </c>
      <c r="H105" s="25" t="s">
        <v>220</v>
      </c>
      <c r="I105" s="25" t="s">
        <v>220</v>
      </c>
      <c r="J105" s="25" t="s">
        <v>220</v>
      </c>
      <c r="K105" s="25" t="s">
        <v>220</v>
      </c>
      <c r="L105" s="25" t="s">
        <v>220</v>
      </c>
      <c r="M105" s="25" t="s">
        <v>220</v>
      </c>
      <c r="N105" s="25" t="s">
        <v>220</v>
      </c>
      <c r="O105" s="25" t="s">
        <v>220</v>
      </c>
      <c r="P105" s="25" t="s">
        <v>220</v>
      </c>
      <c r="Q105" s="25" t="s">
        <v>220</v>
      </c>
      <c r="R105" s="25" t="s">
        <v>220</v>
      </c>
      <c r="S105" s="25" t="s">
        <v>220</v>
      </c>
    </row>
    <row r="107" spans="1:19">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ht="15.75">
      <c r="A129" s="16" t="s">
        <v>234</v>
      </c>
      <c r="C129" s="18"/>
      <c r="D129" s="18"/>
      <c r="E129" s="18"/>
      <c r="F129" s="18"/>
      <c r="G129" s="18"/>
      <c r="H129" s="18"/>
      <c r="I129" s="18"/>
      <c r="J129" s="18"/>
      <c r="K129" s="18"/>
      <c r="L129" s="18"/>
      <c r="M129" s="18"/>
      <c r="N129" s="18"/>
      <c r="O129" s="18"/>
      <c r="P129" s="18"/>
      <c r="Q129" s="18"/>
      <c r="R129" s="18"/>
    </row>
    <row r="131" spans="1:18">
      <c r="A131" s="25" t="s">
        <v>217</v>
      </c>
      <c r="B131" s="36" t="s">
        <v>235</v>
      </c>
      <c r="C131" s="18"/>
      <c r="D131" s="18"/>
      <c r="E131" s="18"/>
      <c r="F131" s="18"/>
      <c r="G131" s="18"/>
      <c r="H131" s="18"/>
      <c r="I131" s="18"/>
      <c r="J131" s="18"/>
      <c r="K131" s="18"/>
      <c r="L131" s="18"/>
      <c r="M131" s="18"/>
      <c r="N131" s="18"/>
      <c r="O131" s="18"/>
      <c r="P131" s="18"/>
      <c r="Q131" s="18"/>
      <c r="R131" s="18"/>
    </row>
    <row r="132" spans="1:18">
      <c r="A132" s="37" t="s">
        <v>219</v>
      </c>
      <c r="B132" s="38" t="s">
        <v>236</v>
      </c>
      <c r="C132" s="39"/>
      <c r="D132" s="39"/>
      <c r="E132" s="39"/>
      <c r="F132" s="39"/>
      <c r="G132" s="39"/>
      <c r="H132" s="39"/>
      <c r="I132" s="39"/>
      <c r="J132" s="39"/>
      <c r="K132" s="39"/>
      <c r="L132" s="39"/>
      <c r="M132" s="39"/>
      <c r="N132" s="39"/>
      <c r="O132" s="39"/>
      <c r="P132" s="39"/>
      <c r="Q132" s="39"/>
      <c r="R132" s="39"/>
    </row>
    <row r="133" spans="1:18">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c r="A150" s="18">
        <f t="shared" si="28"/>
        <v>1993</v>
      </c>
      <c r="B150" s="40">
        <f>C122/B122</f>
        <v>1.4085772366296876</v>
      </c>
      <c r="C150" s="40">
        <f>D122/C122</f>
        <v>1.2029726712337694</v>
      </c>
      <c r="D150" s="41"/>
      <c r="E150" s="41"/>
      <c r="F150" s="41"/>
      <c r="G150" s="41"/>
      <c r="H150" s="41"/>
      <c r="I150" s="41"/>
      <c r="J150" s="41"/>
      <c r="K150" s="41"/>
      <c r="L150" s="41"/>
    </row>
    <row r="151" spans="1:18">
      <c r="A151" s="18">
        <f t="shared" si="28"/>
        <v>1994</v>
      </c>
      <c r="B151" s="40">
        <f>C123/B123</f>
        <v>1.4901360917468238</v>
      </c>
      <c r="C151" s="40"/>
      <c r="D151" s="41"/>
      <c r="E151" s="41"/>
      <c r="F151" s="41"/>
      <c r="G151" s="41"/>
      <c r="H151" s="41"/>
      <c r="I151" s="41"/>
      <c r="J151" s="41"/>
      <c r="K151" s="41"/>
      <c r="L151" s="41"/>
    </row>
    <row r="152" spans="1:18">
      <c r="A152" s="18"/>
      <c r="B152" s="40"/>
      <c r="C152" s="40"/>
      <c r="D152" s="41"/>
      <c r="E152" s="41"/>
      <c r="F152" s="41"/>
      <c r="G152" s="41"/>
      <c r="H152" s="41"/>
      <c r="I152" s="41"/>
      <c r="J152" s="41"/>
      <c r="K152" s="41"/>
      <c r="L152" s="41"/>
    </row>
    <row r="153" spans="1:18">
      <c r="A153" s="18"/>
    </row>
    <row r="154" spans="1:18">
      <c r="A154" s="25" t="s">
        <v>237</v>
      </c>
    </row>
    <row r="155" spans="1:18">
      <c r="A155" s="25" t="s">
        <v>238</v>
      </c>
    </row>
    <row r="157" spans="1:18">
      <c r="A157" s="25" t="s">
        <v>239</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c r="A158" s="18"/>
      <c r="B158" s="40"/>
    </row>
    <row r="159" spans="1:18">
      <c r="A159" s="25" t="s">
        <v>240</v>
      </c>
    </row>
    <row r="160" spans="1:18">
      <c r="A160" s="25" t="s">
        <v>241</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c r="A161" s="25" t="s">
        <v>242</v>
      </c>
    </row>
    <row r="162" spans="1:23">
      <c r="A162" s="18"/>
      <c r="B162" s="18"/>
      <c r="C162" s="18"/>
      <c r="D162" s="18"/>
      <c r="E162" s="18"/>
      <c r="F162" s="18"/>
      <c r="G162" s="18"/>
      <c r="H162" s="18"/>
      <c r="I162" s="18"/>
      <c r="J162" s="18"/>
      <c r="K162" s="18"/>
      <c r="L162" s="18"/>
      <c r="M162" s="18"/>
      <c r="N162" s="18"/>
      <c r="O162" s="18"/>
      <c r="P162" s="18"/>
      <c r="Q162" s="18"/>
      <c r="R162" s="18"/>
    </row>
    <row r="163" spans="1:23">
      <c r="A163" s="25" t="s">
        <v>243</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c r="A164" s="18"/>
      <c r="B164" s="18"/>
      <c r="C164" s="18"/>
      <c r="D164" s="18"/>
      <c r="E164" s="18"/>
      <c r="F164" s="18"/>
      <c r="G164" s="18"/>
      <c r="H164" s="18"/>
      <c r="I164" s="18"/>
      <c r="J164" s="18"/>
      <c r="K164" s="18"/>
      <c r="L164" s="18"/>
      <c r="M164" s="18"/>
      <c r="N164" s="18"/>
      <c r="O164" s="18"/>
      <c r="P164" s="18"/>
      <c r="Q164" s="18"/>
      <c r="R164" s="18"/>
    </row>
    <row r="165" spans="1:23">
      <c r="A165" s="25" t="s">
        <v>244</v>
      </c>
      <c r="B165" s="18"/>
      <c r="C165" s="18"/>
      <c r="D165" s="18"/>
      <c r="E165" s="18"/>
      <c r="F165" s="18"/>
      <c r="G165" s="18"/>
      <c r="H165" s="18"/>
      <c r="I165" s="18"/>
      <c r="J165" s="18"/>
      <c r="K165" s="18"/>
      <c r="L165" s="18"/>
      <c r="M165" s="18"/>
      <c r="N165" s="18"/>
      <c r="O165" s="18"/>
      <c r="P165" s="18"/>
      <c r="Q165" s="18"/>
      <c r="R165" s="18"/>
    </row>
    <row r="166" spans="1:23">
      <c r="A166" s="25" t="s">
        <v>245</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246</v>
      </c>
      <c r="T166" s="45"/>
      <c r="U166" s="45"/>
      <c r="V166" s="45"/>
      <c r="W166" s="45"/>
    </row>
    <row r="167" spans="1:23">
      <c r="A167" s="18"/>
      <c r="B167" s="18"/>
      <c r="C167" s="18"/>
      <c r="D167" s="18"/>
      <c r="E167" s="18"/>
      <c r="F167" s="18"/>
      <c r="G167" s="18"/>
      <c r="H167" s="18"/>
      <c r="I167" s="18"/>
      <c r="J167" s="18"/>
      <c r="K167" s="18"/>
      <c r="L167" s="18"/>
      <c r="M167" s="18"/>
      <c r="N167" s="18"/>
      <c r="O167" s="18"/>
      <c r="P167" s="18"/>
      <c r="Q167" s="18"/>
      <c r="R167" s="18"/>
    </row>
    <row r="168" spans="1:23">
      <c r="A168" s="25"/>
      <c r="B168" s="18"/>
      <c r="C168" s="18"/>
      <c r="D168" s="18"/>
      <c r="E168" s="18"/>
      <c r="F168" s="18"/>
      <c r="G168" s="18"/>
      <c r="H168" s="18"/>
      <c r="I168" s="18"/>
      <c r="J168" s="18"/>
      <c r="K168" s="18"/>
      <c r="L168" s="18"/>
      <c r="M168" s="18"/>
      <c r="N168" s="18"/>
      <c r="O168" s="18"/>
      <c r="P168" s="18"/>
      <c r="Q168" s="18"/>
      <c r="R168" s="18"/>
    </row>
    <row r="169" spans="1:23">
      <c r="A169" s="25" t="s">
        <v>247</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c r="A170" s="46" t="s">
        <v>248</v>
      </c>
    </row>
    <row r="171" spans="1:23">
      <c r="A171" s="17" t="s">
        <v>249</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ht="15.75">
      <c r="E174" s="23" t="s">
        <v>250</v>
      </c>
      <c r="F174" s="21"/>
    </row>
    <row r="175" spans="1:23" ht="15.75">
      <c r="E175" s="19" t="s">
        <v>251</v>
      </c>
      <c r="F175" s="19" t="s">
        <v>252</v>
      </c>
      <c r="H175" s="22" t="s">
        <v>253</v>
      </c>
      <c r="I175" s="19" t="s">
        <v>254</v>
      </c>
      <c r="K175" s="19" t="s">
        <v>255</v>
      </c>
      <c r="L175" s="19" t="s">
        <v>255</v>
      </c>
      <c r="M175" s="19" t="s">
        <v>256</v>
      </c>
      <c r="N175" s="19"/>
      <c r="O175" s="19"/>
    </row>
    <row r="176" spans="1:23" ht="15.75">
      <c r="A176" s="19" t="s">
        <v>217</v>
      </c>
      <c r="B176" s="48" t="s">
        <v>257</v>
      </c>
      <c r="C176" s="48" t="s">
        <v>258</v>
      </c>
      <c r="D176" s="48" t="s">
        <v>259</v>
      </c>
      <c r="E176" s="23" t="s">
        <v>260</v>
      </c>
      <c r="F176" s="23" t="s">
        <v>261</v>
      </c>
      <c r="H176" s="19" t="s">
        <v>262</v>
      </c>
      <c r="I176" s="19" t="s">
        <v>263</v>
      </c>
      <c r="K176" s="23" t="s">
        <v>264</v>
      </c>
      <c r="L176" s="23" t="s">
        <v>265</v>
      </c>
      <c r="M176" s="23" t="s">
        <v>266</v>
      </c>
      <c r="N176" s="19"/>
      <c r="O176" s="19"/>
    </row>
    <row r="177" spans="1:15" ht="15.75">
      <c r="A177" s="23" t="s">
        <v>219</v>
      </c>
      <c r="B177" s="19" t="s">
        <v>267</v>
      </c>
      <c r="C177" s="19" t="s">
        <v>268</v>
      </c>
      <c r="D177" s="19" t="s">
        <v>220</v>
      </c>
      <c r="E177" s="19" t="s">
        <v>220</v>
      </c>
      <c r="F177" s="19" t="s">
        <v>220</v>
      </c>
      <c r="H177" s="49" t="s">
        <v>220</v>
      </c>
      <c r="I177" s="49"/>
      <c r="K177" s="19" t="s">
        <v>220</v>
      </c>
      <c r="L177" s="19" t="s">
        <v>220</v>
      </c>
      <c r="M177" s="19" t="s">
        <v>220</v>
      </c>
      <c r="N177" s="19"/>
    </row>
    <row r="178" spans="1:15" ht="15.75">
      <c r="L178" s="50"/>
    </row>
    <row r="179" spans="1:15" ht="15.75">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ht="15.75">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ht="15.75">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ht="15.75">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ht="15.75">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ht="15.75">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ht="15.75">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ht="15.75">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ht="15.75">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ht="15.75">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ht="15.75">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ht="15.75">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ht="15.75">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ht="15.75">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ht="15.75">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ht="15.75">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ht="15.75">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ht="15.75">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ht="15.75">
      <c r="D197" s="53"/>
      <c r="E197" s="53"/>
      <c r="F197" s="53"/>
      <c r="H197" s="58"/>
      <c r="I197" s="55"/>
      <c r="K197" s="58"/>
      <c r="L197" s="54"/>
      <c r="M197" s="58"/>
      <c r="N197" s="58"/>
      <c r="O197" s="55"/>
    </row>
    <row r="198" spans="1:15" ht="15.75">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c r="F200" s="61" t="s">
        <v>269</v>
      </c>
    </row>
    <row r="201" spans="1:15">
      <c r="F201" s="17" t="s">
        <v>270</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workbookViewId="0">
      <selection activeCell="R23" sqref="R23"/>
    </sheetView>
  </sheetViews>
  <sheetFormatPr defaultRowHeight="15.75"/>
  <cols>
    <col min="13" max="13" width="9" style="79"/>
    <col min="31" max="31" width="9" style="79"/>
    <col min="36" max="36" width="8.125" bestFit="1" customWidth="1"/>
    <col min="37" max="37" width="9.75" bestFit="1" customWidth="1"/>
    <col min="38" max="38" width="18" bestFit="1" customWidth="1"/>
  </cols>
  <sheetData>
    <row r="1" spans="2:38">
      <c r="B1" s="12" t="s">
        <v>271</v>
      </c>
      <c r="O1" s="12" t="s">
        <v>272</v>
      </c>
      <c r="AG1" s="12" t="s">
        <v>273</v>
      </c>
    </row>
    <row r="2" spans="2:38">
      <c r="AJ2" t="s">
        <v>274</v>
      </c>
      <c r="AK2" t="s">
        <v>275</v>
      </c>
    </row>
    <row r="3" spans="2:38">
      <c r="B3" s="12" t="s">
        <v>276</v>
      </c>
      <c r="D3" s="12" t="s">
        <v>277</v>
      </c>
      <c r="O3" s="67" t="str">
        <f ca="1">_xlfn.FORMULATEXT(O4)</f>
        <v>=NORM.S.INV(RANDARRAY(10000))</v>
      </c>
      <c r="X3" s="67" t="str">
        <f ca="1">_xlfn.FORMULATEXT(X4)</f>
        <v>=GAMMA.INV(RANDARRAY(10000),10,5)</v>
      </c>
      <c r="AJ3" t="s">
        <v>278</v>
      </c>
      <c r="AK3" s="2">
        <v>0.05</v>
      </c>
    </row>
    <row r="4" spans="2:38">
      <c r="B4" s="67" t="str">
        <f ca="1">_xlfn.FORMULATEXT(B5)</f>
        <v>=RAND()</v>
      </c>
      <c r="D4" s="67" t="str">
        <f ca="1">_xlfn.FORMULATEXT(D5)</f>
        <v>=RANDARRAY(6,4,-2,10,TRUE)</v>
      </c>
      <c r="I4" s="67" t="str">
        <f ca="1">_xlfn.FORMULATEXT(I5)</f>
        <v>=RANDARRAY(2,5,0,1000, FALSE)</v>
      </c>
      <c r="O4" s="2" cm="1">
        <f t="array" aca="1" ref="O4:O10003" ca="1">_xlfn.NORM.S.INV(_xlfn.RANDARRAY(10000))</f>
        <v>0.13919706668013473</v>
      </c>
      <c r="X4" s="2" cm="1">
        <f t="array" aca="1" ref="X4:X10003" ca="1">_xlfn.GAMMA.INV(_xlfn.RANDARRAY(10000),10,5)</f>
        <v>48.115145047117366</v>
      </c>
      <c r="AJ4" t="s">
        <v>279</v>
      </c>
      <c r="AK4" s="2">
        <v>0.35</v>
      </c>
    </row>
    <row r="5" spans="2:38">
      <c r="B5" s="2">
        <f ca="1">RAND()</f>
        <v>0.28142302126019281</v>
      </c>
      <c r="D5" s="2" cm="1">
        <f t="array" aca="1" ref="D5:G10" ca="1">_xlfn.RANDARRAY(6,4,-2,10,TRUE)</f>
        <v>10</v>
      </c>
      <c r="E5" s="2">
        <f ca="1"/>
        <v>0</v>
      </c>
      <c r="F5" s="2">
        <f ca="1"/>
        <v>1</v>
      </c>
      <c r="G5" s="2">
        <f ca="1"/>
        <v>2</v>
      </c>
      <c r="I5" s="2" cm="1">
        <f t="array" aca="1" ref="I5:M6" ca="1">_xlfn.RANDARRAY(2,5,0,1000, FALSE)</f>
        <v>579.02378185399175</v>
      </c>
      <c r="J5" s="2">
        <f ca="1"/>
        <v>786.64705060121503</v>
      </c>
      <c r="K5" s="2">
        <f ca="1"/>
        <v>551.52477202758735</v>
      </c>
      <c r="L5" s="2">
        <f ca="1"/>
        <v>745.02958673652165</v>
      </c>
      <c r="M5" s="92">
        <f ca="1"/>
        <v>48.908885018267028</v>
      </c>
      <c r="O5" s="2">
        <f ca="1"/>
        <v>0.87447202309844185</v>
      </c>
      <c r="X5" s="2">
        <f ca="1"/>
        <v>51.090100551840308</v>
      </c>
      <c r="AJ5" t="s">
        <v>280</v>
      </c>
      <c r="AK5" s="2">
        <v>0.6</v>
      </c>
    </row>
    <row r="6" spans="2:38">
      <c r="D6" s="2">
        <f ca="1"/>
        <v>3</v>
      </c>
      <c r="E6" s="2">
        <f ca="1"/>
        <v>-1</v>
      </c>
      <c r="F6" s="2">
        <f ca="1"/>
        <v>9</v>
      </c>
      <c r="G6" s="2">
        <f ca="1"/>
        <v>6</v>
      </c>
      <c r="I6" s="2">
        <f ca="1"/>
        <v>607.63856652709217</v>
      </c>
      <c r="J6" s="2">
        <f ca="1"/>
        <v>904.30474903937545</v>
      </c>
      <c r="K6" s="2">
        <f ca="1"/>
        <v>263.94409726563765</v>
      </c>
      <c r="L6" s="2">
        <f ca="1"/>
        <v>810.64002817794471</v>
      </c>
      <c r="M6" s="92">
        <f ca="1"/>
        <v>998.85800954909655</v>
      </c>
      <c r="O6" s="2">
        <f ca="1"/>
        <v>0.65202529558016453</v>
      </c>
      <c r="X6" s="2">
        <f ca="1"/>
        <v>85.04705480079744</v>
      </c>
      <c r="AG6" s="67" t="str">
        <f ca="1">_xlfn.FORMULATEXT(AG8)</f>
        <v>=RANDARRAY(10000)</v>
      </c>
    </row>
    <row r="7" spans="2:38">
      <c r="D7" s="2">
        <f ca="1"/>
        <v>8</v>
      </c>
      <c r="E7" s="2">
        <f ca="1"/>
        <v>10</v>
      </c>
      <c r="F7" s="2">
        <f ca="1"/>
        <v>-2</v>
      </c>
      <c r="G7" s="2">
        <f ca="1"/>
        <v>9</v>
      </c>
      <c r="O7" s="2">
        <f ca="1"/>
        <v>-0.14067341059156374</v>
      </c>
      <c r="X7" s="2">
        <f ca="1"/>
        <v>39.936318481026582</v>
      </c>
      <c r="AG7" s="67" t="str">
        <f ca="1">_xlfn.FORMULATEXT(AH8)</f>
        <v>=IFS(AG8#&lt;=AK3,AJ3, (AG8#&gt;AK3)*(AG8#&lt;=AK3+AK4),AJ4, AG8#&gt;1-AK5,AJ5)</v>
      </c>
    </row>
    <row r="8" spans="2:38">
      <c r="D8" s="2">
        <f ca="1"/>
        <v>10</v>
      </c>
      <c r="E8" s="2">
        <f ca="1"/>
        <v>7</v>
      </c>
      <c r="F8" s="2">
        <f ca="1"/>
        <v>6</v>
      </c>
      <c r="G8" s="2">
        <f ca="1"/>
        <v>-2</v>
      </c>
      <c r="O8" s="2">
        <f ca="1"/>
        <v>-0.81010073672084237</v>
      </c>
      <c r="X8" s="2">
        <f ca="1"/>
        <v>39.854998724740177</v>
      </c>
      <c r="AG8" s="2" cm="1">
        <f t="array" aca="1" ref="AG8:AG10007" ca="1">_xlfn.RANDARRAY(10000)</f>
        <v>0.7045824422613074</v>
      </c>
      <c r="AH8" s="2" t="str" cm="1">
        <f t="array" aca="1" ref="AH8:AH10007" ca="1">_xlfn.IFS(_xlfn.ANCHORARRAY(AG8)&lt;=AK3,AJ3, (_xlfn.ANCHORARRAY(AG8)&gt;AK3)*(_xlfn.ANCHORARRAY(AG8)&lt;=AK3+AK4),AJ4,_xlfn.ANCHORARRAY( AG8)&gt;1-AK5,AJ5)</f>
        <v>Bad</v>
      </c>
    </row>
    <row r="9" spans="2:38">
      <c r="D9" s="2">
        <f ca="1"/>
        <v>-1</v>
      </c>
      <c r="E9" s="2">
        <f ca="1"/>
        <v>-1</v>
      </c>
      <c r="F9" s="2">
        <f ca="1"/>
        <v>1</v>
      </c>
      <c r="G9" s="2">
        <f ca="1"/>
        <v>1</v>
      </c>
      <c r="O9" s="2">
        <f ca="1"/>
        <v>7.0388767741956765E-2</v>
      </c>
      <c r="X9" s="2">
        <f ca="1"/>
        <v>42.349209375106341</v>
      </c>
      <c r="AG9" s="2">
        <f ca="1"/>
        <v>0.11290080648738043</v>
      </c>
      <c r="AH9" s="2" t="str">
        <f ca="1"/>
        <v>OK</v>
      </c>
      <c r="AJ9" t="s">
        <v>274</v>
      </c>
      <c r="AK9" t="s">
        <v>281</v>
      </c>
      <c r="AL9" t="s">
        <v>282</v>
      </c>
    </row>
    <row r="10" spans="2:38">
      <c r="D10" s="2">
        <f ca="1"/>
        <v>-1</v>
      </c>
      <c r="E10" s="2">
        <f ca="1"/>
        <v>6</v>
      </c>
      <c r="F10" s="2">
        <f ca="1"/>
        <v>-1</v>
      </c>
      <c r="G10" s="2">
        <f ca="1"/>
        <v>2</v>
      </c>
      <c r="O10" s="2">
        <f ca="1"/>
        <v>-0.93238506835537194</v>
      </c>
      <c r="X10" s="2">
        <f ca="1"/>
        <v>66.519195052126307</v>
      </c>
      <c r="AG10" s="2">
        <f ca="1"/>
        <v>0.70474595574180987</v>
      </c>
      <c r="AH10" s="2" t="str">
        <f ca="1"/>
        <v>Bad</v>
      </c>
      <c r="AJ10" t="s">
        <v>278</v>
      </c>
      <c r="AK10">
        <f ca="1">COUNTIF(_xlfn.ANCHORARRAY($AH$8),"="&amp;AJ3)</f>
        <v>514</v>
      </c>
      <c r="AL10">
        <f ca="1">AK10/10000</f>
        <v>5.1400000000000001E-2</v>
      </c>
    </row>
    <row r="11" spans="2:38">
      <c r="O11" s="2">
        <f ca="1"/>
        <v>0.48695977407007685</v>
      </c>
      <c r="X11" s="2">
        <f ca="1"/>
        <v>60.373319848264586</v>
      </c>
      <c r="AG11" s="2">
        <f ca="1"/>
        <v>0.72855104799328929</v>
      </c>
      <c r="AH11" s="2" t="str">
        <f ca="1"/>
        <v>Bad</v>
      </c>
      <c r="AJ11" t="s">
        <v>279</v>
      </c>
      <c r="AK11">
        <f t="shared" ref="AK11:AK12" ca="1" si="0">COUNTIF(_xlfn.ANCHORARRAY($AH$8),"="&amp;AJ4)</f>
        <v>3574</v>
      </c>
      <c r="AL11">
        <f t="shared" ref="AL11:AL12" ca="1" si="1">AK11/10000</f>
        <v>0.3574</v>
      </c>
    </row>
    <row r="12" spans="2:38">
      <c r="O12" s="2">
        <f ca="1"/>
        <v>1.6949752621920215</v>
      </c>
      <c r="X12" s="2">
        <f ca="1"/>
        <v>21.618083224638607</v>
      </c>
      <c r="AG12" s="2">
        <f ca="1"/>
        <v>0.42380371202220557</v>
      </c>
      <c r="AH12" s="2" t="str">
        <f ca="1"/>
        <v>Bad</v>
      </c>
      <c r="AJ12" t="s">
        <v>280</v>
      </c>
      <c r="AK12">
        <f t="shared" ca="1" si="0"/>
        <v>5912</v>
      </c>
      <c r="AL12">
        <f t="shared" ca="1" si="1"/>
        <v>0.59119999999999995</v>
      </c>
    </row>
    <row r="13" spans="2:38">
      <c r="B13" s="67" t="str">
        <f ca="1">_xlfn.FORMULATEXT(B14)</f>
        <v>=RANDARRAY(10000)</v>
      </c>
      <c r="O13" s="2">
        <f ca="1"/>
        <v>-2.0586227272010253</v>
      </c>
      <c r="X13" s="2">
        <f ca="1"/>
        <v>28.250936889155316</v>
      </c>
      <c r="AG13" s="2">
        <f ca="1"/>
        <v>5.2426093974891064E-3</v>
      </c>
      <c r="AH13" s="2" t="str">
        <f ca="1"/>
        <v>Good</v>
      </c>
    </row>
    <row r="14" spans="2:38">
      <c r="B14" s="2" cm="1">
        <f t="array" aca="1" ref="B14:B10013" ca="1">_xlfn.RANDARRAY(10000)</f>
        <v>0.16292784339509936</v>
      </c>
      <c r="O14" s="2">
        <f ca="1"/>
        <v>0.34686829028350874</v>
      </c>
      <c r="X14" s="2">
        <f ca="1"/>
        <v>32.76747661042323</v>
      </c>
      <c r="AG14" s="2">
        <f ca="1"/>
        <v>0.12067818573633193</v>
      </c>
      <c r="AH14" s="2" t="str">
        <f ca="1"/>
        <v>OK</v>
      </c>
    </row>
    <row r="15" spans="2:38">
      <c r="B15" s="2">
        <f ca="1"/>
        <v>0.45485917179116453</v>
      </c>
      <c r="O15" s="2">
        <f ca="1"/>
        <v>9.3943642365203209E-2</v>
      </c>
      <c r="X15" s="2">
        <f ca="1"/>
        <v>28.433376904438269</v>
      </c>
      <c r="AG15" s="2">
        <f ca="1"/>
        <v>0.22144980243634138</v>
      </c>
      <c r="AH15" s="2" t="str">
        <f ca="1"/>
        <v>OK</v>
      </c>
    </row>
    <row r="16" spans="2:38">
      <c r="B16" s="2">
        <f ca="1"/>
        <v>0.71097959590570237</v>
      </c>
      <c r="O16" s="2">
        <f ca="1"/>
        <v>-8.2551947479639079E-2</v>
      </c>
      <c r="X16" s="2">
        <f ca="1"/>
        <v>78.534886441358324</v>
      </c>
      <c r="AG16" s="2">
        <f ca="1"/>
        <v>0.66055972130490881</v>
      </c>
      <c r="AH16" s="2" t="str">
        <f ca="1"/>
        <v>Bad</v>
      </c>
    </row>
    <row r="17" spans="2:34">
      <c r="B17" s="2">
        <f ca="1"/>
        <v>0.59370338738483253</v>
      </c>
      <c r="O17" s="2">
        <f ca="1"/>
        <v>0.59293596543775817</v>
      </c>
      <c r="X17" s="2">
        <f ca="1"/>
        <v>51.432557451566908</v>
      </c>
      <c r="AG17" s="2">
        <f ca="1"/>
        <v>0.54629081740559626</v>
      </c>
      <c r="AH17" s="2" t="str">
        <f ca="1"/>
        <v>Bad</v>
      </c>
    </row>
    <row r="18" spans="2:34">
      <c r="B18" s="2">
        <f ca="1"/>
        <v>0.76208442215812533</v>
      </c>
      <c r="O18" s="2">
        <f ca="1"/>
        <v>0.48279574302334982</v>
      </c>
      <c r="X18" s="2">
        <f ca="1"/>
        <v>80.690567527138455</v>
      </c>
      <c r="AG18" s="2">
        <f ca="1"/>
        <v>0.35695866969648438</v>
      </c>
      <c r="AH18" s="2" t="str">
        <f ca="1"/>
        <v>OK</v>
      </c>
    </row>
    <row r="19" spans="2:34">
      <c r="B19" s="2">
        <f ca="1"/>
        <v>0.99146639263858738</v>
      </c>
      <c r="O19" s="2">
        <f ca="1"/>
        <v>0.7583149764069842</v>
      </c>
      <c r="Q19" t="s">
        <v>283</v>
      </c>
      <c r="R19" t="s">
        <v>284</v>
      </c>
      <c r="X19" s="2">
        <f ca="1"/>
        <v>66.777724729597949</v>
      </c>
      <c r="Z19" t="s">
        <v>283</v>
      </c>
      <c r="AA19" t="s">
        <v>285</v>
      </c>
      <c r="AG19" s="2">
        <f ca="1"/>
        <v>0.15322002257991252</v>
      </c>
      <c r="AH19" s="2" t="str">
        <f ca="1"/>
        <v>OK</v>
      </c>
    </row>
    <row r="20" spans="2:34">
      <c r="B20" s="2">
        <f ca="1"/>
        <v>0.44799503912238992</v>
      </c>
      <c r="O20" s="2">
        <f ca="1"/>
        <v>-0.73057649501714017</v>
      </c>
      <c r="Q20">
        <f ca="1">AVERAGE(_xlfn.ANCHORARRAY(O4))</f>
        <v>1.3974317736241951E-2</v>
      </c>
      <c r="R20">
        <f ca="1">STDEV(_xlfn.ANCHORARRAY(O4))</f>
        <v>0.99834447254592162</v>
      </c>
      <c r="X20" s="2">
        <f ca="1"/>
        <v>41.268902357612902</v>
      </c>
      <c r="Z20">
        <f ca="1">AVERAGE(_xlfn.ANCHORARRAY(X4))</f>
        <v>49.815081604367819</v>
      </c>
      <c r="AA20">
        <f ca="1">VAR(_xlfn.ANCHORARRAY(X4))</f>
        <v>243.82386321296889</v>
      </c>
      <c r="AG20" s="2">
        <f ca="1"/>
        <v>0.43639706587128058</v>
      </c>
      <c r="AH20" s="2" t="str">
        <f ca="1"/>
        <v>Bad</v>
      </c>
    </row>
    <row r="21" spans="2:34">
      <c r="B21" s="2">
        <f ca="1"/>
        <v>1.9937643350285583E-2</v>
      </c>
      <c r="O21" s="2">
        <f ca="1"/>
        <v>0.59051963850673583</v>
      </c>
      <c r="X21" s="2">
        <f ca="1"/>
        <v>50.869597196627268</v>
      </c>
      <c r="AG21" s="2">
        <f ca="1"/>
        <v>0.96632523669008275</v>
      </c>
      <c r="AH21" s="2" t="str">
        <f ca="1"/>
        <v>Bad</v>
      </c>
    </row>
    <row r="22" spans="2:34">
      <c r="B22" s="2">
        <f ca="1"/>
        <v>7.1776332870656212E-2</v>
      </c>
      <c r="O22" s="2">
        <f ca="1"/>
        <v>1.4493010387918703</v>
      </c>
      <c r="X22" s="2">
        <f ca="1"/>
        <v>14.688254297700436</v>
      </c>
      <c r="Z22" s="67" t="s">
        <v>286</v>
      </c>
      <c r="AA22" s="67"/>
      <c r="AG22" s="2">
        <f ca="1"/>
        <v>7.0376495719235654E-2</v>
      </c>
      <c r="AH22" s="2" t="str">
        <f ca="1"/>
        <v>OK</v>
      </c>
    </row>
    <row r="23" spans="2:34">
      <c r="B23" s="2">
        <f ca="1"/>
        <v>0.87379170526915173</v>
      </c>
      <c r="O23" s="2">
        <f ca="1"/>
        <v>-3.1831906111570267E-2</v>
      </c>
      <c r="X23" s="2">
        <f ca="1"/>
        <v>37.690773903613362</v>
      </c>
      <c r="Z23" s="67" t="s">
        <v>283</v>
      </c>
      <c r="AA23" s="67" t="s">
        <v>285</v>
      </c>
      <c r="AG23" s="2">
        <f ca="1"/>
        <v>0.20648857842138901</v>
      </c>
      <c r="AH23" s="2" t="str">
        <f ca="1"/>
        <v>OK</v>
      </c>
    </row>
    <row r="24" spans="2:34">
      <c r="B24" s="2">
        <f ca="1"/>
        <v>0.47503619632387384</v>
      </c>
      <c r="O24" s="2">
        <f ca="1"/>
        <v>1.77741568826732</v>
      </c>
      <c r="X24" s="2">
        <f ca="1"/>
        <v>33.166834727367906</v>
      </c>
      <c r="Z24" s="67">
        <f>10*5</f>
        <v>50</v>
      </c>
      <c r="AA24" s="67">
        <f>10*5^2</f>
        <v>250</v>
      </c>
      <c r="AG24" s="2">
        <f ca="1"/>
        <v>0.3179499734765181</v>
      </c>
      <c r="AH24" s="2" t="str">
        <f ca="1"/>
        <v>OK</v>
      </c>
    </row>
    <row r="25" spans="2:34">
      <c r="B25" s="2">
        <f ca="1"/>
        <v>0.41185016904977689</v>
      </c>
      <c r="O25" s="2">
        <f ca="1"/>
        <v>4.7796574490623675E-2</v>
      </c>
      <c r="X25" s="2">
        <f ca="1"/>
        <v>52.713600570255778</v>
      </c>
      <c r="AG25" s="2">
        <f ca="1"/>
        <v>3.9370576316914541E-2</v>
      </c>
      <c r="AH25" s="2" t="str">
        <f ca="1"/>
        <v>Good</v>
      </c>
    </row>
    <row r="26" spans="2:34">
      <c r="B26" s="2">
        <f ca="1"/>
        <v>0.17694298879202264</v>
      </c>
      <c r="O26" s="2">
        <f ca="1"/>
        <v>0.87609776533371109</v>
      </c>
      <c r="X26" s="2">
        <f ca="1"/>
        <v>104.43884289651086</v>
      </c>
      <c r="AG26" s="2">
        <f ca="1"/>
        <v>0.3785440264999107</v>
      </c>
      <c r="AH26" s="2" t="str">
        <f ca="1"/>
        <v>OK</v>
      </c>
    </row>
    <row r="27" spans="2:34">
      <c r="B27" s="2">
        <f ca="1"/>
        <v>0.27866873747947762</v>
      </c>
      <c r="O27" s="2">
        <f ca="1"/>
        <v>-0.24192981045855527</v>
      </c>
      <c r="X27" s="2">
        <f ca="1"/>
        <v>85.33192757134708</v>
      </c>
      <c r="AG27" s="2">
        <f ca="1"/>
        <v>0.66124408089641329</v>
      </c>
      <c r="AH27" s="2" t="str">
        <f ca="1"/>
        <v>Bad</v>
      </c>
    </row>
    <row r="28" spans="2:34">
      <c r="B28" s="2">
        <f ca="1"/>
        <v>0.89291568671932087</v>
      </c>
      <c r="O28" s="2">
        <f ca="1"/>
        <v>0.45758465359445583</v>
      </c>
      <c r="X28" s="2">
        <f ca="1"/>
        <v>29.819889492923867</v>
      </c>
      <c r="AG28" s="2">
        <f ca="1"/>
        <v>0.22026404627581364</v>
      </c>
      <c r="AH28" s="2" t="str">
        <f ca="1"/>
        <v>OK</v>
      </c>
    </row>
    <row r="29" spans="2:34">
      <c r="B29" s="2">
        <f ca="1"/>
        <v>0.21011027158254247</v>
      </c>
      <c r="O29" s="2">
        <f ca="1"/>
        <v>-0.90418562367982569</v>
      </c>
      <c r="X29" s="2">
        <f ca="1"/>
        <v>36.42549175374694</v>
      </c>
      <c r="AG29" s="2">
        <f ca="1"/>
        <v>0.73279137177532516</v>
      </c>
      <c r="AH29" s="2" t="str">
        <f ca="1"/>
        <v>Bad</v>
      </c>
    </row>
    <row r="30" spans="2:34">
      <c r="B30" s="2">
        <f ca="1"/>
        <v>0.5716598917911575</v>
      </c>
      <c r="D30" t="s">
        <v>283</v>
      </c>
      <c r="E30" t="s">
        <v>287</v>
      </c>
      <c r="O30" s="2">
        <f ca="1"/>
        <v>-1.1531195273548855</v>
      </c>
      <c r="X30" s="2">
        <f ca="1"/>
        <v>45.778681505347535</v>
      </c>
      <c r="AG30" s="2">
        <f ca="1"/>
        <v>0.38525900894696474</v>
      </c>
      <c r="AH30" s="2" t="str">
        <f ca="1"/>
        <v>OK</v>
      </c>
    </row>
    <row r="31" spans="2:34">
      <c r="B31" s="2">
        <f ca="1"/>
        <v>0.73558168036495419</v>
      </c>
      <c r="D31">
        <f ca="1">AVERAGE(_xlfn.ANCHORARRAY(B14))</f>
        <v>0.49679887187444421</v>
      </c>
      <c r="E31">
        <f ca="1">VAR(_xlfn.ANCHORARRAY(B14))</f>
        <v>8.4188120472938138E-2</v>
      </c>
      <c r="O31" s="2">
        <f ca="1"/>
        <v>8.2403981396669629E-2</v>
      </c>
      <c r="X31" s="2">
        <f ca="1"/>
        <v>30.418277234947535</v>
      </c>
      <c r="AG31" s="2">
        <f ca="1"/>
        <v>0.2125203069682724</v>
      </c>
      <c r="AH31" s="2" t="str">
        <f ca="1"/>
        <v>OK</v>
      </c>
    </row>
    <row r="32" spans="2:34">
      <c r="B32" s="2">
        <f ca="1"/>
        <v>0.39802618451840899</v>
      </c>
      <c r="O32" s="2">
        <f ca="1"/>
        <v>0.31647158779602874</v>
      </c>
      <c r="X32" s="2">
        <f ca="1"/>
        <v>74.220094865279677</v>
      </c>
      <c r="AG32" s="2">
        <f ca="1"/>
        <v>0.55929139876888878</v>
      </c>
      <c r="AH32" s="2" t="str">
        <f ca="1"/>
        <v>Bad</v>
      </c>
    </row>
    <row r="33" spans="2:34">
      <c r="B33" s="2">
        <f ca="1"/>
        <v>0.66109787977074586</v>
      </c>
      <c r="E33" s="67" t="s">
        <v>288</v>
      </c>
      <c r="O33" s="2">
        <f ca="1"/>
        <v>-0.43837158761087569</v>
      </c>
      <c r="X33" s="2">
        <f ca="1"/>
        <v>36.27422423429114</v>
      </c>
      <c r="AG33" s="2">
        <f ca="1"/>
        <v>0.71916272358165223</v>
      </c>
      <c r="AH33" s="2" t="str">
        <f ca="1"/>
        <v>Bad</v>
      </c>
    </row>
    <row r="34" spans="2:34">
      <c r="B34" s="2">
        <f ca="1"/>
        <v>0.89963830628011809</v>
      </c>
      <c r="E34" s="67">
        <f>1/12</f>
        <v>8.3333333333333329E-2</v>
      </c>
      <c r="O34" s="2">
        <f ca="1"/>
        <v>0.20301980623454025</v>
      </c>
      <c r="X34" s="2">
        <f ca="1"/>
        <v>53.046123533092988</v>
      </c>
      <c r="AG34" s="2">
        <f ca="1"/>
        <v>0.26350527605566443</v>
      </c>
      <c r="AH34" s="2" t="str">
        <f ca="1"/>
        <v>OK</v>
      </c>
    </row>
    <row r="35" spans="2:34">
      <c r="B35" s="2">
        <f ca="1"/>
        <v>0.80939116664983279</v>
      </c>
      <c r="O35" s="2">
        <f ca="1"/>
        <v>-0.96542478515259622</v>
      </c>
      <c r="X35" s="2">
        <f ca="1"/>
        <v>35.175578367373099</v>
      </c>
      <c r="AG35" s="2">
        <f ca="1"/>
        <v>0.94832682474647867</v>
      </c>
      <c r="AH35" s="2" t="str">
        <f ca="1"/>
        <v>Bad</v>
      </c>
    </row>
    <row r="36" spans="2:34">
      <c r="B36" s="2">
        <f ca="1"/>
        <v>0.54617496379444974</v>
      </c>
      <c r="O36" s="2">
        <f ca="1"/>
        <v>1.1776243161073228</v>
      </c>
      <c r="X36" s="2">
        <f ca="1"/>
        <v>49.071791326275601</v>
      </c>
      <c r="AG36" s="2">
        <f ca="1"/>
        <v>0.87231630228421575</v>
      </c>
      <c r="AH36" s="2" t="str">
        <f ca="1"/>
        <v>Bad</v>
      </c>
    </row>
    <row r="37" spans="2:34">
      <c r="B37" s="2">
        <f ca="1"/>
        <v>0.25146952703726444</v>
      </c>
      <c r="O37" s="2">
        <f ca="1"/>
        <v>0.94543354410292335</v>
      </c>
      <c r="X37" s="2">
        <f ca="1"/>
        <v>55.659782405187883</v>
      </c>
      <c r="AG37" s="2">
        <f ca="1"/>
        <v>0.67066062540744853</v>
      </c>
      <c r="AH37" s="2" t="str">
        <f ca="1"/>
        <v>Bad</v>
      </c>
    </row>
    <row r="38" spans="2:34">
      <c r="B38" s="2">
        <f ca="1"/>
        <v>0.42655556337176925</v>
      </c>
      <c r="O38" s="2">
        <f ca="1"/>
        <v>0.73948569669374131</v>
      </c>
      <c r="X38" s="2">
        <f ca="1"/>
        <v>49.392514418164808</v>
      </c>
      <c r="AG38" s="2">
        <f ca="1"/>
        <v>0.64449890089984785</v>
      </c>
      <c r="AH38" s="2" t="str">
        <f ca="1"/>
        <v>Bad</v>
      </c>
    </row>
    <row r="39" spans="2:34">
      <c r="B39" s="2">
        <f ca="1"/>
        <v>0.93302074197324969</v>
      </c>
      <c r="O39" s="2">
        <f ca="1"/>
        <v>0.52506360233795935</v>
      </c>
      <c r="X39" s="2">
        <f ca="1"/>
        <v>32.417111145409301</v>
      </c>
      <c r="AG39" s="2">
        <f ca="1"/>
        <v>0.59347772521021724</v>
      </c>
      <c r="AH39" s="2" t="str">
        <f ca="1"/>
        <v>Bad</v>
      </c>
    </row>
    <row r="40" spans="2:34">
      <c r="B40" s="2">
        <f ca="1"/>
        <v>0.69425701617933799</v>
      </c>
      <c r="O40" s="2">
        <f ca="1"/>
        <v>-0.36969718604831475</v>
      </c>
      <c r="X40" s="2">
        <f ca="1"/>
        <v>64.007241875182061</v>
      </c>
      <c r="AG40" s="2">
        <f ca="1"/>
        <v>0.38909361684474142</v>
      </c>
      <c r="AH40" s="2" t="str">
        <f ca="1"/>
        <v>OK</v>
      </c>
    </row>
    <row r="41" spans="2:34">
      <c r="B41" s="2">
        <f ca="1"/>
        <v>0.4621105469623783</v>
      </c>
      <c r="O41" s="2">
        <f ca="1"/>
        <v>0.3544863682132342</v>
      </c>
      <c r="X41" s="2">
        <f ca="1"/>
        <v>74.045688791939398</v>
      </c>
      <c r="AG41" s="2">
        <f ca="1"/>
        <v>0.92812579340174173</v>
      </c>
      <c r="AH41" s="2" t="str">
        <f ca="1"/>
        <v>Bad</v>
      </c>
    </row>
    <row r="42" spans="2:34">
      <c r="B42" s="2">
        <f ca="1"/>
        <v>0.13777783721082293</v>
      </c>
      <c r="O42" s="2">
        <f ca="1"/>
        <v>1.2947040711678486</v>
      </c>
      <c r="X42" s="2">
        <f ca="1"/>
        <v>50.098292440730113</v>
      </c>
      <c r="AG42" s="2">
        <f ca="1"/>
        <v>0.74349890393921236</v>
      </c>
      <c r="AH42" s="2" t="str">
        <f ca="1"/>
        <v>Bad</v>
      </c>
    </row>
    <row r="43" spans="2:34">
      <c r="B43" s="2">
        <f ca="1"/>
        <v>0.52205380295879422</v>
      </c>
      <c r="O43" s="2">
        <f ca="1"/>
        <v>1.6173114120043186</v>
      </c>
      <c r="X43" s="2">
        <f ca="1"/>
        <v>58.511106125928748</v>
      </c>
      <c r="AG43" s="2">
        <f ca="1"/>
        <v>0.96432987189285568</v>
      </c>
      <c r="AH43" s="2" t="str">
        <f ca="1"/>
        <v>Bad</v>
      </c>
    </row>
    <row r="44" spans="2:34">
      <c r="B44" s="2">
        <f ca="1"/>
        <v>0.53699226758132657</v>
      </c>
      <c r="O44" s="2">
        <f ca="1"/>
        <v>0.55309599880469307</v>
      </c>
      <c r="X44" s="2">
        <f ca="1"/>
        <v>60.490914922927914</v>
      </c>
      <c r="AG44" s="2">
        <f ca="1"/>
        <v>7.4141228111511914E-2</v>
      </c>
      <c r="AH44" s="2" t="str">
        <f ca="1"/>
        <v>OK</v>
      </c>
    </row>
    <row r="45" spans="2:34">
      <c r="B45" s="2">
        <f ca="1"/>
        <v>0.47228451433993568</v>
      </c>
      <c r="O45" s="2">
        <f ca="1"/>
        <v>0.65598441918487183</v>
      </c>
      <c r="X45" s="2">
        <f ca="1"/>
        <v>55.925625126745892</v>
      </c>
      <c r="AG45" s="2">
        <f ca="1"/>
        <v>3.7195290263898784E-2</v>
      </c>
      <c r="AH45" s="2" t="str">
        <f ca="1"/>
        <v>Good</v>
      </c>
    </row>
    <row r="46" spans="2:34">
      <c r="B46" s="2">
        <f ca="1"/>
        <v>0.56653785859966188</v>
      </c>
      <c r="O46" s="2">
        <f ca="1"/>
        <v>-1.2241073329506245</v>
      </c>
      <c r="X46" s="2">
        <f ca="1"/>
        <v>59.357105152182868</v>
      </c>
      <c r="AG46" s="2">
        <f ca="1"/>
        <v>7.6116424611814004E-2</v>
      </c>
      <c r="AH46" s="2" t="str">
        <f ca="1"/>
        <v>OK</v>
      </c>
    </row>
    <row r="47" spans="2:34">
      <c r="B47" s="2">
        <f ca="1"/>
        <v>0.89152211937823034</v>
      </c>
      <c r="O47" s="2">
        <f ca="1"/>
        <v>0.99556202525364712</v>
      </c>
      <c r="X47" s="2">
        <f ca="1"/>
        <v>35.255918994475508</v>
      </c>
      <c r="AG47" s="2">
        <f ca="1"/>
        <v>0.15890686715012414</v>
      </c>
      <c r="AH47" s="2" t="str">
        <f ca="1"/>
        <v>OK</v>
      </c>
    </row>
    <row r="48" spans="2:34">
      <c r="B48" s="2">
        <f ca="1"/>
        <v>0.56945121326025472</v>
      </c>
      <c r="O48" s="2">
        <f ca="1"/>
        <v>-0.13299182593029532</v>
      </c>
      <c r="X48" s="2">
        <f ca="1"/>
        <v>50.66624660692996</v>
      </c>
      <c r="AG48" s="2">
        <f ca="1"/>
        <v>0.81821487346114896</v>
      </c>
      <c r="AH48" s="2" t="str">
        <f ca="1"/>
        <v>Bad</v>
      </c>
    </row>
    <row r="49" spans="2:34">
      <c r="B49" s="2">
        <f ca="1"/>
        <v>0.23136101051613389</v>
      </c>
      <c r="O49" s="2">
        <f ca="1"/>
        <v>-0.78384260827106889</v>
      </c>
      <c r="X49" s="2">
        <f ca="1"/>
        <v>56.962983880190578</v>
      </c>
      <c r="AG49" s="2">
        <f ca="1"/>
        <v>0.81164426288425262</v>
      </c>
      <c r="AH49" s="2" t="str">
        <f ca="1"/>
        <v>Bad</v>
      </c>
    </row>
    <row r="50" spans="2:34">
      <c r="B50" s="2">
        <f ca="1"/>
        <v>0.53472460648212516</v>
      </c>
      <c r="O50" s="2">
        <f ca="1"/>
        <v>-2.2862167310220691</v>
      </c>
      <c r="X50" s="2">
        <f ca="1"/>
        <v>77.259801872774034</v>
      </c>
      <c r="AG50" s="2">
        <f ca="1"/>
        <v>0.95837608759735837</v>
      </c>
      <c r="AH50" s="2" t="str">
        <f ca="1"/>
        <v>Bad</v>
      </c>
    </row>
    <row r="51" spans="2:34">
      <c r="B51" s="2">
        <f ca="1"/>
        <v>0.91580458622708161</v>
      </c>
      <c r="O51" s="2">
        <f ca="1"/>
        <v>-0.86202777403135389</v>
      </c>
      <c r="X51" s="2">
        <f ca="1"/>
        <v>51.850473755043524</v>
      </c>
      <c r="AG51" s="2">
        <f ca="1"/>
        <v>0.91826858034981473</v>
      </c>
      <c r="AH51" s="2" t="str">
        <f ca="1"/>
        <v>Bad</v>
      </c>
    </row>
    <row r="52" spans="2:34">
      <c r="B52" s="2">
        <f ca="1"/>
        <v>0.7973292299743</v>
      </c>
      <c r="O52" s="2">
        <f ca="1"/>
        <v>-1.1495519341629656</v>
      </c>
      <c r="X52" s="2">
        <f ca="1"/>
        <v>49.617383445291864</v>
      </c>
      <c r="AG52" s="2">
        <f ca="1"/>
        <v>0.64980999950536433</v>
      </c>
      <c r="AH52" s="2" t="str">
        <f ca="1"/>
        <v>Bad</v>
      </c>
    </row>
    <row r="53" spans="2:34">
      <c r="B53" s="2">
        <f ca="1"/>
        <v>2.2813137016651774E-2</v>
      </c>
      <c r="O53" s="2">
        <f ca="1"/>
        <v>-0.31834994825913282</v>
      </c>
      <c r="X53" s="2">
        <f ca="1"/>
        <v>76.024042531049261</v>
      </c>
      <c r="AG53" s="2">
        <f ca="1"/>
        <v>0.93081079569160186</v>
      </c>
      <c r="AH53" s="2" t="str">
        <f ca="1"/>
        <v>Bad</v>
      </c>
    </row>
    <row r="54" spans="2:34">
      <c r="B54" s="2">
        <f ca="1"/>
        <v>0.82716412728574662</v>
      </c>
      <c r="O54" s="2">
        <f ca="1"/>
        <v>-1.5849565048885919</v>
      </c>
      <c r="X54" s="2">
        <f ca="1"/>
        <v>34.798369093474228</v>
      </c>
      <c r="AG54" s="2">
        <f ca="1"/>
        <v>0.94197376588817017</v>
      </c>
      <c r="AH54" s="2" t="str">
        <f ca="1"/>
        <v>Bad</v>
      </c>
    </row>
    <row r="55" spans="2:34">
      <c r="B55" s="2">
        <f ca="1"/>
        <v>0.71630882363191617</v>
      </c>
      <c r="O55" s="2">
        <f ca="1"/>
        <v>1.0349300853506322E-2</v>
      </c>
      <c r="X55" s="2">
        <f ca="1"/>
        <v>87.404692302164364</v>
      </c>
      <c r="AG55" s="2">
        <f ca="1"/>
        <v>0.5934848921193745</v>
      </c>
      <c r="AH55" s="2" t="str">
        <f ca="1"/>
        <v>Bad</v>
      </c>
    </row>
    <row r="56" spans="2:34">
      <c r="B56" s="2">
        <f ca="1"/>
        <v>0.30441375944893778</v>
      </c>
      <c r="O56" s="2">
        <f ca="1"/>
        <v>1.782589580231045</v>
      </c>
      <c r="X56" s="2">
        <f ca="1"/>
        <v>49.451820489445751</v>
      </c>
      <c r="AG56" s="2">
        <f ca="1"/>
        <v>0.2841501346206825</v>
      </c>
      <c r="AH56" s="2" t="str">
        <f ca="1"/>
        <v>OK</v>
      </c>
    </row>
    <row r="57" spans="2:34">
      <c r="B57" s="2">
        <f ca="1"/>
        <v>0.24875020569331907</v>
      </c>
      <c r="O57" s="2">
        <f ca="1"/>
        <v>1.0664716468539088</v>
      </c>
      <c r="X57" s="2">
        <f ca="1"/>
        <v>72.909016435218277</v>
      </c>
      <c r="AG57" s="2">
        <f ca="1"/>
        <v>9.2721558188870734E-3</v>
      </c>
      <c r="AH57" s="2" t="str">
        <f ca="1"/>
        <v>Good</v>
      </c>
    </row>
    <row r="58" spans="2:34">
      <c r="B58" s="2">
        <f ca="1"/>
        <v>0.93285829354085403</v>
      </c>
      <c r="O58" s="2">
        <f ca="1"/>
        <v>1.1171267442114612</v>
      </c>
      <c r="X58" s="2">
        <f ca="1"/>
        <v>57.665629738872966</v>
      </c>
      <c r="AG58" s="2">
        <f ca="1"/>
        <v>0.47965075633538334</v>
      </c>
      <c r="AH58" s="2" t="str">
        <f ca="1"/>
        <v>Bad</v>
      </c>
    </row>
    <row r="59" spans="2:34">
      <c r="B59" s="2">
        <f ca="1"/>
        <v>0.25954365435646998</v>
      </c>
      <c r="O59" s="2">
        <f ca="1"/>
        <v>0.2759815347482516</v>
      </c>
      <c r="X59" s="2">
        <f ca="1"/>
        <v>33.235099235268152</v>
      </c>
      <c r="AG59" s="2">
        <f ca="1"/>
        <v>0.96499384813647193</v>
      </c>
      <c r="AH59" s="2" t="str">
        <f ca="1"/>
        <v>Bad</v>
      </c>
    </row>
    <row r="60" spans="2:34">
      <c r="B60" s="2">
        <f ca="1"/>
        <v>2.2360060677637517E-3</v>
      </c>
      <c r="O60" s="2">
        <f ca="1"/>
        <v>-1.0074288847171684</v>
      </c>
      <c r="X60" s="2">
        <f ca="1"/>
        <v>64.917687577129797</v>
      </c>
      <c r="AG60" s="2">
        <f ca="1"/>
        <v>0.36319797078338234</v>
      </c>
      <c r="AH60" s="2" t="str">
        <f ca="1"/>
        <v>OK</v>
      </c>
    </row>
    <row r="61" spans="2:34">
      <c r="B61" s="2">
        <f ca="1"/>
        <v>0.35987871762175483</v>
      </c>
      <c r="O61" s="2">
        <f ca="1"/>
        <v>-0.25191892350429246</v>
      </c>
      <c r="X61" s="2">
        <f ca="1"/>
        <v>76.533698837347373</v>
      </c>
      <c r="AG61" s="2">
        <f ca="1"/>
        <v>0.13266570966530211</v>
      </c>
      <c r="AH61" s="2" t="str">
        <f ca="1"/>
        <v>OK</v>
      </c>
    </row>
    <row r="62" spans="2:34">
      <c r="B62" s="2">
        <f ca="1"/>
        <v>7.9667979381327303E-2</v>
      </c>
      <c r="O62" s="2">
        <f ca="1"/>
        <v>-0.93961879826578576</v>
      </c>
      <c r="X62" s="2">
        <f ca="1"/>
        <v>62.030797849884351</v>
      </c>
      <c r="AG62" s="2">
        <f ca="1"/>
        <v>0.8250705759540633</v>
      </c>
      <c r="AH62" s="2" t="str">
        <f ca="1"/>
        <v>Bad</v>
      </c>
    </row>
    <row r="63" spans="2:34">
      <c r="B63" s="2">
        <f ca="1"/>
        <v>0.96131485286112484</v>
      </c>
      <c r="O63" s="2">
        <f ca="1"/>
        <v>0.30389418554538672</v>
      </c>
      <c r="X63" s="2">
        <f ca="1"/>
        <v>81.261668425317822</v>
      </c>
      <c r="AG63" s="2">
        <f ca="1"/>
        <v>0.31986511005826412</v>
      </c>
      <c r="AH63" s="2" t="str">
        <f ca="1"/>
        <v>OK</v>
      </c>
    </row>
    <row r="64" spans="2:34">
      <c r="B64" s="2">
        <f ca="1"/>
        <v>0.26356724141538068</v>
      </c>
      <c r="O64" s="2">
        <f ca="1"/>
        <v>-0.67827043327685888</v>
      </c>
      <c r="X64" s="2">
        <f ca="1"/>
        <v>38.14310666922205</v>
      </c>
      <c r="AG64" s="2">
        <f ca="1"/>
        <v>0.51433062895958015</v>
      </c>
      <c r="AH64" s="2" t="str">
        <f ca="1"/>
        <v>Bad</v>
      </c>
    </row>
    <row r="65" spans="2:34">
      <c r="B65" s="2">
        <f ca="1"/>
        <v>0.38557506764272942</v>
      </c>
      <c r="O65" s="2">
        <f ca="1"/>
        <v>0.12426836736677245</v>
      </c>
      <c r="X65" s="2">
        <f ca="1"/>
        <v>37.891659201518365</v>
      </c>
      <c r="AG65" s="2">
        <f ca="1"/>
        <v>0.84566671964892204</v>
      </c>
      <c r="AH65" s="2" t="str">
        <f ca="1"/>
        <v>Bad</v>
      </c>
    </row>
    <row r="66" spans="2:34">
      <c r="B66" s="2">
        <f ca="1"/>
        <v>0.38023601939391827</v>
      </c>
      <c r="O66" s="2">
        <f ca="1"/>
        <v>-9.5965586039282475E-3</v>
      </c>
      <c r="X66" s="2">
        <f ca="1"/>
        <v>42.658829737374859</v>
      </c>
      <c r="AG66" s="2">
        <f ca="1"/>
        <v>0.1670261446736736</v>
      </c>
      <c r="AH66" s="2" t="str">
        <f ca="1"/>
        <v>OK</v>
      </c>
    </row>
    <row r="67" spans="2:34">
      <c r="B67" s="2">
        <f ca="1"/>
        <v>5.0319976603154126E-2</v>
      </c>
      <c r="O67" s="2">
        <f ca="1"/>
        <v>0.41724030038530502</v>
      </c>
      <c r="X67" s="2">
        <f ca="1"/>
        <v>66.173487435508804</v>
      </c>
      <c r="AG67" s="2">
        <f ca="1"/>
        <v>0.84189421501356043</v>
      </c>
      <c r="AH67" s="2" t="str">
        <f ca="1"/>
        <v>Bad</v>
      </c>
    </row>
    <row r="68" spans="2:34">
      <c r="B68" s="2">
        <f ca="1"/>
        <v>0.34586527610484752</v>
      </c>
      <c r="O68" s="2">
        <f ca="1"/>
        <v>2.0165657720163694</v>
      </c>
      <c r="X68" s="2">
        <f ca="1"/>
        <v>50.602628705705719</v>
      </c>
      <c r="AG68" s="2">
        <f ca="1"/>
        <v>0.10082729888711306</v>
      </c>
      <c r="AH68" s="2" t="str">
        <f ca="1"/>
        <v>OK</v>
      </c>
    </row>
    <row r="69" spans="2:34">
      <c r="B69" s="2">
        <f ca="1"/>
        <v>0.28118701801130008</v>
      </c>
      <c r="O69" s="2">
        <f ca="1"/>
        <v>-0.92813487798950134</v>
      </c>
      <c r="X69" s="2">
        <f ca="1"/>
        <v>41.331318044248349</v>
      </c>
      <c r="AG69" s="2">
        <f ca="1"/>
        <v>0.54035402982253822</v>
      </c>
      <c r="AH69" s="2" t="str">
        <f ca="1"/>
        <v>Bad</v>
      </c>
    </row>
    <row r="70" spans="2:34">
      <c r="B70" s="2">
        <f ca="1"/>
        <v>9.6157975974441756E-2</v>
      </c>
      <c r="O70" s="2">
        <f ca="1"/>
        <v>-1.1490124872899499</v>
      </c>
      <c r="X70" s="2">
        <f ca="1"/>
        <v>36.947492725530303</v>
      </c>
      <c r="AG70" s="2">
        <f ca="1"/>
        <v>0.34685892897758697</v>
      </c>
      <c r="AH70" s="2" t="str">
        <f ca="1"/>
        <v>OK</v>
      </c>
    </row>
    <row r="71" spans="2:34">
      <c r="B71" s="2">
        <f ca="1"/>
        <v>0.36596546126739748</v>
      </c>
      <c r="O71" s="2">
        <f ca="1"/>
        <v>0.52448615613259386</v>
      </c>
      <c r="X71" s="2">
        <f ca="1"/>
        <v>46.373844924093177</v>
      </c>
      <c r="AG71" s="2">
        <f ca="1"/>
        <v>0.25254015169454669</v>
      </c>
      <c r="AH71" s="2" t="str">
        <f ca="1"/>
        <v>OK</v>
      </c>
    </row>
    <row r="72" spans="2:34">
      <c r="B72" s="2">
        <f ca="1"/>
        <v>0.29942914795450504</v>
      </c>
      <c r="O72" s="2">
        <f ca="1"/>
        <v>-1.0981578886737273</v>
      </c>
      <c r="X72" s="2">
        <f ca="1"/>
        <v>40.58857913140362</v>
      </c>
      <c r="AG72" s="2">
        <f ca="1"/>
        <v>0.1276418603186924</v>
      </c>
      <c r="AH72" s="2" t="str">
        <f ca="1"/>
        <v>OK</v>
      </c>
    </row>
    <row r="73" spans="2:34">
      <c r="B73" s="2">
        <f ca="1"/>
        <v>0.67496596293634936</v>
      </c>
      <c r="O73" s="2">
        <f ca="1"/>
        <v>-0.31770545285724427</v>
      </c>
      <c r="X73" s="2">
        <f ca="1"/>
        <v>32.557876193522063</v>
      </c>
      <c r="AG73" s="2">
        <f ca="1"/>
        <v>1.3142886914156104E-2</v>
      </c>
      <c r="AH73" s="2" t="str">
        <f ca="1"/>
        <v>Good</v>
      </c>
    </row>
    <row r="74" spans="2:34">
      <c r="B74" s="2">
        <f ca="1"/>
        <v>0.5513540225710345</v>
      </c>
      <c r="O74" s="2">
        <f ca="1"/>
        <v>-0.69644130677926919</v>
      </c>
      <c r="X74" s="2">
        <f ca="1"/>
        <v>34.440026884044997</v>
      </c>
      <c r="AG74" s="2">
        <f ca="1"/>
        <v>8.7124635601617761E-2</v>
      </c>
      <c r="AH74" s="2" t="str">
        <f ca="1"/>
        <v>OK</v>
      </c>
    </row>
    <row r="75" spans="2:34">
      <c r="B75" s="2">
        <f ca="1"/>
        <v>0.9839200673043591</v>
      </c>
      <c r="O75" s="2">
        <f ca="1"/>
        <v>0.46162118239184952</v>
      </c>
      <c r="X75" s="2">
        <f ca="1"/>
        <v>77.245863297656868</v>
      </c>
      <c r="AG75" s="2">
        <f ca="1"/>
        <v>0.66285356882910218</v>
      </c>
      <c r="AH75" s="2" t="str">
        <f ca="1"/>
        <v>Bad</v>
      </c>
    </row>
    <row r="76" spans="2:34">
      <c r="B76" s="2">
        <f ca="1"/>
        <v>0.47773230024365665</v>
      </c>
      <c r="O76" s="2">
        <f ca="1"/>
        <v>-3.2277290317279501E-2</v>
      </c>
      <c r="X76" s="2">
        <f ca="1"/>
        <v>37.55136511658457</v>
      </c>
      <c r="AG76" s="2">
        <f ca="1"/>
        <v>0.99597513114515213</v>
      </c>
      <c r="AH76" s="2" t="str">
        <f ca="1"/>
        <v>Bad</v>
      </c>
    </row>
    <row r="77" spans="2:34">
      <c r="B77" s="2">
        <f ca="1"/>
        <v>3.4457623439513974E-2</v>
      </c>
      <c r="O77" s="2">
        <f ca="1"/>
        <v>1.253723799396584</v>
      </c>
      <c r="X77" s="2">
        <f ca="1"/>
        <v>37.923018151060994</v>
      </c>
      <c r="AG77" s="2">
        <f ca="1"/>
        <v>0.52174922457852158</v>
      </c>
      <c r="AH77" s="2" t="str">
        <f ca="1"/>
        <v>Bad</v>
      </c>
    </row>
    <row r="78" spans="2:34">
      <c r="B78" s="2">
        <f ca="1"/>
        <v>0.42285054008389689</v>
      </c>
      <c r="O78" s="2">
        <f ca="1"/>
        <v>-0.86438585422891701</v>
      </c>
      <c r="X78" s="2">
        <f ca="1"/>
        <v>41.479596407544818</v>
      </c>
      <c r="AG78" s="2">
        <f ca="1"/>
        <v>0.78707830631040299</v>
      </c>
      <c r="AH78" s="2" t="str">
        <f ca="1"/>
        <v>Bad</v>
      </c>
    </row>
    <row r="79" spans="2:34">
      <c r="B79" s="2">
        <f ca="1"/>
        <v>0.7344218762053949</v>
      </c>
      <c r="O79" s="2">
        <f ca="1"/>
        <v>7.6785800539155749E-2</v>
      </c>
      <c r="X79" s="2">
        <f ca="1"/>
        <v>34.556666104256038</v>
      </c>
      <c r="AG79" s="2">
        <f ca="1"/>
        <v>0.78234722793404976</v>
      </c>
      <c r="AH79" s="2" t="str">
        <f ca="1"/>
        <v>Bad</v>
      </c>
    </row>
    <row r="80" spans="2:34">
      <c r="B80" s="2">
        <f ca="1"/>
        <v>0.18339199621134905</v>
      </c>
      <c r="O80" s="2">
        <f ca="1"/>
        <v>0.55304127360448474</v>
      </c>
      <c r="X80" s="2">
        <f ca="1"/>
        <v>53.551843362894346</v>
      </c>
      <c r="AG80" s="2">
        <f ca="1"/>
        <v>0.19629211099804666</v>
      </c>
      <c r="AH80" s="2" t="str">
        <f ca="1"/>
        <v>OK</v>
      </c>
    </row>
    <row r="81" spans="2:34">
      <c r="B81" s="2">
        <f ca="1"/>
        <v>0.2505100299979266</v>
      </c>
      <c r="O81" s="2">
        <f ca="1"/>
        <v>0.12733706522492802</v>
      </c>
      <c r="X81" s="2">
        <f ca="1"/>
        <v>49.428314304417057</v>
      </c>
      <c r="AG81" s="2">
        <f ca="1"/>
        <v>0.35493642862802854</v>
      </c>
      <c r="AH81" s="2" t="str">
        <f ca="1"/>
        <v>OK</v>
      </c>
    </row>
    <row r="82" spans="2:34">
      <c r="B82" s="2">
        <f ca="1"/>
        <v>9.0474169499713764E-2</v>
      </c>
      <c r="O82" s="2">
        <f ca="1"/>
        <v>0.37853220744483385</v>
      </c>
      <c r="X82" s="2">
        <f ca="1"/>
        <v>53.377735235756695</v>
      </c>
      <c r="AG82" s="2">
        <f ca="1"/>
        <v>1.288482916603928E-2</v>
      </c>
      <c r="AH82" s="2" t="str">
        <f ca="1"/>
        <v>Good</v>
      </c>
    </row>
    <row r="83" spans="2:34">
      <c r="B83" s="2">
        <f ca="1"/>
        <v>0.14385257088625458</v>
      </c>
      <c r="O83" s="2">
        <f ca="1"/>
        <v>0.97712303855937466</v>
      </c>
      <c r="X83" s="2">
        <f ca="1"/>
        <v>42.213363566935328</v>
      </c>
      <c r="AG83" s="2">
        <f ca="1"/>
        <v>0.65029907482635085</v>
      </c>
      <c r="AH83" s="2" t="str">
        <f ca="1"/>
        <v>Bad</v>
      </c>
    </row>
    <row r="84" spans="2:34">
      <c r="B84" s="2">
        <f ca="1"/>
        <v>0.85810903196688271</v>
      </c>
      <c r="O84" s="2">
        <f ca="1"/>
        <v>-0.82465469181726692</v>
      </c>
      <c r="X84" s="2">
        <f ca="1"/>
        <v>51.436390892385987</v>
      </c>
      <c r="AG84" s="2">
        <f ca="1"/>
        <v>0.46262958989889302</v>
      </c>
      <c r="AH84" s="2" t="str">
        <f ca="1"/>
        <v>Bad</v>
      </c>
    </row>
    <row r="85" spans="2:34">
      <c r="B85" s="2">
        <f ca="1"/>
        <v>0.69011012568986896</v>
      </c>
      <c r="O85" s="2">
        <f ca="1"/>
        <v>-0.34026039725652318</v>
      </c>
      <c r="X85" s="2">
        <f ca="1"/>
        <v>36.693261046462752</v>
      </c>
      <c r="AG85" s="2">
        <f ca="1"/>
        <v>0.72705081581469044</v>
      </c>
      <c r="AH85" s="2" t="str">
        <f ca="1"/>
        <v>Bad</v>
      </c>
    </row>
    <row r="86" spans="2:34">
      <c r="B86" s="2">
        <f ca="1"/>
        <v>0.72095172669866781</v>
      </c>
      <c r="O86" s="2">
        <f ca="1"/>
        <v>-0.28854413022449332</v>
      </c>
      <c r="X86" s="2">
        <f ca="1"/>
        <v>49.952041939499452</v>
      </c>
      <c r="AG86" s="2">
        <f ca="1"/>
        <v>0.85301090335028218</v>
      </c>
      <c r="AH86" s="2" t="str">
        <f ca="1"/>
        <v>Bad</v>
      </c>
    </row>
    <row r="87" spans="2:34">
      <c r="B87" s="2">
        <f ca="1"/>
        <v>0.3884564650805733</v>
      </c>
      <c r="O87" s="2">
        <f ca="1"/>
        <v>1.006417856176492</v>
      </c>
      <c r="X87" s="2">
        <f ca="1"/>
        <v>29.375216095017169</v>
      </c>
      <c r="AG87" s="2">
        <f ca="1"/>
        <v>0.48107755703071753</v>
      </c>
      <c r="AH87" s="2" t="str">
        <f ca="1"/>
        <v>Bad</v>
      </c>
    </row>
    <row r="88" spans="2:34">
      <c r="B88" s="2">
        <f ca="1"/>
        <v>0.78447636179405644</v>
      </c>
      <c r="O88" s="2">
        <f ca="1"/>
        <v>0.11369658638795042</v>
      </c>
      <c r="X88" s="2">
        <f ca="1"/>
        <v>51.124381609465701</v>
      </c>
      <c r="AG88" s="2">
        <f ca="1"/>
        <v>0.23116374678419738</v>
      </c>
      <c r="AH88" s="2" t="str">
        <f ca="1"/>
        <v>OK</v>
      </c>
    </row>
    <row r="89" spans="2:34">
      <c r="B89" s="2">
        <f ca="1"/>
        <v>0.60824996103040663</v>
      </c>
      <c r="O89" s="2">
        <f ca="1"/>
        <v>-1.1157770299489731</v>
      </c>
      <c r="X89" s="2">
        <f ca="1"/>
        <v>45.984634467159033</v>
      </c>
      <c r="AG89" s="2">
        <f ca="1"/>
        <v>0.47912030419890117</v>
      </c>
      <c r="AH89" s="2" t="str">
        <f ca="1"/>
        <v>Bad</v>
      </c>
    </row>
    <row r="90" spans="2:34">
      <c r="B90" s="2">
        <f ca="1"/>
        <v>0.46447590367194769</v>
      </c>
      <c r="O90" s="2">
        <f ca="1"/>
        <v>-6.3755405904084725E-2</v>
      </c>
      <c r="X90" s="2">
        <f ca="1"/>
        <v>39.508184220283049</v>
      </c>
      <c r="AG90" s="2">
        <f ca="1"/>
        <v>0.68119034729507089</v>
      </c>
      <c r="AH90" s="2" t="str">
        <f ca="1"/>
        <v>Bad</v>
      </c>
    </row>
    <row r="91" spans="2:34">
      <c r="B91" s="2">
        <f ca="1"/>
        <v>0.33599793329228711</v>
      </c>
      <c r="O91" s="2">
        <f ca="1"/>
        <v>0.98714993421045838</v>
      </c>
      <c r="X91" s="2">
        <f ca="1"/>
        <v>37.649162058675508</v>
      </c>
      <c r="AG91" s="2">
        <f ca="1"/>
        <v>0.58738744227198136</v>
      </c>
      <c r="AH91" s="2" t="str">
        <f ca="1"/>
        <v>Bad</v>
      </c>
    </row>
    <row r="92" spans="2:34">
      <c r="B92" s="2">
        <f ca="1"/>
        <v>0.25826897802846527</v>
      </c>
      <c r="O92" s="2">
        <f ca="1"/>
        <v>-2.1562319847221167</v>
      </c>
      <c r="X92" s="2">
        <f ca="1"/>
        <v>32.392540440377253</v>
      </c>
      <c r="AG92" s="2">
        <f ca="1"/>
        <v>0.70771113721315504</v>
      </c>
      <c r="AH92" s="2" t="str">
        <f ca="1"/>
        <v>Bad</v>
      </c>
    </row>
    <row r="93" spans="2:34">
      <c r="B93" s="2">
        <f ca="1"/>
        <v>0.65746601151692108</v>
      </c>
      <c r="O93" s="2">
        <f ca="1"/>
        <v>1.4133028507119056</v>
      </c>
      <c r="X93" s="2">
        <f ca="1"/>
        <v>49.533576828632008</v>
      </c>
      <c r="AG93" s="2">
        <f ca="1"/>
        <v>0.22494719378769212</v>
      </c>
      <c r="AH93" s="2" t="str">
        <f ca="1"/>
        <v>OK</v>
      </c>
    </row>
    <row r="94" spans="2:34">
      <c r="B94" s="2">
        <f ca="1"/>
        <v>0.48961114502133984</v>
      </c>
      <c r="O94" s="2">
        <f ca="1"/>
        <v>1.6968272445546873</v>
      </c>
      <c r="X94" s="2">
        <f ca="1"/>
        <v>43.898569332596182</v>
      </c>
      <c r="AG94" s="2">
        <f ca="1"/>
        <v>0.91779838458025353</v>
      </c>
      <c r="AH94" s="2" t="str">
        <f ca="1"/>
        <v>Bad</v>
      </c>
    </row>
    <row r="95" spans="2:34">
      <c r="B95" s="2">
        <f ca="1"/>
        <v>0.75416297733535642</v>
      </c>
      <c r="O95" s="2">
        <f ca="1"/>
        <v>-6.3823278623481652E-2</v>
      </c>
      <c r="X95" s="2">
        <f ca="1"/>
        <v>43.887960811393711</v>
      </c>
      <c r="AG95" s="2">
        <f ca="1"/>
        <v>0.73928129055174296</v>
      </c>
      <c r="AH95" s="2" t="str">
        <f ca="1"/>
        <v>Bad</v>
      </c>
    </row>
    <row r="96" spans="2:34">
      <c r="B96" s="2">
        <f ca="1"/>
        <v>0.57775337632391688</v>
      </c>
      <c r="O96" s="2">
        <f ca="1"/>
        <v>0.8812306182154247</v>
      </c>
      <c r="X96" s="2">
        <f ca="1"/>
        <v>48.154270814011745</v>
      </c>
      <c r="AG96" s="2">
        <f ca="1"/>
        <v>0.51618314664163156</v>
      </c>
      <c r="AH96" s="2" t="str">
        <f ca="1"/>
        <v>Bad</v>
      </c>
    </row>
    <row r="97" spans="2:34">
      <c r="B97" s="2">
        <f ca="1"/>
        <v>0.83517752893323816</v>
      </c>
      <c r="O97" s="2">
        <f ca="1"/>
        <v>0.58562770289492683</v>
      </c>
      <c r="X97" s="2">
        <f ca="1"/>
        <v>71.989875102902829</v>
      </c>
      <c r="AG97" s="2">
        <f ca="1"/>
        <v>0.96826296915554644</v>
      </c>
      <c r="AH97" s="2" t="str">
        <f ca="1"/>
        <v>Bad</v>
      </c>
    </row>
    <row r="98" spans="2:34">
      <c r="B98" s="2">
        <f ca="1"/>
        <v>0.54185209368011256</v>
      </c>
      <c r="O98" s="2">
        <f ca="1"/>
        <v>0.53807094782778031</v>
      </c>
      <c r="X98" s="2">
        <f ca="1"/>
        <v>52.963986187209436</v>
      </c>
      <c r="AG98" s="2">
        <f ca="1"/>
        <v>5.3134071617319201E-2</v>
      </c>
      <c r="AH98" s="2" t="str">
        <f ca="1"/>
        <v>OK</v>
      </c>
    </row>
    <row r="99" spans="2:34">
      <c r="B99" s="2">
        <f ca="1"/>
        <v>0.66973884026708008</v>
      </c>
      <c r="O99" s="2">
        <f ca="1"/>
        <v>-0.18139087296782413</v>
      </c>
      <c r="X99" s="2">
        <f ca="1"/>
        <v>22.323161118445846</v>
      </c>
      <c r="AG99" s="2">
        <f ca="1"/>
        <v>0.84088641842299605</v>
      </c>
      <c r="AH99" s="2" t="str">
        <f ca="1"/>
        <v>Bad</v>
      </c>
    </row>
    <row r="100" spans="2:34">
      <c r="B100" s="2">
        <f ca="1"/>
        <v>0.85893835962730458</v>
      </c>
      <c r="O100" s="2">
        <f ca="1"/>
        <v>0.8346561399166228</v>
      </c>
      <c r="X100" s="2">
        <f ca="1"/>
        <v>59.424114378393057</v>
      </c>
      <c r="AG100" s="2">
        <f ca="1"/>
        <v>0.7762588365016323</v>
      </c>
      <c r="AH100" s="2" t="str">
        <f ca="1"/>
        <v>Bad</v>
      </c>
    </row>
    <row r="101" spans="2:34">
      <c r="B101" s="2">
        <f ca="1"/>
        <v>0.29892248758284268</v>
      </c>
      <c r="O101" s="2">
        <f ca="1"/>
        <v>-1.5916827280255192</v>
      </c>
      <c r="X101" s="2">
        <f ca="1"/>
        <v>51.305455430908573</v>
      </c>
      <c r="AG101" s="2">
        <f ca="1"/>
        <v>0.16441821235343723</v>
      </c>
      <c r="AH101" s="2" t="str">
        <f ca="1"/>
        <v>OK</v>
      </c>
    </row>
    <row r="102" spans="2:34">
      <c r="B102" s="2">
        <f ca="1"/>
        <v>0.34545007314633458</v>
      </c>
      <c r="O102" s="2">
        <f ca="1"/>
        <v>0.18616072711851855</v>
      </c>
      <c r="X102" s="2">
        <f ca="1"/>
        <v>36.088915641471104</v>
      </c>
      <c r="AG102" s="2">
        <f ca="1"/>
        <v>0.59060563176942638</v>
      </c>
      <c r="AH102" s="2" t="str">
        <f ca="1"/>
        <v>Bad</v>
      </c>
    </row>
    <row r="103" spans="2:34">
      <c r="B103" s="2">
        <f ca="1"/>
        <v>0.90340610973703561</v>
      </c>
      <c r="O103" s="2">
        <f ca="1"/>
        <v>0.42031615857846449</v>
      </c>
      <c r="X103" s="2">
        <f ca="1"/>
        <v>73.226567794510572</v>
      </c>
      <c r="AG103" s="2">
        <f ca="1"/>
        <v>0.99091551891851215</v>
      </c>
      <c r="AH103" s="2" t="str">
        <f ca="1"/>
        <v>Bad</v>
      </c>
    </row>
    <row r="104" spans="2:34">
      <c r="B104" s="2">
        <f ca="1"/>
        <v>0.25133845534347676</v>
      </c>
      <c r="O104" s="2">
        <f ca="1"/>
        <v>-0.49761738769665553</v>
      </c>
      <c r="X104" s="2">
        <f ca="1"/>
        <v>59.714630220821633</v>
      </c>
      <c r="AG104" s="2">
        <f ca="1"/>
        <v>0.50316166712067756</v>
      </c>
      <c r="AH104" s="2" t="str">
        <f ca="1"/>
        <v>Bad</v>
      </c>
    </row>
    <row r="105" spans="2:34">
      <c r="B105" s="2">
        <f ca="1"/>
        <v>8.2307014471492135E-3</v>
      </c>
      <c r="O105" s="2">
        <f ca="1"/>
        <v>2.0426466433510111</v>
      </c>
      <c r="X105" s="2">
        <f ca="1"/>
        <v>66.614222080126112</v>
      </c>
      <c r="AG105" s="2">
        <f ca="1"/>
        <v>0.45098356017886898</v>
      </c>
      <c r="AH105" s="2" t="str">
        <f ca="1"/>
        <v>Bad</v>
      </c>
    </row>
    <row r="106" spans="2:34">
      <c r="B106" s="2">
        <f ca="1"/>
        <v>0.87235761021428382</v>
      </c>
      <c r="O106" s="2">
        <f ca="1"/>
        <v>-8.3564672961126629E-2</v>
      </c>
      <c r="X106" s="2">
        <f ca="1"/>
        <v>38.64544632866253</v>
      </c>
      <c r="AG106" s="2">
        <f ca="1"/>
        <v>0.42994758194960214</v>
      </c>
      <c r="AH106" s="2" t="str">
        <f ca="1"/>
        <v>Bad</v>
      </c>
    </row>
    <row r="107" spans="2:34">
      <c r="B107" s="2">
        <f ca="1"/>
        <v>0.19202845901639876</v>
      </c>
      <c r="O107" s="2">
        <f ca="1"/>
        <v>0.66504941170301313</v>
      </c>
      <c r="X107" s="2">
        <f ca="1"/>
        <v>53.730744569516666</v>
      </c>
      <c r="AG107" s="2">
        <f ca="1"/>
        <v>0.39730686330790066</v>
      </c>
      <c r="AH107" s="2" t="str">
        <f ca="1"/>
        <v>OK</v>
      </c>
    </row>
    <row r="108" spans="2:34">
      <c r="B108" s="2">
        <f ca="1"/>
        <v>0.88294882171899336</v>
      </c>
      <c r="O108" s="2">
        <f ca="1"/>
        <v>-0.78587585150482375</v>
      </c>
      <c r="X108" s="2">
        <f ca="1"/>
        <v>38.38992371325773</v>
      </c>
      <c r="AG108" s="2">
        <f ca="1"/>
        <v>0.82128615660479287</v>
      </c>
      <c r="AH108" s="2" t="str">
        <f ca="1"/>
        <v>Bad</v>
      </c>
    </row>
    <row r="109" spans="2:34">
      <c r="B109" s="2">
        <f ca="1"/>
        <v>0.84830159464910926</v>
      </c>
      <c r="O109" s="2">
        <f ca="1"/>
        <v>0.60241399271160623</v>
      </c>
      <c r="X109" s="2">
        <f ca="1"/>
        <v>54.249017305617933</v>
      </c>
      <c r="AG109" s="2">
        <f ca="1"/>
        <v>0.14681080997570239</v>
      </c>
      <c r="AH109" s="2" t="str">
        <f ca="1"/>
        <v>OK</v>
      </c>
    </row>
    <row r="110" spans="2:34">
      <c r="B110" s="2">
        <f ca="1"/>
        <v>0.76774060512110465</v>
      </c>
      <c r="O110" s="2">
        <f ca="1"/>
        <v>0.99754949700660311</v>
      </c>
      <c r="X110" s="2">
        <f ca="1"/>
        <v>74.478659247841364</v>
      </c>
      <c r="AG110" s="2">
        <f ca="1"/>
        <v>0.65910106872339269</v>
      </c>
      <c r="AH110" s="2" t="str">
        <f ca="1"/>
        <v>Bad</v>
      </c>
    </row>
    <row r="111" spans="2:34">
      <c r="B111" s="2">
        <f ca="1"/>
        <v>0.74268635406711159</v>
      </c>
      <c r="O111" s="2">
        <f ca="1"/>
        <v>1.2704492774613947</v>
      </c>
      <c r="X111" s="2">
        <f ca="1"/>
        <v>56.223053717318116</v>
      </c>
      <c r="AG111" s="2">
        <f ca="1"/>
        <v>0.88707189046422186</v>
      </c>
      <c r="AH111" s="2" t="str">
        <f ca="1"/>
        <v>Bad</v>
      </c>
    </row>
    <row r="112" spans="2:34">
      <c r="B112" s="2">
        <f ca="1"/>
        <v>0.13175571298766808</v>
      </c>
      <c r="O112" s="2">
        <f ca="1"/>
        <v>-1.8060448682236985</v>
      </c>
      <c r="X112" s="2">
        <f ca="1"/>
        <v>41.774284499684839</v>
      </c>
      <c r="AG112" s="2">
        <f ca="1"/>
        <v>0.96507121974479682</v>
      </c>
      <c r="AH112" s="2" t="str">
        <f ca="1"/>
        <v>Bad</v>
      </c>
    </row>
    <row r="113" spans="2:34">
      <c r="B113" s="2">
        <f ca="1"/>
        <v>0.60479328691871093</v>
      </c>
      <c r="O113" s="2">
        <f ca="1"/>
        <v>1.1186447455305901</v>
      </c>
      <c r="X113" s="2">
        <f ca="1"/>
        <v>68.758314101982535</v>
      </c>
      <c r="AG113" s="2">
        <f ca="1"/>
        <v>0.83771664113169075</v>
      </c>
      <c r="AH113" s="2" t="str">
        <f ca="1"/>
        <v>Bad</v>
      </c>
    </row>
    <row r="114" spans="2:34">
      <c r="B114" s="2">
        <f ca="1"/>
        <v>0.97645792286556032</v>
      </c>
      <c r="O114" s="2">
        <f ca="1"/>
        <v>1.3355153352568394E-2</v>
      </c>
      <c r="X114" s="2">
        <f ca="1"/>
        <v>55.973265969712472</v>
      </c>
      <c r="AG114" s="2">
        <f ca="1"/>
        <v>0.15532181172731363</v>
      </c>
      <c r="AH114" s="2" t="str">
        <f ca="1"/>
        <v>OK</v>
      </c>
    </row>
    <row r="115" spans="2:34">
      <c r="B115" s="2">
        <f ca="1"/>
        <v>5.756444363083002E-2</v>
      </c>
      <c r="O115" s="2">
        <f ca="1"/>
        <v>0.6133486433633909</v>
      </c>
      <c r="X115" s="2">
        <f ca="1"/>
        <v>28.104450843176739</v>
      </c>
      <c r="AG115" s="2">
        <f ca="1"/>
        <v>0.62379760387625183</v>
      </c>
      <c r="AH115" s="2" t="str">
        <f ca="1"/>
        <v>Bad</v>
      </c>
    </row>
    <row r="116" spans="2:34">
      <c r="B116" s="2">
        <f ca="1"/>
        <v>0.49912025308543284</v>
      </c>
      <c r="O116" s="2">
        <f ca="1"/>
        <v>-1.299483744175737</v>
      </c>
      <c r="X116" s="2">
        <f ca="1"/>
        <v>30.804311559838506</v>
      </c>
      <c r="AG116" s="2">
        <f ca="1"/>
        <v>0.76047960079373578</v>
      </c>
      <c r="AH116" s="2" t="str">
        <f ca="1"/>
        <v>Bad</v>
      </c>
    </row>
    <row r="117" spans="2:34">
      <c r="B117" s="2">
        <f ca="1"/>
        <v>5.700315610959672E-2</v>
      </c>
      <c r="O117" s="2">
        <f ca="1"/>
        <v>1.7921176117558046</v>
      </c>
      <c r="X117" s="2">
        <f ca="1"/>
        <v>51.399262977364558</v>
      </c>
      <c r="AG117" s="2">
        <f ca="1"/>
        <v>0.47667066839065786</v>
      </c>
      <c r="AH117" s="2" t="str">
        <f ca="1"/>
        <v>Bad</v>
      </c>
    </row>
    <row r="118" spans="2:34">
      <c r="B118" s="2">
        <f ca="1"/>
        <v>0.53366751821718306</v>
      </c>
      <c r="O118" s="2">
        <f ca="1"/>
        <v>-1.140793668118169</v>
      </c>
      <c r="X118" s="2">
        <f ca="1"/>
        <v>64.04200032834774</v>
      </c>
      <c r="AG118" s="2">
        <f ca="1"/>
        <v>0.93838259044540728</v>
      </c>
      <c r="AH118" s="2" t="str">
        <f ca="1"/>
        <v>Bad</v>
      </c>
    </row>
    <row r="119" spans="2:34">
      <c r="B119" s="2">
        <f ca="1"/>
        <v>0.27115973472967614</v>
      </c>
      <c r="O119" s="2">
        <f ca="1"/>
        <v>0.59233929111940165</v>
      </c>
      <c r="X119" s="2">
        <f ca="1"/>
        <v>49.599603263737187</v>
      </c>
      <c r="AG119" s="2">
        <f ca="1"/>
        <v>0.42478502272917029</v>
      </c>
      <c r="AH119" s="2" t="str">
        <f ca="1"/>
        <v>Bad</v>
      </c>
    </row>
    <row r="120" spans="2:34">
      <c r="B120" s="2">
        <f ca="1"/>
        <v>0.18700611532249178</v>
      </c>
      <c r="O120" s="2">
        <f ca="1"/>
        <v>-1.4061258129528214</v>
      </c>
      <c r="X120" s="2">
        <f ca="1"/>
        <v>55.443065495041836</v>
      </c>
      <c r="AG120" s="2">
        <f ca="1"/>
        <v>0.8585199241756829</v>
      </c>
      <c r="AH120" s="2" t="str">
        <f ca="1"/>
        <v>Bad</v>
      </c>
    </row>
    <row r="121" spans="2:34">
      <c r="B121" s="2">
        <f ca="1"/>
        <v>0.12006953172250201</v>
      </c>
      <c r="O121" s="2">
        <f ca="1"/>
        <v>2.1978492483599812</v>
      </c>
      <c r="X121" s="2">
        <f ca="1"/>
        <v>77.23141376540724</v>
      </c>
      <c r="AG121" s="2">
        <f ca="1"/>
        <v>0.22620955912112439</v>
      </c>
      <c r="AH121" s="2" t="str">
        <f ca="1"/>
        <v>OK</v>
      </c>
    </row>
    <row r="122" spans="2:34">
      <c r="B122" s="2">
        <f ca="1"/>
        <v>0.98917629876951874</v>
      </c>
      <c r="O122" s="2">
        <f ca="1"/>
        <v>2.1077247913919344</v>
      </c>
      <c r="X122" s="2">
        <f ca="1"/>
        <v>45.897464425829007</v>
      </c>
      <c r="AG122" s="2">
        <f ca="1"/>
        <v>0.66848982387976363</v>
      </c>
      <c r="AH122" s="2" t="str">
        <f ca="1"/>
        <v>Bad</v>
      </c>
    </row>
    <row r="123" spans="2:34">
      <c r="B123" s="2">
        <f ca="1"/>
        <v>0.99050771777534963</v>
      </c>
      <c r="O123" s="2">
        <f ca="1"/>
        <v>-4.1137433138576644E-2</v>
      </c>
      <c r="X123" s="2">
        <f ca="1"/>
        <v>68.970621453697859</v>
      </c>
      <c r="AG123" s="2">
        <f ca="1"/>
        <v>0.89660274259245698</v>
      </c>
      <c r="AH123" s="2" t="str">
        <f ca="1"/>
        <v>Bad</v>
      </c>
    </row>
    <row r="124" spans="2:34">
      <c r="B124" s="2">
        <f ca="1"/>
        <v>0.11417321522086832</v>
      </c>
      <c r="O124" s="2">
        <f ca="1"/>
        <v>0.79181624349438173</v>
      </c>
      <c r="X124" s="2">
        <f ca="1"/>
        <v>28.49399978826667</v>
      </c>
      <c r="AG124" s="2">
        <f ca="1"/>
        <v>0.50432795498455807</v>
      </c>
      <c r="AH124" s="2" t="str">
        <f ca="1"/>
        <v>Bad</v>
      </c>
    </row>
    <row r="125" spans="2:34">
      <c r="B125" s="2">
        <f ca="1"/>
        <v>0.87049267149270992</v>
      </c>
      <c r="O125" s="2">
        <f ca="1"/>
        <v>1.4816972017819894</v>
      </c>
      <c r="X125" s="2">
        <f ca="1"/>
        <v>20.384386577702163</v>
      </c>
      <c r="AG125" s="2">
        <f ca="1"/>
        <v>0.36802942466962874</v>
      </c>
      <c r="AH125" s="2" t="str">
        <f ca="1"/>
        <v>OK</v>
      </c>
    </row>
    <row r="126" spans="2:34">
      <c r="B126" s="2">
        <f ca="1"/>
        <v>0.51929400988749541</v>
      </c>
      <c r="O126" s="2">
        <f ca="1"/>
        <v>-0.80848669316518373</v>
      </c>
      <c r="X126" s="2">
        <f ca="1"/>
        <v>49.782694776336925</v>
      </c>
      <c r="AG126" s="2">
        <f ca="1"/>
        <v>0.69221577668072642</v>
      </c>
      <c r="AH126" s="2" t="str">
        <f ca="1"/>
        <v>Bad</v>
      </c>
    </row>
    <row r="127" spans="2:34">
      <c r="B127" s="2">
        <f ca="1"/>
        <v>0.20811791549463088</v>
      </c>
      <c r="O127" s="2">
        <f ca="1"/>
        <v>0.43338606151763615</v>
      </c>
      <c r="X127" s="2">
        <f ca="1"/>
        <v>43.267141586455729</v>
      </c>
      <c r="AG127" s="2">
        <f ca="1"/>
        <v>0.60121136076496273</v>
      </c>
      <c r="AH127" s="2" t="str">
        <f ca="1"/>
        <v>Bad</v>
      </c>
    </row>
    <row r="128" spans="2:34">
      <c r="B128" s="2">
        <f ca="1"/>
        <v>0.54012899789712643</v>
      </c>
      <c r="O128" s="2">
        <f ca="1"/>
        <v>-0.66707199745051671</v>
      </c>
      <c r="X128" s="2">
        <f ca="1"/>
        <v>42.301603086186795</v>
      </c>
      <c r="AG128" s="2">
        <f ca="1"/>
        <v>0.92620318119959566</v>
      </c>
      <c r="AH128" s="2" t="str">
        <f ca="1"/>
        <v>Bad</v>
      </c>
    </row>
    <row r="129" spans="2:34">
      <c r="B129" s="2">
        <f ca="1"/>
        <v>0.18194188009112833</v>
      </c>
      <c r="O129" s="2">
        <f ca="1"/>
        <v>-1.3529447672480097</v>
      </c>
      <c r="X129" s="2">
        <f ca="1"/>
        <v>25.043958667932834</v>
      </c>
      <c r="AG129" s="2">
        <f ca="1"/>
        <v>0.34170305866103856</v>
      </c>
      <c r="AH129" s="2" t="str">
        <f ca="1"/>
        <v>OK</v>
      </c>
    </row>
    <row r="130" spans="2:34">
      <c r="B130" s="2">
        <f ca="1"/>
        <v>0.1739816487275323</v>
      </c>
      <c r="O130" s="2">
        <f ca="1"/>
        <v>0.81072197396444357</v>
      </c>
      <c r="X130" s="2">
        <f ca="1"/>
        <v>58.917350989076041</v>
      </c>
      <c r="AG130" s="2">
        <f ca="1"/>
        <v>0.12621307887173461</v>
      </c>
      <c r="AH130" s="2" t="str">
        <f ca="1"/>
        <v>OK</v>
      </c>
    </row>
    <row r="131" spans="2:34">
      <c r="B131" s="2">
        <f ca="1"/>
        <v>0.15917546096643376</v>
      </c>
      <c r="O131" s="2">
        <f ca="1"/>
        <v>-8.3723196927803362E-2</v>
      </c>
      <c r="X131" s="2">
        <f ca="1"/>
        <v>49.161419992341166</v>
      </c>
      <c r="AG131" s="2">
        <f ca="1"/>
        <v>0.79747783365196212</v>
      </c>
      <c r="AH131" s="2" t="str">
        <f ca="1"/>
        <v>Bad</v>
      </c>
    </row>
    <row r="132" spans="2:34">
      <c r="B132" s="2">
        <f ca="1"/>
        <v>0.63317544630866696</v>
      </c>
      <c r="O132" s="2">
        <f ca="1"/>
        <v>0.74345167439126936</v>
      </c>
      <c r="X132" s="2">
        <f ca="1"/>
        <v>75.91257821461403</v>
      </c>
      <c r="AG132" s="2">
        <f ca="1"/>
        <v>0.97755946659858184</v>
      </c>
      <c r="AH132" s="2" t="str">
        <f ca="1"/>
        <v>Bad</v>
      </c>
    </row>
    <row r="133" spans="2:34">
      <c r="B133" s="2">
        <f ca="1"/>
        <v>0.61053006747431771</v>
      </c>
      <c r="O133" s="2">
        <f ca="1"/>
        <v>0.25944130795667297</v>
      </c>
      <c r="X133" s="2">
        <f ca="1"/>
        <v>53.785793911024449</v>
      </c>
      <c r="AG133" s="2">
        <f ca="1"/>
        <v>1.4883339006036111E-2</v>
      </c>
      <c r="AH133" s="2" t="str">
        <f ca="1"/>
        <v>Good</v>
      </c>
    </row>
    <row r="134" spans="2:34">
      <c r="B134" s="2">
        <f ca="1"/>
        <v>0.21305654824580023</v>
      </c>
      <c r="O134" s="2">
        <f ca="1"/>
        <v>0.94500613413809109</v>
      </c>
      <c r="X134" s="2">
        <f ca="1"/>
        <v>76.29721659892391</v>
      </c>
      <c r="AG134" s="2">
        <f ca="1"/>
        <v>3.1206656642614794E-2</v>
      </c>
      <c r="AH134" s="2" t="str">
        <f ca="1"/>
        <v>Good</v>
      </c>
    </row>
    <row r="135" spans="2:34">
      <c r="B135" s="2">
        <f ca="1"/>
        <v>0.32540316689895921</v>
      </c>
      <c r="O135" s="2">
        <f ca="1"/>
        <v>-0.99775578646204277</v>
      </c>
      <c r="X135" s="2">
        <f ca="1"/>
        <v>46.670787578168969</v>
      </c>
      <c r="AG135" s="2">
        <f ca="1"/>
        <v>0.23347303398229924</v>
      </c>
      <c r="AH135" s="2" t="str">
        <f ca="1"/>
        <v>OK</v>
      </c>
    </row>
    <row r="136" spans="2:34">
      <c r="B136" s="2">
        <f ca="1"/>
        <v>0.43884531813876682</v>
      </c>
      <c r="O136" s="2">
        <f ca="1"/>
        <v>-4.4538221884500274E-2</v>
      </c>
      <c r="X136" s="2">
        <f ca="1"/>
        <v>28.375881419764895</v>
      </c>
      <c r="AG136" s="2">
        <f ca="1"/>
        <v>0.62821860681820141</v>
      </c>
      <c r="AH136" s="2" t="str">
        <f ca="1"/>
        <v>Bad</v>
      </c>
    </row>
    <row r="137" spans="2:34">
      <c r="B137" s="2">
        <f ca="1"/>
        <v>0.40349497229505049</v>
      </c>
      <c r="O137" s="2">
        <f ca="1"/>
        <v>0.18395827699562828</v>
      </c>
      <c r="X137" s="2">
        <f ca="1"/>
        <v>60.987315196947343</v>
      </c>
      <c r="AG137" s="2">
        <f ca="1"/>
        <v>0.43626361288028348</v>
      </c>
      <c r="AH137" s="2" t="str">
        <f ca="1"/>
        <v>Bad</v>
      </c>
    </row>
    <row r="138" spans="2:34">
      <c r="B138" s="2">
        <f ca="1"/>
        <v>0.76815513668469038</v>
      </c>
      <c r="O138" s="2">
        <f ca="1"/>
        <v>0.2274404754777323</v>
      </c>
      <c r="X138" s="2">
        <f ca="1"/>
        <v>33.862280029607298</v>
      </c>
      <c r="AG138" s="2">
        <f ca="1"/>
        <v>0.1401627465770483</v>
      </c>
      <c r="AH138" s="2" t="str">
        <f ca="1"/>
        <v>OK</v>
      </c>
    </row>
    <row r="139" spans="2:34">
      <c r="B139" s="2">
        <f ca="1"/>
        <v>0.89135618149751483</v>
      </c>
      <c r="O139" s="2">
        <f ca="1"/>
        <v>0.87769894602935483</v>
      </c>
      <c r="X139" s="2">
        <f ca="1"/>
        <v>46.59968683351417</v>
      </c>
      <c r="AG139" s="2">
        <f ca="1"/>
        <v>0.28978019503588559</v>
      </c>
      <c r="AH139" s="2" t="str">
        <f ca="1"/>
        <v>OK</v>
      </c>
    </row>
    <row r="140" spans="2:34">
      <c r="B140" s="2">
        <f ca="1"/>
        <v>0.39668680531262379</v>
      </c>
      <c r="O140" s="2">
        <f ca="1"/>
        <v>-1.2409602408125586</v>
      </c>
      <c r="X140" s="2">
        <f ca="1"/>
        <v>47.293679184404724</v>
      </c>
      <c r="AG140" s="2">
        <f ca="1"/>
        <v>0.97418096890924399</v>
      </c>
      <c r="AH140" s="2" t="str">
        <f ca="1"/>
        <v>Bad</v>
      </c>
    </row>
    <row r="141" spans="2:34">
      <c r="B141" s="2">
        <f ca="1"/>
        <v>3.6597679423953089E-2</v>
      </c>
      <c r="O141" s="2">
        <f ca="1"/>
        <v>-1.3068867717978161</v>
      </c>
      <c r="X141" s="2">
        <f ca="1"/>
        <v>31.943045005148164</v>
      </c>
      <c r="AG141" s="2">
        <f ca="1"/>
        <v>9.701339797751829E-2</v>
      </c>
      <c r="AH141" s="2" t="str">
        <f ca="1"/>
        <v>OK</v>
      </c>
    </row>
    <row r="142" spans="2:34">
      <c r="B142" s="2">
        <f ca="1"/>
        <v>0.3912904879024619</v>
      </c>
      <c r="O142" s="2">
        <f ca="1"/>
        <v>0.17569103493942256</v>
      </c>
      <c r="X142" s="2">
        <f ca="1"/>
        <v>58.403813688140843</v>
      </c>
      <c r="AG142" s="2">
        <f ca="1"/>
        <v>0.9745390751614269</v>
      </c>
      <c r="AH142" s="2" t="str">
        <f ca="1"/>
        <v>Bad</v>
      </c>
    </row>
    <row r="143" spans="2:34">
      <c r="B143" s="2">
        <f ca="1"/>
        <v>0.23986601554946874</v>
      </c>
      <c r="O143" s="2">
        <f ca="1"/>
        <v>-0.23715199943510551</v>
      </c>
      <c r="X143" s="2">
        <f ca="1"/>
        <v>44.412272637336116</v>
      </c>
      <c r="AG143" s="2">
        <f ca="1"/>
        <v>0.74792274324711694</v>
      </c>
      <c r="AH143" s="2" t="str">
        <f ca="1"/>
        <v>Bad</v>
      </c>
    </row>
    <row r="144" spans="2:34">
      <c r="B144" s="2">
        <f ca="1"/>
        <v>8.6114782880866381E-2</v>
      </c>
      <c r="O144" s="2">
        <f ca="1"/>
        <v>-1.252591048539988</v>
      </c>
      <c r="X144" s="2">
        <f ca="1"/>
        <v>90.746070632301752</v>
      </c>
      <c r="AG144" s="2">
        <f ca="1"/>
        <v>0.75725537435841073</v>
      </c>
      <c r="AH144" s="2" t="str">
        <f ca="1"/>
        <v>Bad</v>
      </c>
    </row>
    <row r="145" spans="2:34">
      <c r="B145" s="2">
        <f ca="1"/>
        <v>0.12815106633334916</v>
      </c>
      <c r="O145" s="2">
        <f ca="1"/>
        <v>-0.16564903462904002</v>
      </c>
      <c r="X145" s="2">
        <f ca="1"/>
        <v>90.324257989585064</v>
      </c>
      <c r="AG145" s="2">
        <f ca="1"/>
        <v>0.23866410834221075</v>
      </c>
      <c r="AH145" s="2" t="str">
        <f ca="1"/>
        <v>OK</v>
      </c>
    </row>
    <row r="146" spans="2:34">
      <c r="B146" s="2">
        <f ca="1"/>
        <v>0.51746835265988578</v>
      </c>
      <c r="O146" s="2">
        <f ca="1"/>
        <v>-1.0108171196374078</v>
      </c>
      <c r="X146" s="2">
        <f ca="1"/>
        <v>62.935607000158583</v>
      </c>
      <c r="AG146" s="2">
        <f ca="1"/>
        <v>0.18377332248551825</v>
      </c>
      <c r="AH146" s="2" t="str">
        <f ca="1"/>
        <v>OK</v>
      </c>
    </row>
    <row r="147" spans="2:34">
      <c r="B147" s="2">
        <f ca="1"/>
        <v>0.18374277098902647</v>
      </c>
      <c r="O147" s="2">
        <f ca="1"/>
        <v>1.3849608035287782</v>
      </c>
      <c r="X147" s="2">
        <f ca="1"/>
        <v>42.505934140614762</v>
      </c>
      <c r="AG147" s="2">
        <f ca="1"/>
        <v>3.1790334114208285E-2</v>
      </c>
      <c r="AH147" s="2" t="str">
        <f ca="1"/>
        <v>Good</v>
      </c>
    </row>
    <row r="148" spans="2:34">
      <c r="B148" s="2">
        <f ca="1"/>
        <v>0.27064381260510206</v>
      </c>
      <c r="O148" s="2">
        <f ca="1"/>
        <v>-0.90819479320236318</v>
      </c>
      <c r="X148" s="2">
        <f ca="1"/>
        <v>63.67501303414079</v>
      </c>
      <c r="AG148" s="2">
        <f ca="1"/>
        <v>0.93450338650844156</v>
      </c>
      <c r="AH148" s="2" t="str">
        <f ca="1"/>
        <v>Bad</v>
      </c>
    </row>
    <row r="149" spans="2:34">
      <c r="B149" s="2">
        <f ca="1"/>
        <v>0.52814180605886984</v>
      </c>
      <c r="O149" s="2">
        <f ca="1"/>
        <v>0.62100314577582916</v>
      </c>
      <c r="X149" s="2">
        <f ca="1"/>
        <v>64.714094711878985</v>
      </c>
      <c r="AG149" s="2">
        <f ca="1"/>
        <v>0.2195718722605311</v>
      </c>
      <c r="AH149" s="2" t="str">
        <f ca="1"/>
        <v>OK</v>
      </c>
    </row>
    <row r="150" spans="2:34">
      <c r="B150" s="2">
        <f ca="1"/>
        <v>0.5456406449279585</v>
      </c>
      <c r="O150" s="2">
        <f ca="1"/>
        <v>-1.1850495227624098</v>
      </c>
      <c r="X150" s="2">
        <f ca="1"/>
        <v>43.272150069563423</v>
      </c>
      <c r="AG150" s="2">
        <f ca="1"/>
        <v>0.47537023071013262</v>
      </c>
      <c r="AH150" s="2" t="str">
        <f ca="1"/>
        <v>Bad</v>
      </c>
    </row>
    <row r="151" spans="2:34">
      <c r="B151" s="2">
        <f ca="1"/>
        <v>0.39547419354495483</v>
      </c>
      <c r="O151" s="2">
        <f ca="1"/>
        <v>1.5743813270267635</v>
      </c>
      <c r="X151" s="2">
        <f ca="1"/>
        <v>46.442527899581748</v>
      </c>
      <c r="AG151" s="2">
        <f ca="1"/>
        <v>0.63586476047475848</v>
      </c>
      <c r="AH151" s="2" t="str">
        <f ca="1"/>
        <v>Bad</v>
      </c>
    </row>
    <row r="152" spans="2:34">
      <c r="B152" s="2">
        <f ca="1"/>
        <v>0.12671937977481007</v>
      </c>
      <c r="O152" s="2">
        <f ca="1"/>
        <v>0.16147630237480182</v>
      </c>
      <c r="X152" s="2">
        <f ca="1"/>
        <v>40.790901169132887</v>
      </c>
      <c r="AG152" s="2">
        <f ca="1"/>
        <v>0.6063858993554081</v>
      </c>
      <c r="AH152" s="2" t="str">
        <f ca="1"/>
        <v>Bad</v>
      </c>
    </row>
    <row r="153" spans="2:34">
      <c r="B153" s="2">
        <f ca="1"/>
        <v>0.30540604874835942</v>
      </c>
      <c r="O153" s="2">
        <f ca="1"/>
        <v>0.48926677109445549</v>
      </c>
      <c r="X153" s="2">
        <f ca="1"/>
        <v>69.469962373413438</v>
      </c>
      <c r="AG153" s="2">
        <f ca="1"/>
        <v>0.64144034555783125</v>
      </c>
      <c r="AH153" s="2" t="str">
        <f ca="1"/>
        <v>Bad</v>
      </c>
    </row>
    <row r="154" spans="2:34">
      <c r="B154" s="2">
        <f ca="1"/>
        <v>0.83659337336345652</v>
      </c>
      <c r="O154" s="2">
        <f ca="1"/>
        <v>1.0430651637034949</v>
      </c>
      <c r="X154" s="2">
        <f ca="1"/>
        <v>69.664768724155977</v>
      </c>
      <c r="AG154" s="2">
        <f ca="1"/>
        <v>0.33672422751625319</v>
      </c>
      <c r="AH154" s="2" t="str">
        <f ca="1"/>
        <v>OK</v>
      </c>
    </row>
    <row r="155" spans="2:34">
      <c r="B155" s="2">
        <f ca="1"/>
        <v>0.84460258544472722</v>
      </c>
      <c r="O155" s="2">
        <f ca="1"/>
        <v>0.55712302540317049</v>
      </c>
      <c r="X155" s="2">
        <f ca="1"/>
        <v>36.049842492067548</v>
      </c>
      <c r="AG155" s="2">
        <f ca="1"/>
        <v>0.7803296006582503</v>
      </c>
      <c r="AH155" s="2" t="str">
        <f ca="1"/>
        <v>Bad</v>
      </c>
    </row>
    <row r="156" spans="2:34">
      <c r="B156" s="2">
        <f ca="1"/>
        <v>0.89264471042593074</v>
      </c>
      <c r="O156" s="2">
        <f ca="1"/>
        <v>1.1961999348436665</v>
      </c>
      <c r="X156" s="2">
        <f ca="1"/>
        <v>62.312348172793719</v>
      </c>
      <c r="AG156" s="2">
        <f ca="1"/>
        <v>0.66112582667310904</v>
      </c>
      <c r="AH156" s="2" t="str">
        <f ca="1"/>
        <v>Bad</v>
      </c>
    </row>
    <row r="157" spans="2:34">
      <c r="B157" s="2">
        <f ca="1"/>
        <v>0.1798513107768247</v>
      </c>
      <c r="O157" s="2">
        <f ca="1"/>
        <v>0.48690529700951252</v>
      </c>
      <c r="X157" s="2">
        <f ca="1"/>
        <v>64.379430742526111</v>
      </c>
      <c r="AG157" s="2">
        <f ca="1"/>
        <v>0.74447455607671364</v>
      </c>
      <c r="AH157" s="2" t="str">
        <f ca="1"/>
        <v>Bad</v>
      </c>
    </row>
    <row r="158" spans="2:34">
      <c r="B158" s="2">
        <f ca="1"/>
        <v>0.3323809121484993</v>
      </c>
      <c r="O158" s="2">
        <f ca="1"/>
        <v>0.16423378537311453</v>
      </c>
      <c r="X158" s="2">
        <f ca="1"/>
        <v>32.331306859581723</v>
      </c>
      <c r="AG158" s="2">
        <f ca="1"/>
        <v>1.0298868057513788E-2</v>
      </c>
      <c r="AH158" s="2" t="str">
        <f ca="1"/>
        <v>Good</v>
      </c>
    </row>
    <row r="159" spans="2:34">
      <c r="B159" s="2">
        <f ca="1"/>
        <v>0.54472531144316561</v>
      </c>
      <c r="O159" s="2">
        <f ca="1"/>
        <v>-2.2649234576354567</v>
      </c>
      <c r="X159" s="2">
        <f ca="1"/>
        <v>35.287492993383722</v>
      </c>
      <c r="AG159" s="2">
        <f ca="1"/>
        <v>0.54865086998837365</v>
      </c>
      <c r="AH159" s="2" t="str">
        <f ca="1"/>
        <v>Bad</v>
      </c>
    </row>
    <row r="160" spans="2:34">
      <c r="B160" s="2">
        <f ca="1"/>
        <v>0.59123304438402058</v>
      </c>
      <c r="O160" s="2">
        <f ca="1"/>
        <v>-0.57727679898850892</v>
      </c>
      <c r="X160" s="2">
        <f ca="1"/>
        <v>55.418924709194492</v>
      </c>
      <c r="AG160" s="2">
        <f ca="1"/>
        <v>0.10742154440913643</v>
      </c>
      <c r="AH160" s="2" t="str">
        <f ca="1"/>
        <v>OK</v>
      </c>
    </row>
    <row r="161" spans="2:34">
      <c r="B161" s="2">
        <f ca="1"/>
        <v>0.9695324273517234</v>
      </c>
      <c r="O161" s="2">
        <f ca="1"/>
        <v>-0.50157726450752194</v>
      </c>
      <c r="X161" s="2">
        <f ca="1"/>
        <v>45.037190626525444</v>
      </c>
      <c r="AG161" s="2">
        <f ca="1"/>
        <v>0.40260986353126826</v>
      </c>
      <c r="AH161" s="2" t="str">
        <f ca="1"/>
        <v>Bad</v>
      </c>
    </row>
    <row r="162" spans="2:34">
      <c r="B162" s="2">
        <f ca="1"/>
        <v>0.43947811410897808</v>
      </c>
      <c r="O162" s="2">
        <f ca="1"/>
        <v>-0.77391343806129087</v>
      </c>
      <c r="X162" s="2">
        <f ca="1"/>
        <v>41.213322836494868</v>
      </c>
      <c r="AG162" s="2">
        <f ca="1"/>
        <v>0.10002966945352831</v>
      </c>
      <c r="AH162" s="2" t="str">
        <f ca="1"/>
        <v>OK</v>
      </c>
    </row>
    <row r="163" spans="2:34">
      <c r="B163" s="2">
        <f ca="1"/>
        <v>0.78916533109371745</v>
      </c>
      <c r="O163" s="2">
        <f ca="1"/>
        <v>0.43058516916112199</v>
      </c>
      <c r="X163" s="2">
        <f ca="1"/>
        <v>36.548232143914305</v>
      </c>
      <c r="AG163" s="2">
        <f ca="1"/>
        <v>0.6104845744821612</v>
      </c>
      <c r="AH163" s="2" t="str">
        <f ca="1"/>
        <v>Bad</v>
      </c>
    </row>
    <row r="164" spans="2:34">
      <c r="B164" s="2">
        <f ca="1"/>
        <v>0.20906703567722684</v>
      </c>
      <c r="O164" s="2">
        <f ca="1"/>
        <v>-0.14730050440799744</v>
      </c>
      <c r="X164" s="2">
        <f ca="1"/>
        <v>51.291446075650811</v>
      </c>
      <c r="AG164" s="2">
        <f ca="1"/>
        <v>0.34938632324771501</v>
      </c>
      <c r="AH164" s="2" t="str">
        <f ca="1"/>
        <v>OK</v>
      </c>
    </row>
    <row r="165" spans="2:34">
      <c r="B165" s="2">
        <f ca="1"/>
        <v>0.56341911162944625</v>
      </c>
      <c r="O165" s="2">
        <f ca="1"/>
        <v>-0.97306036091668879</v>
      </c>
      <c r="X165" s="2">
        <f ca="1"/>
        <v>38.904857284025702</v>
      </c>
      <c r="AG165" s="2">
        <f ca="1"/>
        <v>0.55628352170297402</v>
      </c>
      <c r="AH165" s="2" t="str">
        <f ca="1"/>
        <v>Bad</v>
      </c>
    </row>
    <row r="166" spans="2:34">
      <c r="B166" s="2">
        <f ca="1"/>
        <v>0.78344291559946222</v>
      </c>
      <c r="O166" s="2">
        <f ca="1"/>
        <v>0.28335732877416103</v>
      </c>
      <c r="X166" s="2">
        <f ca="1"/>
        <v>63.379743131565675</v>
      </c>
      <c r="AG166" s="2">
        <f ca="1"/>
        <v>0.65066265904870413</v>
      </c>
      <c r="AH166" s="2" t="str">
        <f ca="1"/>
        <v>Bad</v>
      </c>
    </row>
    <row r="167" spans="2:34">
      <c r="B167" s="2">
        <f ca="1"/>
        <v>0.22069294948526363</v>
      </c>
      <c r="O167" s="2">
        <f ca="1"/>
        <v>-1.4650548165052404</v>
      </c>
      <c r="X167" s="2">
        <f ca="1"/>
        <v>59.434861210333651</v>
      </c>
      <c r="AG167" s="2">
        <f ca="1"/>
        <v>0.91260365201188742</v>
      </c>
      <c r="AH167" s="2" t="str">
        <f ca="1"/>
        <v>Bad</v>
      </c>
    </row>
    <row r="168" spans="2:34">
      <c r="B168" s="2">
        <f ca="1"/>
        <v>0.74895437568440593</v>
      </c>
      <c r="O168" s="2">
        <f ca="1"/>
        <v>1.9691180120486158</v>
      </c>
      <c r="X168" s="2">
        <f ca="1"/>
        <v>40.28595220549316</v>
      </c>
      <c r="AG168" s="2">
        <f ca="1"/>
        <v>0.18219988024694556</v>
      </c>
      <c r="AH168" s="2" t="str">
        <f ca="1"/>
        <v>OK</v>
      </c>
    </row>
    <row r="169" spans="2:34">
      <c r="B169" s="2">
        <f ca="1"/>
        <v>0.95165502937763735</v>
      </c>
      <c r="O169" s="2">
        <f ca="1"/>
        <v>-0.94996318135731772</v>
      </c>
      <c r="X169" s="2">
        <f ca="1"/>
        <v>36.562535381057359</v>
      </c>
      <c r="AG169" s="2">
        <f ca="1"/>
        <v>0.10578393648919993</v>
      </c>
      <c r="AH169" s="2" t="str">
        <f ca="1"/>
        <v>OK</v>
      </c>
    </row>
    <row r="170" spans="2:34">
      <c r="B170" s="2">
        <f ca="1"/>
        <v>0.88818879021963948</v>
      </c>
      <c r="O170" s="2">
        <f ca="1"/>
        <v>5.8650157989775395E-2</v>
      </c>
      <c r="X170" s="2">
        <f ca="1"/>
        <v>58.361965576878482</v>
      </c>
      <c r="AG170" s="2">
        <f ca="1"/>
        <v>0.6259864723794617</v>
      </c>
      <c r="AH170" s="2" t="str">
        <f ca="1"/>
        <v>Bad</v>
      </c>
    </row>
    <row r="171" spans="2:34">
      <c r="B171" s="2">
        <f ca="1"/>
        <v>5.3537386060194869E-2</v>
      </c>
      <c r="O171" s="2">
        <f ca="1"/>
        <v>-0.43116865032961488</v>
      </c>
      <c r="X171" s="2">
        <f ca="1"/>
        <v>43.706910075692377</v>
      </c>
      <c r="AG171" s="2">
        <f ca="1"/>
        <v>0.37771165651819905</v>
      </c>
      <c r="AH171" s="2" t="str">
        <f ca="1"/>
        <v>OK</v>
      </c>
    </row>
    <row r="172" spans="2:34">
      <c r="B172" s="2">
        <f ca="1"/>
        <v>0.51336520428585675</v>
      </c>
      <c r="O172" s="2">
        <f ca="1"/>
        <v>-0.53164578150942099</v>
      </c>
      <c r="X172" s="2">
        <f ca="1"/>
        <v>45.675484284101451</v>
      </c>
      <c r="AG172" s="2">
        <f ca="1"/>
        <v>0.44580101411379669</v>
      </c>
      <c r="AH172" s="2" t="str">
        <f ca="1"/>
        <v>Bad</v>
      </c>
    </row>
    <row r="173" spans="2:34">
      <c r="B173" s="2">
        <f ca="1"/>
        <v>1.6001469002062674E-2</v>
      </c>
      <c r="O173" s="2">
        <f ca="1"/>
        <v>0.79344435363931898</v>
      </c>
      <c r="X173" s="2">
        <f ca="1"/>
        <v>51.109717991741228</v>
      </c>
      <c r="AG173" s="2">
        <f ca="1"/>
        <v>0.58603902097434646</v>
      </c>
      <c r="AH173" s="2" t="str">
        <f ca="1"/>
        <v>Bad</v>
      </c>
    </row>
    <row r="174" spans="2:34">
      <c r="B174" s="2">
        <f ca="1"/>
        <v>0.65650191755625986</v>
      </c>
      <c r="O174" s="2">
        <f ca="1"/>
        <v>-0.32177005740305326</v>
      </c>
      <c r="X174" s="2">
        <f ca="1"/>
        <v>31.713975506140205</v>
      </c>
      <c r="AG174" s="2">
        <f ca="1"/>
        <v>0.30897361718367877</v>
      </c>
      <c r="AH174" s="2" t="str">
        <f ca="1"/>
        <v>OK</v>
      </c>
    </row>
    <row r="175" spans="2:34">
      <c r="B175" s="2">
        <f ca="1"/>
        <v>6.3276590313777303E-2</v>
      </c>
      <c r="O175" s="2">
        <f ca="1"/>
        <v>-0.51438489928127151</v>
      </c>
      <c r="X175" s="2">
        <f ca="1"/>
        <v>62.832524162458931</v>
      </c>
      <c r="AG175" s="2">
        <f ca="1"/>
        <v>0.33917937626558792</v>
      </c>
      <c r="AH175" s="2" t="str">
        <f ca="1"/>
        <v>OK</v>
      </c>
    </row>
    <row r="176" spans="2:34">
      <c r="B176" s="2">
        <f ca="1"/>
        <v>0.20898280272826653</v>
      </c>
      <c r="O176" s="2">
        <f ca="1"/>
        <v>-8.74769290301666E-2</v>
      </c>
      <c r="X176" s="2">
        <f ca="1"/>
        <v>51.457891942094001</v>
      </c>
      <c r="AG176" s="2">
        <f ca="1"/>
        <v>0.34745643353662636</v>
      </c>
      <c r="AH176" s="2" t="str">
        <f ca="1"/>
        <v>OK</v>
      </c>
    </row>
    <row r="177" spans="2:34">
      <c r="B177" s="2">
        <f ca="1"/>
        <v>0.48244982925449609</v>
      </c>
      <c r="O177" s="2">
        <f ca="1"/>
        <v>5.478337014890744E-2</v>
      </c>
      <c r="X177" s="2">
        <f ca="1"/>
        <v>42.793498266717421</v>
      </c>
      <c r="AG177" s="2">
        <f ca="1"/>
        <v>0.22394432708022372</v>
      </c>
      <c r="AH177" s="2" t="str">
        <f ca="1"/>
        <v>OK</v>
      </c>
    </row>
    <row r="178" spans="2:34">
      <c r="B178" s="2">
        <f ca="1"/>
        <v>0.29549801073863002</v>
      </c>
      <c r="O178" s="2">
        <f ca="1"/>
        <v>1.4210281167530119</v>
      </c>
      <c r="X178" s="2">
        <f ca="1"/>
        <v>46.061549557158756</v>
      </c>
      <c r="AG178" s="2">
        <f ca="1"/>
        <v>0.77060381737767458</v>
      </c>
      <c r="AH178" s="2" t="str">
        <f ca="1"/>
        <v>Bad</v>
      </c>
    </row>
    <row r="179" spans="2:34">
      <c r="B179" s="2">
        <f ca="1"/>
        <v>0.35015644825344516</v>
      </c>
      <c r="O179" s="2">
        <f ca="1"/>
        <v>-1.6114573480361941E-2</v>
      </c>
      <c r="X179" s="2">
        <f ca="1"/>
        <v>61.610281964018583</v>
      </c>
      <c r="AG179" s="2">
        <f ca="1"/>
        <v>0.9395819760352615</v>
      </c>
      <c r="AH179" s="2" t="str">
        <f ca="1"/>
        <v>Bad</v>
      </c>
    </row>
    <row r="180" spans="2:34">
      <c r="B180" s="2">
        <f ca="1"/>
        <v>0.16392290218798578</v>
      </c>
      <c r="O180" s="2">
        <f ca="1"/>
        <v>-0.27257566720486159</v>
      </c>
      <c r="X180" s="2">
        <f ca="1"/>
        <v>46.485073055920445</v>
      </c>
      <c r="AG180" s="2">
        <f ca="1"/>
        <v>0.34025980930563304</v>
      </c>
      <c r="AH180" s="2" t="str">
        <f ca="1"/>
        <v>OK</v>
      </c>
    </row>
    <row r="181" spans="2:34">
      <c r="B181" s="2">
        <f ca="1"/>
        <v>5.3475235710868541E-2</v>
      </c>
      <c r="O181" s="2">
        <f ca="1"/>
        <v>0.33197221048174974</v>
      </c>
      <c r="X181" s="2">
        <f ca="1"/>
        <v>41.279954270492809</v>
      </c>
      <c r="AG181" s="2">
        <f ca="1"/>
        <v>0.20997531234005584</v>
      </c>
      <c r="AH181" s="2" t="str">
        <f ca="1"/>
        <v>OK</v>
      </c>
    </row>
    <row r="182" spans="2:34">
      <c r="B182" s="2">
        <f ca="1"/>
        <v>0.25966418837452254</v>
      </c>
      <c r="O182" s="2">
        <f ca="1"/>
        <v>-0.51034465441437282</v>
      </c>
      <c r="X182" s="2">
        <f ca="1"/>
        <v>41.128176438696656</v>
      </c>
      <c r="AG182" s="2">
        <f ca="1"/>
        <v>0.19199098973530382</v>
      </c>
      <c r="AH182" s="2" t="str">
        <f ca="1"/>
        <v>OK</v>
      </c>
    </row>
    <row r="183" spans="2:34">
      <c r="B183" s="2">
        <f ca="1"/>
        <v>0.15313657608631459</v>
      </c>
      <c r="O183" s="2">
        <f ca="1"/>
        <v>-1.3309600144121907</v>
      </c>
      <c r="X183" s="2">
        <f ca="1"/>
        <v>32.891999385098885</v>
      </c>
      <c r="AG183" s="2">
        <f ca="1"/>
        <v>0.18144993389021469</v>
      </c>
      <c r="AH183" s="2" t="str">
        <f ca="1"/>
        <v>OK</v>
      </c>
    </row>
    <row r="184" spans="2:34">
      <c r="B184" s="2">
        <f ca="1"/>
        <v>0.114774400860711</v>
      </c>
      <c r="O184" s="2">
        <f ca="1"/>
        <v>1.1517186963119779</v>
      </c>
      <c r="X184" s="2">
        <f ca="1"/>
        <v>58.535978681389892</v>
      </c>
      <c r="AG184" s="2">
        <f ca="1"/>
        <v>0.13466325217006747</v>
      </c>
      <c r="AH184" s="2" t="str">
        <f ca="1"/>
        <v>OK</v>
      </c>
    </row>
    <row r="185" spans="2:34">
      <c r="B185" s="2">
        <f ca="1"/>
        <v>0.75697702641661935</v>
      </c>
      <c r="O185" s="2">
        <f ca="1"/>
        <v>0.31223028352843019</v>
      </c>
      <c r="X185" s="2">
        <f ca="1"/>
        <v>40.191664365054393</v>
      </c>
      <c r="AG185" s="2">
        <f ca="1"/>
        <v>0.24531871663473592</v>
      </c>
      <c r="AH185" s="2" t="str">
        <f ca="1"/>
        <v>OK</v>
      </c>
    </row>
    <row r="186" spans="2:34">
      <c r="B186" s="2">
        <f ca="1"/>
        <v>0.18046476905721165</v>
      </c>
      <c r="O186" s="2">
        <f ca="1"/>
        <v>-1.4630877845659214</v>
      </c>
      <c r="X186" s="2">
        <f ca="1"/>
        <v>44.828544759613258</v>
      </c>
      <c r="AG186" s="2">
        <f ca="1"/>
        <v>0.89197811805096938</v>
      </c>
      <c r="AH186" s="2" t="str">
        <f ca="1"/>
        <v>Bad</v>
      </c>
    </row>
    <row r="187" spans="2:34">
      <c r="B187" s="2">
        <f ca="1"/>
        <v>0.98483329968332267</v>
      </c>
      <c r="O187" s="2">
        <f ca="1"/>
        <v>0.14920319075981547</v>
      </c>
      <c r="X187" s="2">
        <f ca="1"/>
        <v>61.670536395973798</v>
      </c>
      <c r="AG187" s="2">
        <f ca="1"/>
        <v>0.14518832272730187</v>
      </c>
      <c r="AH187" s="2" t="str">
        <f ca="1"/>
        <v>OK</v>
      </c>
    </row>
    <row r="188" spans="2:34">
      <c r="B188" s="2">
        <f ca="1"/>
        <v>0.55886604355674963</v>
      </c>
      <c r="O188" s="2">
        <f ca="1"/>
        <v>0.28242223249702664</v>
      </c>
      <c r="X188" s="2">
        <f ca="1"/>
        <v>35.34524408134682</v>
      </c>
      <c r="AG188" s="2">
        <f ca="1"/>
        <v>0.12651331415596889</v>
      </c>
      <c r="AH188" s="2" t="str">
        <f ca="1"/>
        <v>OK</v>
      </c>
    </row>
    <row r="189" spans="2:34">
      <c r="B189" s="2">
        <f ca="1"/>
        <v>0.65113297348289367</v>
      </c>
      <c r="O189" s="2">
        <f ca="1"/>
        <v>-1.803055702660235</v>
      </c>
      <c r="X189" s="2">
        <f ca="1"/>
        <v>51.78139378724449</v>
      </c>
      <c r="AG189" s="2">
        <f ca="1"/>
        <v>0.78159364337063963</v>
      </c>
      <c r="AH189" s="2" t="str">
        <f ca="1"/>
        <v>Bad</v>
      </c>
    </row>
    <row r="190" spans="2:34">
      <c r="B190" s="2">
        <f ca="1"/>
        <v>0.88072957553495823</v>
      </c>
      <c r="O190" s="2">
        <f ca="1"/>
        <v>-0.73727431758418138</v>
      </c>
      <c r="X190" s="2">
        <f ca="1"/>
        <v>41.443834599390563</v>
      </c>
      <c r="AG190" s="2">
        <f ca="1"/>
        <v>0.70609045334333942</v>
      </c>
      <c r="AH190" s="2" t="str">
        <f ca="1"/>
        <v>Bad</v>
      </c>
    </row>
    <row r="191" spans="2:34">
      <c r="B191" s="2">
        <f ca="1"/>
        <v>0.4910839434017058</v>
      </c>
      <c r="O191" s="2">
        <f ca="1"/>
        <v>0.26432375112236828</v>
      </c>
      <c r="X191" s="2">
        <f ca="1"/>
        <v>34.213447695314763</v>
      </c>
      <c r="AG191" s="2">
        <f ca="1"/>
        <v>0.47454671523570946</v>
      </c>
      <c r="AH191" s="2" t="str">
        <f ca="1"/>
        <v>Bad</v>
      </c>
    </row>
    <row r="192" spans="2:34">
      <c r="B192" s="2">
        <f ca="1"/>
        <v>0.23517670339669361</v>
      </c>
      <c r="O192" s="2">
        <f ca="1"/>
        <v>-0.47579854908830482</v>
      </c>
      <c r="X192" s="2">
        <f ca="1"/>
        <v>45.551607234608483</v>
      </c>
      <c r="AG192" s="2">
        <f ca="1"/>
        <v>0.97053619022616955</v>
      </c>
      <c r="AH192" s="2" t="str">
        <f ca="1"/>
        <v>Bad</v>
      </c>
    </row>
    <row r="193" spans="2:34">
      <c r="B193" s="2">
        <f ca="1"/>
        <v>0.44422054361032925</v>
      </c>
      <c r="O193" s="2">
        <f ca="1"/>
        <v>-0.82113011351409748</v>
      </c>
      <c r="X193" s="2">
        <f ca="1"/>
        <v>48.898501220516451</v>
      </c>
      <c r="AG193" s="2">
        <f ca="1"/>
        <v>0.53417805253473349</v>
      </c>
      <c r="AH193" s="2" t="str">
        <f ca="1"/>
        <v>Bad</v>
      </c>
    </row>
    <row r="194" spans="2:34">
      <c r="B194" s="2">
        <f ca="1"/>
        <v>0.86464042254014206</v>
      </c>
      <c r="O194" s="2">
        <f ca="1"/>
        <v>-0.40838598034677492</v>
      </c>
      <c r="X194" s="2">
        <f ca="1"/>
        <v>52.476558244228777</v>
      </c>
      <c r="AG194" s="2">
        <f ca="1"/>
        <v>0.81716393612208371</v>
      </c>
      <c r="AH194" s="2" t="str">
        <f ca="1"/>
        <v>Bad</v>
      </c>
    </row>
    <row r="195" spans="2:34">
      <c r="B195" s="2">
        <f ca="1"/>
        <v>0.31806764529188958</v>
      </c>
      <c r="O195" s="2">
        <f ca="1"/>
        <v>-0.32899255925547277</v>
      </c>
      <c r="X195" s="2">
        <f ca="1"/>
        <v>46.322564247556613</v>
      </c>
      <c r="AG195" s="2">
        <f ca="1"/>
        <v>0.46962755910947007</v>
      </c>
      <c r="AH195" s="2" t="str">
        <f ca="1"/>
        <v>Bad</v>
      </c>
    </row>
    <row r="196" spans="2:34">
      <c r="B196" s="2">
        <f ca="1"/>
        <v>0.5100393858310579</v>
      </c>
      <c r="O196" s="2">
        <f ca="1"/>
        <v>0.15774975302987895</v>
      </c>
      <c r="X196" s="2">
        <f ca="1"/>
        <v>63.250855783568355</v>
      </c>
      <c r="AG196" s="2">
        <f ca="1"/>
        <v>0.66442155023266625</v>
      </c>
      <c r="AH196" s="2" t="str">
        <f ca="1"/>
        <v>Bad</v>
      </c>
    </row>
    <row r="197" spans="2:34">
      <c r="B197" s="2">
        <f ca="1"/>
        <v>0.87620871090586561</v>
      </c>
      <c r="O197" s="2">
        <f ca="1"/>
        <v>-1.1284130888833517</v>
      </c>
      <c r="X197" s="2">
        <f ca="1"/>
        <v>22.853627770038042</v>
      </c>
      <c r="AG197" s="2">
        <f ca="1"/>
        <v>0.75605939889407647</v>
      </c>
      <c r="AH197" s="2" t="str">
        <f ca="1"/>
        <v>Bad</v>
      </c>
    </row>
    <row r="198" spans="2:34">
      <c r="B198" s="2">
        <f ca="1"/>
        <v>1.5638750826111991E-2</v>
      </c>
      <c r="O198" s="2">
        <f ca="1"/>
        <v>-0.496908467331171</v>
      </c>
      <c r="X198" s="2">
        <f ca="1"/>
        <v>42.346105810702227</v>
      </c>
      <c r="AG198" s="2">
        <f ca="1"/>
        <v>0.36463584498687851</v>
      </c>
      <c r="AH198" s="2" t="str">
        <f ca="1"/>
        <v>OK</v>
      </c>
    </row>
    <row r="199" spans="2:34">
      <c r="B199" s="2">
        <f ca="1"/>
        <v>0.22175620910514104</v>
      </c>
      <c r="O199" s="2">
        <f ca="1"/>
        <v>0.16721973401285223</v>
      </c>
      <c r="X199" s="2">
        <f ca="1"/>
        <v>61.070843196851513</v>
      </c>
      <c r="AG199" s="2">
        <f ca="1"/>
        <v>0.89444346709300393</v>
      </c>
      <c r="AH199" s="2" t="str">
        <f ca="1"/>
        <v>Bad</v>
      </c>
    </row>
    <row r="200" spans="2:34">
      <c r="B200" s="2">
        <f ca="1"/>
        <v>0.59667690153354158</v>
      </c>
      <c r="O200" s="2">
        <f ca="1"/>
        <v>-0.67953444143580288</v>
      </c>
      <c r="X200" s="2">
        <f ca="1"/>
        <v>38.573056992353145</v>
      </c>
      <c r="AG200" s="2">
        <f ca="1"/>
        <v>0.82716712634196132</v>
      </c>
      <c r="AH200" s="2" t="str">
        <f ca="1"/>
        <v>Bad</v>
      </c>
    </row>
    <row r="201" spans="2:34">
      <c r="B201" s="2">
        <f ca="1"/>
        <v>0.74883379139973338</v>
      </c>
      <c r="O201" s="2">
        <f ca="1"/>
        <v>0.13756629423022762</v>
      </c>
      <c r="X201" s="2">
        <f ca="1"/>
        <v>31.10144457585816</v>
      </c>
      <c r="AG201" s="2">
        <f ca="1"/>
        <v>0.13134386307879997</v>
      </c>
      <c r="AH201" s="2" t="str">
        <f ca="1"/>
        <v>OK</v>
      </c>
    </row>
    <row r="202" spans="2:34">
      <c r="B202" s="2">
        <f ca="1"/>
        <v>0.82958423439833773</v>
      </c>
      <c r="O202" s="2">
        <f ca="1"/>
        <v>-0.35178931911791345</v>
      </c>
      <c r="X202" s="2">
        <f ca="1"/>
        <v>18.611888922078606</v>
      </c>
      <c r="AG202" s="2">
        <f ca="1"/>
        <v>0.26526648236716799</v>
      </c>
      <c r="AH202" s="2" t="str">
        <f ca="1"/>
        <v>OK</v>
      </c>
    </row>
    <row r="203" spans="2:34">
      <c r="B203" s="2">
        <f ca="1"/>
        <v>0.4304476426753967</v>
      </c>
      <c r="O203" s="2">
        <f ca="1"/>
        <v>0.3632710615336433</v>
      </c>
      <c r="X203" s="2">
        <f ca="1"/>
        <v>68.10514697662849</v>
      </c>
      <c r="AG203" s="2">
        <f ca="1"/>
        <v>5.3298081740927206E-2</v>
      </c>
      <c r="AH203" s="2" t="str">
        <f ca="1"/>
        <v>OK</v>
      </c>
    </row>
    <row r="204" spans="2:34">
      <c r="B204" s="2">
        <f ca="1"/>
        <v>8.096405107402127E-2</v>
      </c>
      <c r="O204" s="2">
        <f ca="1"/>
        <v>1.9070909647049132</v>
      </c>
      <c r="X204" s="2">
        <f ca="1"/>
        <v>58.068717746849011</v>
      </c>
      <c r="AG204" s="2">
        <f ca="1"/>
        <v>0.83670028674227037</v>
      </c>
      <c r="AH204" s="2" t="str">
        <f ca="1"/>
        <v>Bad</v>
      </c>
    </row>
    <row r="205" spans="2:34">
      <c r="B205" s="2">
        <f ca="1"/>
        <v>3.0389121345677061E-2</v>
      </c>
      <c r="O205" s="2">
        <f ca="1"/>
        <v>-0.99301522799526309</v>
      </c>
      <c r="X205" s="2">
        <f ca="1"/>
        <v>42.267098789566603</v>
      </c>
      <c r="AG205" s="2">
        <f ca="1"/>
        <v>0.43535459786736652</v>
      </c>
      <c r="AH205" s="2" t="str">
        <f ca="1"/>
        <v>Bad</v>
      </c>
    </row>
    <row r="206" spans="2:34">
      <c r="B206" s="2">
        <f ca="1"/>
        <v>0.20964169515702769</v>
      </c>
      <c r="O206" s="2">
        <f ca="1"/>
        <v>0.12474390709271692</v>
      </c>
      <c r="X206" s="2">
        <f ca="1"/>
        <v>39.047535266225573</v>
      </c>
      <c r="AG206" s="2">
        <f ca="1"/>
        <v>0.86012363206321041</v>
      </c>
      <c r="AH206" s="2" t="str">
        <f ca="1"/>
        <v>Bad</v>
      </c>
    </row>
    <row r="207" spans="2:34">
      <c r="B207" s="2">
        <f ca="1"/>
        <v>0.78905308106136585</v>
      </c>
      <c r="O207" s="2">
        <f ca="1"/>
        <v>0.13478575830129486</v>
      </c>
      <c r="X207" s="2">
        <f ca="1"/>
        <v>87.497726338335937</v>
      </c>
      <c r="AG207" s="2">
        <f ca="1"/>
        <v>0.40334143829273539</v>
      </c>
      <c r="AH207" s="2" t="str">
        <f ca="1"/>
        <v>Bad</v>
      </c>
    </row>
    <row r="208" spans="2:34">
      <c r="B208" s="2">
        <f ca="1"/>
        <v>0.66135048990187562</v>
      </c>
      <c r="O208" s="2">
        <f ca="1"/>
        <v>0.7602263537250985</v>
      </c>
      <c r="X208" s="2">
        <f ca="1"/>
        <v>68.437586343683208</v>
      </c>
      <c r="AG208" s="2">
        <f ca="1"/>
        <v>3.7209044409648895E-2</v>
      </c>
      <c r="AH208" s="2" t="str">
        <f ca="1"/>
        <v>Good</v>
      </c>
    </row>
    <row r="209" spans="2:34">
      <c r="B209" s="2">
        <f ca="1"/>
        <v>0.99781255540754765</v>
      </c>
      <c r="O209" s="2">
        <f ca="1"/>
        <v>0.16774047206848508</v>
      </c>
      <c r="X209" s="2">
        <f ca="1"/>
        <v>62.382500392716508</v>
      </c>
      <c r="AG209" s="2">
        <f ca="1"/>
        <v>0.84954256182746724</v>
      </c>
      <c r="AH209" s="2" t="str">
        <f ca="1"/>
        <v>Bad</v>
      </c>
    </row>
    <row r="210" spans="2:34">
      <c r="B210" s="2">
        <f ca="1"/>
        <v>0.76826920252028352</v>
      </c>
      <c r="O210" s="2">
        <f ca="1"/>
        <v>1.589536201948416</v>
      </c>
      <c r="X210" s="2">
        <f ca="1"/>
        <v>38.870430205346224</v>
      </c>
      <c r="AG210" s="2">
        <f ca="1"/>
        <v>0.91391669905139628</v>
      </c>
      <c r="AH210" s="2" t="str">
        <f ca="1"/>
        <v>Bad</v>
      </c>
    </row>
    <row r="211" spans="2:34">
      <c r="B211" s="2">
        <f ca="1"/>
        <v>0.1518114602970102</v>
      </c>
      <c r="O211" s="2">
        <f ca="1"/>
        <v>-0.58179830425634871</v>
      </c>
      <c r="X211" s="2">
        <f ca="1"/>
        <v>75.382468503219684</v>
      </c>
      <c r="AG211" s="2">
        <f ca="1"/>
        <v>0.20059450200776929</v>
      </c>
      <c r="AH211" s="2" t="str">
        <f ca="1"/>
        <v>OK</v>
      </c>
    </row>
    <row r="212" spans="2:34">
      <c r="B212" s="2">
        <f ca="1"/>
        <v>1.79104490275932E-2</v>
      </c>
      <c r="O212" s="2">
        <f ca="1"/>
        <v>0.87753592472316855</v>
      </c>
      <c r="X212" s="2">
        <f ca="1"/>
        <v>92.086262294500017</v>
      </c>
      <c r="AG212" s="2">
        <f ca="1"/>
        <v>7.4988099736081892E-2</v>
      </c>
      <c r="AH212" s="2" t="str">
        <f ca="1"/>
        <v>OK</v>
      </c>
    </row>
    <row r="213" spans="2:34">
      <c r="B213" s="2">
        <f ca="1"/>
        <v>0.22324427441034156</v>
      </c>
      <c r="O213" s="2">
        <f ca="1"/>
        <v>-1.6742358959242152</v>
      </c>
      <c r="X213" s="2">
        <f ca="1"/>
        <v>41.574324835127314</v>
      </c>
      <c r="AG213" s="2">
        <f ca="1"/>
        <v>0.20359734742293689</v>
      </c>
      <c r="AH213" s="2" t="str">
        <f ca="1"/>
        <v>OK</v>
      </c>
    </row>
    <row r="214" spans="2:34">
      <c r="B214" s="2">
        <f ca="1"/>
        <v>2.8840488346383308E-2</v>
      </c>
      <c r="O214" s="2">
        <f ca="1"/>
        <v>0.73042818937875797</v>
      </c>
      <c r="X214" s="2">
        <f ca="1"/>
        <v>82.565512966435307</v>
      </c>
      <c r="AG214" s="2">
        <f ca="1"/>
        <v>0.16852365847117112</v>
      </c>
      <c r="AH214" s="2" t="str">
        <f ca="1"/>
        <v>OK</v>
      </c>
    </row>
    <row r="215" spans="2:34">
      <c r="B215" s="2">
        <f ca="1"/>
        <v>0.31421461031838516</v>
      </c>
      <c r="O215" s="2">
        <f ca="1"/>
        <v>0.71204094901716797</v>
      </c>
      <c r="X215" s="2">
        <f ca="1"/>
        <v>61.985860748888335</v>
      </c>
      <c r="AG215" s="2">
        <f ca="1"/>
        <v>0.67680358856872558</v>
      </c>
      <c r="AH215" s="2" t="str">
        <f ca="1"/>
        <v>Bad</v>
      </c>
    </row>
    <row r="216" spans="2:34">
      <c r="B216" s="2">
        <f ca="1"/>
        <v>0.88576015116365947</v>
      </c>
      <c r="O216" s="2">
        <f ca="1"/>
        <v>0.20527731049510833</v>
      </c>
      <c r="X216" s="2">
        <f ca="1"/>
        <v>53.820981440840953</v>
      </c>
      <c r="AG216" s="2">
        <f ca="1"/>
        <v>0.64478835072099017</v>
      </c>
      <c r="AH216" s="2" t="str">
        <f ca="1"/>
        <v>Bad</v>
      </c>
    </row>
    <row r="217" spans="2:34">
      <c r="B217" s="2">
        <f ca="1"/>
        <v>0.27827177035659623</v>
      </c>
      <c r="O217" s="2">
        <f ca="1"/>
        <v>-3.4027731241055741</v>
      </c>
      <c r="X217" s="2">
        <f ca="1"/>
        <v>41.492679323682928</v>
      </c>
      <c r="AG217" s="2">
        <f ca="1"/>
        <v>0.66116818469088834</v>
      </c>
      <c r="AH217" s="2" t="str">
        <f ca="1"/>
        <v>Bad</v>
      </c>
    </row>
    <row r="218" spans="2:34">
      <c r="B218" s="2">
        <f ca="1"/>
        <v>0.19852672272948269</v>
      </c>
      <c r="O218" s="2">
        <f ca="1"/>
        <v>-1.0577703516692467</v>
      </c>
      <c r="X218" s="2">
        <f ca="1"/>
        <v>28.455333202507592</v>
      </c>
      <c r="AG218" s="2">
        <f ca="1"/>
        <v>0.28537459892178552</v>
      </c>
      <c r="AH218" s="2" t="str">
        <f ca="1"/>
        <v>OK</v>
      </c>
    </row>
    <row r="219" spans="2:34">
      <c r="B219" s="2">
        <f ca="1"/>
        <v>0.96467500643421178</v>
      </c>
      <c r="O219" s="2">
        <f ca="1"/>
        <v>0.28842976689457056</v>
      </c>
      <c r="X219" s="2">
        <f ca="1"/>
        <v>55.184933252580905</v>
      </c>
      <c r="AG219" s="2">
        <f ca="1"/>
        <v>0.22974473349599078</v>
      </c>
      <c r="AH219" s="2" t="str">
        <f ca="1"/>
        <v>OK</v>
      </c>
    </row>
    <row r="220" spans="2:34">
      <c r="B220" s="2">
        <f ca="1"/>
        <v>0.97542180650842747</v>
      </c>
      <c r="O220" s="2">
        <f ca="1"/>
        <v>-0.50061814087389866</v>
      </c>
      <c r="X220" s="2">
        <f ca="1"/>
        <v>61.54506723266708</v>
      </c>
      <c r="AG220" s="2">
        <f ca="1"/>
        <v>0.15769257073594023</v>
      </c>
      <c r="AH220" s="2" t="str">
        <f ca="1"/>
        <v>OK</v>
      </c>
    </row>
    <row r="221" spans="2:34">
      <c r="B221" s="2">
        <f ca="1"/>
        <v>0.50521865864451709</v>
      </c>
      <c r="O221" s="2">
        <f ca="1"/>
        <v>1.160454592077776</v>
      </c>
      <c r="X221" s="2">
        <f ca="1"/>
        <v>57.052191705637661</v>
      </c>
      <c r="AG221" s="2">
        <f ca="1"/>
        <v>0.76693307687401613</v>
      </c>
      <c r="AH221" s="2" t="str">
        <f ca="1"/>
        <v>Bad</v>
      </c>
    </row>
    <row r="222" spans="2:34">
      <c r="B222" s="2">
        <f ca="1"/>
        <v>0.27257316448035818</v>
      </c>
      <c r="O222" s="2">
        <f ca="1"/>
        <v>0.20167162961812907</v>
      </c>
      <c r="X222" s="2">
        <f ca="1"/>
        <v>82.182582209529357</v>
      </c>
      <c r="AG222" s="2">
        <f ca="1"/>
        <v>0.4632620174680615</v>
      </c>
      <c r="AH222" s="2" t="str">
        <f ca="1"/>
        <v>Bad</v>
      </c>
    </row>
    <row r="223" spans="2:34">
      <c r="B223" s="2">
        <f ca="1"/>
        <v>0.2103739555513009</v>
      </c>
      <c r="O223" s="2">
        <f ca="1"/>
        <v>-1.2598479687222819</v>
      </c>
      <c r="X223" s="2">
        <f ca="1"/>
        <v>30.040900967924237</v>
      </c>
      <c r="AG223" s="2">
        <f ca="1"/>
        <v>0.24995639315407048</v>
      </c>
      <c r="AH223" s="2" t="str">
        <f ca="1"/>
        <v>OK</v>
      </c>
    </row>
    <row r="224" spans="2:34">
      <c r="B224" s="2">
        <f ca="1"/>
        <v>0.71886561197097443</v>
      </c>
      <c r="O224" s="2">
        <f ca="1"/>
        <v>1.0182637118729245</v>
      </c>
      <c r="X224" s="2">
        <f ca="1"/>
        <v>44.371226333498157</v>
      </c>
      <c r="AG224" s="2">
        <f ca="1"/>
        <v>5.613647392689658E-2</v>
      </c>
      <c r="AH224" s="2" t="str">
        <f ca="1"/>
        <v>OK</v>
      </c>
    </row>
    <row r="225" spans="2:34">
      <c r="B225" s="2">
        <f ca="1"/>
        <v>0.11099096613623027</v>
      </c>
      <c r="O225" s="2">
        <f ca="1"/>
        <v>0.10278951671237375</v>
      </c>
      <c r="X225" s="2">
        <f ca="1"/>
        <v>67.476877869257663</v>
      </c>
      <c r="AG225" s="2">
        <f ca="1"/>
        <v>0.81484025912916369</v>
      </c>
      <c r="AH225" s="2" t="str">
        <f ca="1"/>
        <v>Bad</v>
      </c>
    </row>
    <row r="226" spans="2:34">
      <c r="B226" s="2">
        <f ca="1"/>
        <v>0.17254706565964617</v>
      </c>
      <c r="O226" s="2">
        <f ca="1"/>
        <v>0.29575307161077402</v>
      </c>
      <c r="X226" s="2">
        <f ca="1"/>
        <v>73.358240784384606</v>
      </c>
      <c r="AG226" s="2">
        <f ca="1"/>
        <v>0.75250464566627517</v>
      </c>
      <c r="AH226" s="2" t="str">
        <f ca="1"/>
        <v>Bad</v>
      </c>
    </row>
    <row r="227" spans="2:34">
      <c r="B227" s="2">
        <f ca="1"/>
        <v>0.43981633085580807</v>
      </c>
      <c r="O227" s="2">
        <f ca="1"/>
        <v>0.77691362265379205</v>
      </c>
      <c r="X227" s="2">
        <f ca="1"/>
        <v>46.56954985972483</v>
      </c>
      <c r="AG227" s="2">
        <f ca="1"/>
        <v>8.6147841410948667E-2</v>
      </c>
      <c r="AH227" s="2" t="str">
        <f ca="1"/>
        <v>OK</v>
      </c>
    </row>
    <row r="228" spans="2:34">
      <c r="B228" s="2">
        <f ca="1"/>
        <v>0.82282174723895962</v>
      </c>
      <c r="O228" s="2">
        <f ca="1"/>
        <v>-7.6437635791541406E-2</v>
      </c>
      <c r="X228" s="2">
        <f ca="1"/>
        <v>45.209554158046565</v>
      </c>
      <c r="AG228" s="2">
        <f ca="1"/>
        <v>0.89960649548143001</v>
      </c>
      <c r="AH228" s="2" t="str">
        <f ca="1"/>
        <v>Bad</v>
      </c>
    </row>
    <row r="229" spans="2:34">
      <c r="B229" s="2">
        <f ca="1"/>
        <v>0.10730023452490456</v>
      </c>
      <c r="O229" s="2">
        <f ca="1"/>
        <v>0.87014774288981611</v>
      </c>
      <c r="X229" s="2">
        <f ca="1"/>
        <v>29.561637314861269</v>
      </c>
      <c r="AG229" s="2">
        <f ca="1"/>
        <v>0.21533436514354731</v>
      </c>
      <c r="AH229" s="2" t="str">
        <f ca="1"/>
        <v>OK</v>
      </c>
    </row>
    <row r="230" spans="2:34">
      <c r="B230" s="2">
        <f ca="1"/>
        <v>0.43186744857024073</v>
      </c>
      <c r="O230" s="2">
        <f ca="1"/>
        <v>-0.59154054655302002</v>
      </c>
      <c r="X230" s="2">
        <f ca="1"/>
        <v>50.229167587359328</v>
      </c>
      <c r="AG230" s="2">
        <f ca="1"/>
        <v>0.33573906403864373</v>
      </c>
      <c r="AH230" s="2" t="str">
        <f ca="1"/>
        <v>OK</v>
      </c>
    </row>
    <row r="231" spans="2:34">
      <c r="B231" s="2">
        <f ca="1"/>
        <v>0.86102958780382544</v>
      </c>
      <c r="O231" s="2">
        <f ca="1"/>
        <v>0.14211330492459082</v>
      </c>
      <c r="X231" s="2">
        <f ca="1"/>
        <v>44.372604144651689</v>
      </c>
      <c r="AG231" s="2">
        <f ca="1"/>
        <v>6.6045681150429747E-2</v>
      </c>
      <c r="AH231" s="2" t="str">
        <f ca="1"/>
        <v>OK</v>
      </c>
    </row>
    <row r="232" spans="2:34">
      <c r="B232" s="2">
        <f ca="1"/>
        <v>0.29639071423520025</v>
      </c>
      <c r="O232" s="2">
        <f ca="1"/>
        <v>1.2624634965436536</v>
      </c>
      <c r="X232" s="2">
        <f ca="1"/>
        <v>45.496698304935293</v>
      </c>
      <c r="AG232" s="2">
        <f ca="1"/>
        <v>0.27745478072412877</v>
      </c>
      <c r="AH232" s="2" t="str">
        <f ca="1"/>
        <v>OK</v>
      </c>
    </row>
    <row r="233" spans="2:34">
      <c r="B233" s="2">
        <f ca="1"/>
        <v>0.52939835064380181</v>
      </c>
      <c r="O233" s="2">
        <f ca="1"/>
        <v>0.74051080122560609</v>
      </c>
      <c r="X233" s="2">
        <f ca="1"/>
        <v>49.029016135431498</v>
      </c>
      <c r="AG233" s="2">
        <f ca="1"/>
        <v>0.37068025384387226</v>
      </c>
      <c r="AH233" s="2" t="str">
        <f ca="1"/>
        <v>OK</v>
      </c>
    </row>
    <row r="234" spans="2:34">
      <c r="B234" s="2">
        <f ca="1"/>
        <v>0.36659023592460382</v>
      </c>
      <c r="O234" s="2">
        <f ca="1"/>
        <v>-3.1673466757470313E-2</v>
      </c>
      <c r="X234" s="2">
        <f ca="1"/>
        <v>34.838593193807689</v>
      </c>
      <c r="AG234" s="2">
        <f ca="1"/>
        <v>0.98205708253414015</v>
      </c>
      <c r="AH234" s="2" t="str">
        <f ca="1"/>
        <v>Bad</v>
      </c>
    </row>
    <row r="235" spans="2:34">
      <c r="B235" s="2">
        <f ca="1"/>
        <v>0.58852519558831373</v>
      </c>
      <c r="O235" s="2">
        <f ca="1"/>
        <v>-1.1677124630186195</v>
      </c>
      <c r="X235" s="2">
        <f ca="1"/>
        <v>72.594845661210471</v>
      </c>
      <c r="AG235" s="2">
        <f ca="1"/>
        <v>0.41957160771248647</v>
      </c>
      <c r="AH235" s="2" t="str">
        <f ca="1"/>
        <v>Bad</v>
      </c>
    </row>
    <row r="236" spans="2:34">
      <c r="B236" s="2">
        <f ca="1"/>
        <v>0.61945835767808233</v>
      </c>
      <c r="O236" s="2">
        <f ca="1"/>
        <v>-0.4629430553959718</v>
      </c>
      <c r="X236" s="2">
        <f ca="1"/>
        <v>53.569661373909476</v>
      </c>
      <c r="AG236" s="2">
        <f ca="1"/>
        <v>0.22757617474135117</v>
      </c>
      <c r="AH236" s="2" t="str">
        <f ca="1"/>
        <v>OK</v>
      </c>
    </row>
    <row r="237" spans="2:34">
      <c r="B237" s="2">
        <f ca="1"/>
        <v>0.81174673231656902</v>
      </c>
      <c r="O237" s="2">
        <f ca="1"/>
        <v>0.33100874976982159</v>
      </c>
      <c r="X237" s="2">
        <f ca="1"/>
        <v>42.876597264593698</v>
      </c>
      <c r="AG237" s="2">
        <f ca="1"/>
        <v>0.29450594688899834</v>
      </c>
      <c r="AH237" s="2" t="str">
        <f ca="1"/>
        <v>OK</v>
      </c>
    </row>
    <row r="238" spans="2:34">
      <c r="B238" s="2">
        <f ca="1"/>
        <v>0.9780225274922143</v>
      </c>
      <c r="O238" s="2">
        <f ca="1"/>
        <v>0.32265479088289023</v>
      </c>
      <c r="X238" s="2">
        <f ca="1"/>
        <v>38.176391850426384</v>
      </c>
      <c r="AG238" s="2">
        <f ca="1"/>
        <v>4.0544474758654303E-2</v>
      </c>
      <c r="AH238" s="2" t="str">
        <f ca="1"/>
        <v>Good</v>
      </c>
    </row>
    <row r="239" spans="2:34">
      <c r="B239" s="2">
        <f ca="1"/>
        <v>0.39239755579313496</v>
      </c>
      <c r="O239" s="2">
        <f ca="1"/>
        <v>-0.40462051962713136</v>
      </c>
      <c r="X239" s="2">
        <f ca="1"/>
        <v>37.462565001710701</v>
      </c>
      <c r="AG239" s="2">
        <f ca="1"/>
        <v>0.18684480881450072</v>
      </c>
      <c r="AH239" s="2" t="str">
        <f ca="1"/>
        <v>OK</v>
      </c>
    </row>
    <row r="240" spans="2:34">
      <c r="B240" s="2">
        <f ca="1"/>
        <v>9.9617594700867729E-2</v>
      </c>
      <c r="O240" s="2">
        <f ca="1"/>
        <v>-1.1178828372444618</v>
      </c>
      <c r="X240" s="2">
        <f ca="1"/>
        <v>75.268116089587579</v>
      </c>
      <c r="AG240" s="2">
        <f ca="1"/>
        <v>0.5316631825855298</v>
      </c>
      <c r="AH240" s="2" t="str">
        <f ca="1"/>
        <v>Bad</v>
      </c>
    </row>
    <row r="241" spans="2:34">
      <c r="B241" s="2">
        <f ca="1"/>
        <v>0.78293803303252441</v>
      </c>
      <c r="O241" s="2">
        <f ca="1"/>
        <v>-0.95077898800107263</v>
      </c>
      <c r="X241" s="2">
        <f ca="1"/>
        <v>59.08108414129569</v>
      </c>
      <c r="AG241" s="2">
        <f ca="1"/>
        <v>8.0526221537366549E-2</v>
      </c>
      <c r="AH241" s="2" t="str">
        <f ca="1"/>
        <v>OK</v>
      </c>
    </row>
    <row r="242" spans="2:34">
      <c r="B242" s="2">
        <f ca="1"/>
        <v>0.6686871637714713</v>
      </c>
      <c r="O242" s="2">
        <f ca="1"/>
        <v>0.70358332041760618</v>
      </c>
      <c r="X242" s="2">
        <f ca="1"/>
        <v>49.597535116459497</v>
      </c>
      <c r="AG242" s="2">
        <f ca="1"/>
        <v>0.50671620430496134</v>
      </c>
      <c r="AH242" s="2" t="str">
        <f ca="1"/>
        <v>Bad</v>
      </c>
    </row>
    <row r="243" spans="2:34">
      <c r="B243" s="2">
        <f ca="1"/>
        <v>0.87071001463185205</v>
      </c>
      <c r="O243" s="2">
        <f ca="1"/>
        <v>0.87607430674705455</v>
      </c>
      <c r="X243" s="2">
        <f ca="1"/>
        <v>69.186293109515333</v>
      </c>
      <c r="AG243" s="2">
        <f ca="1"/>
        <v>0.26565597523573015</v>
      </c>
      <c r="AH243" s="2" t="str">
        <f ca="1"/>
        <v>OK</v>
      </c>
    </row>
    <row r="244" spans="2:34">
      <c r="B244" s="2">
        <f ca="1"/>
        <v>0.17125018076343657</v>
      </c>
      <c r="O244" s="2">
        <f ca="1"/>
        <v>-1.7203940699482472</v>
      </c>
      <c r="X244" s="2">
        <f ca="1"/>
        <v>67.331502081131106</v>
      </c>
      <c r="AG244" s="2">
        <f ca="1"/>
        <v>0.186045995423755</v>
      </c>
      <c r="AH244" s="2" t="str">
        <f ca="1"/>
        <v>OK</v>
      </c>
    </row>
    <row r="245" spans="2:34">
      <c r="B245" s="2">
        <f ca="1"/>
        <v>0.14724820831159957</v>
      </c>
      <c r="O245" s="2">
        <f ca="1"/>
        <v>0.11147825479468727</v>
      </c>
      <c r="X245" s="2">
        <f ca="1"/>
        <v>55.241680228139735</v>
      </c>
      <c r="AG245" s="2">
        <f ca="1"/>
        <v>0.58280857462073921</v>
      </c>
      <c r="AH245" s="2" t="str">
        <f ca="1"/>
        <v>Bad</v>
      </c>
    </row>
    <row r="246" spans="2:34">
      <c r="B246" s="2">
        <f ca="1"/>
        <v>0.88521339667658427</v>
      </c>
      <c r="O246" s="2">
        <f ca="1"/>
        <v>0.30693345224353735</v>
      </c>
      <c r="X246" s="2">
        <f ca="1"/>
        <v>21.247467004709819</v>
      </c>
      <c r="AG246" s="2">
        <f ca="1"/>
        <v>9.5309831884787588E-2</v>
      </c>
      <c r="AH246" s="2" t="str">
        <f ca="1"/>
        <v>OK</v>
      </c>
    </row>
    <row r="247" spans="2:34">
      <c r="B247" s="2">
        <f ca="1"/>
        <v>0.54947818648674529</v>
      </c>
      <c r="O247" s="2">
        <f ca="1"/>
        <v>0.12236419847934342</v>
      </c>
      <c r="X247" s="2">
        <f ca="1"/>
        <v>43.090892882990495</v>
      </c>
      <c r="AG247" s="2">
        <f ca="1"/>
        <v>0.25111434220707141</v>
      </c>
      <c r="AH247" s="2" t="str">
        <f ca="1"/>
        <v>OK</v>
      </c>
    </row>
    <row r="248" spans="2:34">
      <c r="B248" s="2">
        <f ca="1"/>
        <v>0.95102544377166209</v>
      </c>
      <c r="O248" s="2">
        <f ca="1"/>
        <v>0.28151549501880907</v>
      </c>
      <c r="X248" s="2">
        <f ca="1"/>
        <v>49.05560842151904</v>
      </c>
      <c r="AG248" s="2">
        <f ca="1"/>
        <v>0.60739106003945098</v>
      </c>
      <c r="AH248" s="2" t="str">
        <f ca="1"/>
        <v>Bad</v>
      </c>
    </row>
    <row r="249" spans="2:34">
      <c r="B249" s="2">
        <f ca="1"/>
        <v>0.81370979983729108</v>
      </c>
      <c r="O249" s="2">
        <f ca="1"/>
        <v>-1.0612689090390439</v>
      </c>
      <c r="X249" s="2">
        <f ca="1"/>
        <v>60.95260599711164</v>
      </c>
      <c r="AG249" s="2">
        <f ca="1"/>
        <v>0.51999115538615026</v>
      </c>
      <c r="AH249" s="2" t="str">
        <f ca="1"/>
        <v>Bad</v>
      </c>
    </row>
    <row r="250" spans="2:34">
      <c r="B250" s="2">
        <f ca="1"/>
        <v>0.47204383230703062</v>
      </c>
      <c r="O250" s="2">
        <f ca="1"/>
        <v>-1.2838735645317558</v>
      </c>
      <c r="X250" s="2">
        <f ca="1"/>
        <v>77.216285823038831</v>
      </c>
      <c r="AG250" s="2">
        <f ca="1"/>
        <v>0.55075468420782259</v>
      </c>
      <c r="AH250" s="2" t="str">
        <f ca="1"/>
        <v>Bad</v>
      </c>
    </row>
    <row r="251" spans="2:34">
      <c r="B251" s="2">
        <f ca="1"/>
        <v>0.82146652539706166</v>
      </c>
      <c r="O251" s="2">
        <f ca="1"/>
        <v>-0.2815775999666254</v>
      </c>
      <c r="X251" s="2">
        <f ca="1"/>
        <v>58.79571534667371</v>
      </c>
      <c r="AG251" s="2">
        <f ca="1"/>
        <v>0.58320945799159563</v>
      </c>
      <c r="AH251" s="2" t="str">
        <f ca="1"/>
        <v>Bad</v>
      </c>
    </row>
    <row r="252" spans="2:34">
      <c r="B252" s="2">
        <f ca="1"/>
        <v>0.81116393874055137</v>
      </c>
      <c r="O252" s="2">
        <f ca="1"/>
        <v>-1.5742371469607739</v>
      </c>
      <c r="X252" s="2">
        <f ca="1"/>
        <v>40.256828565602191</v>
      </c>
      <c r="AG252" s="2">
        <f ca="1"/>
        <v>1.4945943853586829E-2</v>
      </c>
      <c r="AH252" s="2" t="str">
        <f ca="1"/>
        <v>Good</v>
      </c>
    </row>
    <row r="253" spans="2:34">
      <c r="B253" s="2">
        <f ca="1"/>
        <v>0.94509238512783966</v>
      </c>
      <c r="O253" s="2">
        <f ca="1"/>
        <v>-0.69191060917510316</v>
      </c>
      <c r="X253" s="2">
        <f ca="1"/>
        <v>58.556876482176882</v>
      </c>
      <c r="AG253" s="2">
        <f ca="1"/>
        <v>0.48497235300774411</v>
      </c>
      <c r="AH253" s="2" t="str">
        <f ca="1"/>
        <v>Bad</v>
      </c>
    </row>
    <row r="254" spans="2:34">
      <c r="B254" s="2">
        <f ca="1"/>
        <v>0.13302216074803375</v>
      </c>
      <c r="O254" s="2">
        <f ca="1"/>
        <v>-0.35907852303852617</v>
      </c>
      <c r="X254" s="2">
        <f ca="1"/>
        <v>55.742838494954796</v>
      </c>
      <c r="AG254" s="2">
        <f ca="1"/>
        <v>0.48436383265713689</v>
      </c>
      <c r="AH254" s="2" t="str">
        <f ca="1"/>
        <v>Bad</v>
      </c>
    </row>
    <row r="255" spans="2:34">
      <c r="B255" s="2">
        <f ca="1"/>
        <v>2.3920954986646592E-2</v>
      </c>
      <c r="O255" s="2">
        <f ca="1"/>
        <v>-0.54814820513934459</v>
      </c>
      <c r="X255" s="2">
        <f ca="1"/>
        <v>66.200540559125812</v>
      </c>
      <c r="AG255" s="2">
        <f ca="1"/>
        <v>0.49460118070807524</v>
      </c>
      <c r="AH255" s="2" t="str">
        <f ca="1"/>
        <v>Bad</v>
      </c>
    </row>
    <row r="256" spans="2:34">
      <c r="B256" s="2">
        <f ca="1"/>
        <v>0.99031666311997957</v>
      </c>
      <c r="O256" s="2">
        <f ca="1"/>
        <v>-1.2645494551453829</v>
      </c>
      <c r="X256" s="2">
        <f ca="1"/>
        <v>44.671065780647069</v>
      </c>
      <c r="AG256" s="2">
        <f ca="1"/>
        <v>0.1798679109087844</v>
      </c>
      <c r="AH256" s="2" t="str">
        <f ca="1"/>
        <v>OK</v>
      </c>
    </row>
    <row r="257" spans="2:34">
      <c r="B257" s="2">
        <f ca="1"/>
        <v>0.20861255156880376</v>
      </c>
      <c r="O257" s="2">
        <f ca="1"/>
        <v>1.5816661817204329</v>
      </c>
      <c r="X257" s="2">
        <f ca="1"/>
        <v>69.272843826778313</v>
      </c>
      <c r="AG257" s="2">
        <f ca="1"/>
        <v>0.44891524763638757</v>
      </c>
      <c r="AH257" s="2" t="str">
        <f ca="1"/>
        <v>Bad</v>
      </c>
    </row>
    <row r="258" spans="2:34">
      <c r="B258" s="2">
        <f ca="1"/>
        <v>0.66616766362732083</v>
      </c>
      <c r="O258" s="2">
        <f ca="1"/>
        <v>0.88601471985277314</v>
      </c>
      <c r="X258" s="2">
        <f ca="1"/>
        <v>47.804229346274667</v>
      </c>
      <c r="AG258" s="2">
        <f ca="1"/>
        <v>0.48198127340076491</v>
      </c>
      <c r="AH258" s="2" t="str">
        <f ca="1"/>
        <v>Bad</v>
      </c>
    </row>
    <row r="259" spans="2:34">
      <c r="B259" s="2">
        <f ca="1"/>
        <v>0.27290901631014108</v>
      </c>
      <c r="O259" s="2">
        <f ca="1"/>
        <v>1.1801285760744056</v>
      </c>
      <c r="X259" s="2">
        <f ca="1"/>
        <v>47.083468770796948</v>
      </c>
      <c r="AG259" s="2">
        <f ca="1"/>
        <v>0.20557901022929115</v>
      </c>
      <c r="AH259" s="2" t="str">
        <f ca="1"/>
        <v>OK</v>
      </c>
    </row>
    <row r="260" spans="2:34">
      <c r="B260" s="2">
        <f ca="1"/>
        <v>0.99346325082138298</v>
      </c>
      <c r="O260" s="2">
        <f ca="1"/>
        <v>3.3210515166972321E-2</v>
      </c>
      <c r="X260" s="2">
        <f ca="1"/>
        <v>71.510500621546612</v>
      </c>
      <c r="AG260" s="2">
        <f ca="1"/>
        <v>0.92327386660453636</v>
      </c>
      <c r="AH260" s="2" t="str">
        <f ca="1"/>
        <v>Bad</v>
      </c>
    </row>
    <row r="261" spans="2:34">
      <c r="B261" s="2">
        <f ca="1"/>
        <v>0.48837290233137787</v>
      </c>
      <c r="O261" s="2">
        <f ca="1"/>
        <v>0.9100045479072576</v>
      </c>
      <c r="X261" s="2">
        <f ca="1"/>
        <v>44.537780813622099</v>
      </c>
      <c r="AG261" s="2">
        <f ca="1"/>
        <v>0.29173012799898279</v>
      </c>
      <c r="AH261" s="2" t="str">
        <f ca="1"/>
        <v>OK</v>
      </c>
    </row>
    <row r="262" spans="2:34">
      <c r="B262" s="2">
        <f ca="1"/>
        <v>0.54592159872136925</v>
      </c>
      <c r="O262" s="2">
        <f ca="1"/>
        <v>-0.32135527361533306</v>
      </c>
      <c r="X262" s="2">
        <f ca="1"/>
        <v>65.545593750654973</v>
      </c>
      <c r="AG262" s="2">
        <f ca="1"/>
        <v>0.26289934472154974</v>
      </c>
      <c r="AH262" s="2" t="str">
        <f ca="1"/>
        <v>OK</v>
      </c>
    </row>
    <row r="263" spans="2:34">
      <c r="B263" s="2">
        <f ca="1"/>
        <v>0.59659227664831627</v>
      </c>
      <c r="O263" s="2">
        <f ca="1"/>
        <v>-1.7961591589735495</v>
      </c>
      <c r="X263" s="2">
        <f ca="1"/>
        <v>38.099568378320612</v>
      </c>
      <c r="AG263" s="2">
        <f ca="1"/>
        <v>3.0516076834924633E-2</v>
      </c>
      <c r="AH263" s="2" t="str">
        <f ca="1"/>
        <v>Good</v>
      </c>
    </row>
    <row r="264" spans="2:34">
      <c r="B264" s="2">
        <f ca="1"/>
        <v>6.0119744147063114E-2</v>
      </c>
      <c r="O264" s="2">
        <f ca="1"/>
        <v>0.53684044446140144</v>
      </c>
      <c r="X264" s="2">
        <f ca="1"/>
        <v>51.576893818367246</v>
      </c>
      <c r="AG264" s="2">
        <f ca="1"/>
        <v>0.4494584099144725</v>
      </c>
      <c r="AH264" s="2" t="str">
        <f ca="1"/>
        <v>Bad</v>
      </c>
    </row>
    <row r="265" spans="2:34">
      <c r="B265" s="2">
        <f ca="1"/>
        <v>8.5827744675087247E-2</v>
      </c>
      <c r="O265" s="2">
        <f ca="1"/>
        <v>-3.4887434005805316E-2</v>
      </c>
      <c r="X265" s="2">
        <f ca="1"/>
        <v>39.294066297019803</v>
      </c>
      <c r="AG265" s="2">
        <f ca="1"/>
        <v>0.5175912711062296</v>
      </c>
      <c r="AH265" s="2" t="str">
        <f ca="1"/>
        <v>Bad</v>
      </c>
    </row>
    <row r="266" spans="2:34">
      <c r="B266" s="2">
        <f ca="1"/>
        <v>0.30978491985663115</v>
      </c>
      <c r="O266" s="2">
        <f ca="1"/>
        <v>-0.25419866615176473</v>
      </c>
      <c r="X266" s="2">
        <f ca="1"/>
        <v>69.785593241186049</v>
      </c>
      <c r="AG266" s="2">
        <f ca="1"/>
        <v>0.82657555449247821</v>
      </c>
      <c r="AH266" s="2" t="str">
        <f ca="1"/>
        <v>Bad</v>
      </c>
    </row>
    <row r="267" spans="2:34">
      <c r="B267" s="2">
        <f ca="1"/>
        <v>0.51652217905986464</v>
      </c>
      <c r="O267" s="2">
        <f ca="1"/>
        <v>-2.1599891823440309</v>
      </c>
      <c r="X267" s="2">
        <f ca="1"/>
        <v>56.820715376045207</v>
      </c>
      <c r="AG267" s="2">
        <f ca="1"/>
        <v>0.10739674166285584</v>
      </c>
      <c r="AH267" s="2" t="str">
        <f ca="1"/>
        <v>OK</v>
      </c>
    </row>
    <row r="268" spans="2:34">
      <c r="B268" s="2">
        <f ca="1"/>
        <v>0.92727790723613679</v>
      </c>
      <c r="O268" s="2">
        <f ca="1"/>
        <v>-0.43973262306393279</v>
      </c>
      <c r="X268" s="2">
        <f ca="1"/>
        <v>27.771880356867729</v>
      </c>
      <c r="AG268" s="2">
        <f ca="1"/>
        <v>0.38347990548183941</v>
      </c>
      <c r="AH268" s="2" t="str">
        <f ca="1"/>
        <v>OK</v>
      </c>
    </row>
    <row r="269" spans="2:34">
      <c r="B269" s="2">
        <f ca="1"/>
        <v>0.63132641670233003</v>
      </c>
      <c r="O269" s="2">
        <f ca="1"/>
        <v>0.95646665728942237</v>
      </c>
      <c r="X269" s="2">
        <f ca="1"/>
        <v>49.913669736203929</v>
      </c>
      <c r="AG269" s="2">
        <f ca="1"/>
        <v>0.35203478127792964</v>
      </c>
      <c r="AH269" s="2" t="str">
        <f ca="1"/>
        <v>OK</v>
      </c>
    </row>
    <row r="270" spans="2:34">
      <c r="B270" s="2">
        <f ca="1"/>
        <v>0.24328374111228945</v>
      </c>
      <c r="O270" s="2">
        <f ca="1"/>
        <v>2.3043648091909774</v>
      </c>
      <c r="X270" s="2">
        <f ca="1"/>
        <v>39.55160535768367</v>
      </c>
      <c r="AG270" s="2">
        <f ca="1"/>
        <v>0.46269702747046781</v>
      </c>
      <c r="AH270" s="2" t="str">
        <f ca="1"/>
        <v>Bad</v>
      </c>
    </row>
    <row r="271" spans="2:34">
      <c r="B271" s="2">
        <f ca="1"/>
        <v>0.76904283255343153</v>
      </c>
      <c r="O271" s="2">
        <f ca="1"/>
        <v>0.8367444654706695</v>
      </c>
      <c r="X271" s="2">
        <f ca="1"/>
        <v>47.067813647427201</v>
      </c>
      <c r="AG271" s="2">
        <f ca="1"/>
        <v>1.8917911070515103E-2</v>
      </c>
      <c r="AH271" s="2" t="str">
        <f ca="1"/>
        <v>Good</v>
      </c>
    </row>
    <row r="272" spans="2:34">
      <c r="B272" s="2">
        <f ca="1"/>
        <v>0.99938677994536484</v>
      </c>
      <c r="O272" s="2">
        <f ca="1"/>
        <v>-0.56926488588809421</v>
      </c>
      <c r="X272" s="2">
        <f ca="1"/>
        <v>35.271700799920616</v>
      </c>
      <c r="AG272" s="2">
        <f ca="1"/>
        <v>0.35343093830535444</v>
      </c>
      <c r="AH272" s="2" t="str">
        <f ca="1"/>
        <v>OK</v>
      </c>
    </row>
    <row r="273" spans="2:34">
      <c r="B273" s="2">
        <f ca="1"/>
        <v>0.44469831342267852</v>
      </c>
      <c r="O273" s="2">
        <f ca="1"/>
        <v>-0.43401388492194898</v>
      </c>
      <c r="X273" s="2">
        <f ca="1"/>
        <v>43.651250481364627</v>
      </c>
      <c r="AG273" s="2">
        <f ca="1"/>
        <v>0.35715194529822325</v>
      </c>
      <c r="AH273" s="2" t="str">
        <f ca="1"/>
        <v>OK</v>
      </c>
    </row>
    <row r="274" spans="2:34">
      <c r="B274" s="2">
        <f ca="1"/>
        <v>0.39625669962003651</v>
      </c>
      <c r="O274" s="2">
        <f ca="1"/>
        <v>-0.13031852832065721</v>
      </c>
      <c r="X274" s="2">
        <f ca="1"/>
        <v>68.693703917204999</v>
      </c>
      <c r="AG274" s="2">
        <f ca="1"/>
        <v>0.15550359603522756</v>
      </c>
      <c r="AH274" s="2" t="str">
        <f ca="1"/>
        <v>OK</v>
      </c>
    </row>
    <row r="275" spans="2:34">
      <c r="B275" s="2">
        <f ca="1"/>
        <v>0.63183098557089123</v>
      </c>
      <c r="O275" s="2">
        <f ca="1"/>
        <v>-0.3689144622775995</v>
      </c>
      <c r="X275" s="2">
        <f ca="1"/>
        <v>64.804732810506508</v>
      </c>
      <c r="AG275" s="2">
        <f ca="1"/>
        <v>0.8482251406800605</v>
      </c>
      <c r="AH275" s="2" t="str">
        <f ca="1"/>
        <v>Bad</v>
      </c>
    </row>
    <row r="276" spans="2:34">
      <c r="B276" s="2">
        <f ca="1"/>
        <v>0.92286569465236568</v>
      </c>
      <c r="O276" s="2">
        <f ca="1"/>
        <v>-0.61461085639683433</v>
      </c>
      <c r="X276" s="2">
        <f ca="1"/>
        <v>47.122136271202478</v>
      </c>
      <c r="AG276" s="2">
        <f ca="1"/>
        <v>0.95519634689067612</v>
      </c>
      <c r="AH276" s="2" t="str">
        <f ca="1"/>
        <v>Bad</v>
      </c>
    </row>
    <row r="277" spans="2:34">
      <c r="B277" s="2">
        <f ca="1"/>
        <v>0.41530113809181013</v>
      </c>
      <c r="O277" s="2">
        <f ca="1"/>
        <v>-0.39368985213707919</v>
      </c>
      <c r="X277" s="2">
        <f ca="1"/>
        <v>64.119662239890559</v>
      </c>
      <c r="AG277" s="2">
        <f ca="1"/>
        <v>0.76138327997738631</v>
      </c>
      <c r="AH277" s="2" t="str">
        <f ca="1"/>
        <v>Bad</v>
      </c>
    </row>
    <row r="278" spans="2:34">
      <c r="B278" s="2">
        <f ca="1"/>
        <v>0.19016065682720207</v>
      </c>
      <c r="O278" s="2">
        <f ca="1"/>
        <v>1.1905386283259722</v>
      </c>
      <c r="X278" s="2">
        <f ca="1"/>
        <v>60.306812786762251</v>
      </c>
      <c r="AG278" s="2">
        <f ca="1"/>
        <v>0.54405087657449114</v>
      </c>
      <c r="AH278" s="2" t="str">
        <f ca="1"/>
        <v>Bad</v>
      </c>
    </row>
    <row r="279" spans="2:34">
      <c r="B279" s="2">
        <f ca="1"/>
        <v>0.10045094514067809</v>
      </c>
      <c r="O279" s="2">
        <f ca="1"/>
        <v>8.3345081828551354E-2</v>
      </c>
      <c r="X279" s="2">
        <f ca="1"/>
        <v>79.2177888788122</v>
      </c>
      <c r="AG279" s="2">
        <f ca="1"/>
        <v>0.82211679156657236</v>
      </c>
      <c r="AH279" s="2" t="str">
        <f ca="1"/>
        <v>Bad</v>
      </c>
    </row>
    <row r="280" spans="2:34">
      <c r="B280" s="2">
        <f ca="1"/>
        <v>1.9945863593137325E-2</v>
      </c>
      <c r="O280" s="2">
        <f ca="1"/>
        <v>-0.35988022202130437</v>
      </c>
      <c r="X280" s="2">
        <f ca="1"/>
        <v>57.128614845553685</v>
      </c>
      <c r="AG280" s="2">
        <f ca="1"/>
        <v>8.7409869606301038E-2</v>
      </c>
      <c r="AH280" s="2" t="str">
        <f ca="1"/>
        <v>OK</v>
      </c>
    </row>
    <row r="281" spans="2:34">
      <c r="B281" s="2">
        <f ca="1"/>
        <v>0.99233500820670395</v>
      </c>
      <c r="O281" s="2">
        <f ca="1"/>
        <v>1.9131119251182658</v>
      </c>
      <c r="X281" s="2">
        <f ca="1"/>
        <v>24.161409743439716</v>
      </c>
      <c r="AG281" s="2">
        <f ca="1"/>
        <v>0.73304977120588166</v>
      </c>
      <c r="AH281" s="2" t="str">
        <f ca="1"/>
        <v>Bad</v>
      </c>
    </row>
    <row r="282" spans="2:34">
      <c r="B282" s="2">
        <f ca="1"/>
        <v>0.35203025450120395</v>
      </c>
      <c r="O282" s="2">
        <f ca="1"/>
        <v>-1.7879714017291013</v>
      </c>
      <c r="X282" s="2">
        <f ca="1"/>
        <v>66.280689761001582</v>
      </c>
      <c r="AG282" s="2">
        <f ca="1"/>
        <v>0.20806638283376744</v>
      </c>
      <c r="AH282" s="2" t="str">
        <f ca="1"/>
        <v>OK</v>
      </c>
    </row>
    <row r="283" spans="2:34">
      <c r="B283" s="2">
        <f ca="1"/>
        <v>0.27933937278604204</v>
      </c>
      <c r="O283" s="2">
        <f ca="1"/>
        <v>-3.4978866314684894E-2</v>
      </c>
      <c r="X283" s="2">
        <f ca="1"/>
        <v>18.88626900094069</v>
      </c>
      <c r="AG283" s="2">
        <f ca="1"/>
        <v>0.80563176227949707</v>
      </c>
      <c r="AH283" s="2" t="str">
        <f ca="1"/>
        <v>Bad</v>
      </c>
    </row>
    <row r="284" spans="2:34">
      <c r="B284" s="2">
        <f ca="1"/>
        <v>0.13956633167248378</v>
      </c>
      <c r="O284" s="2">
        <f ca="1"/>
        <v>-0.45802207150348923</v>
      </c>
      <c r="X284" s="2">
        <f ca="1"/>
        <v>54.135893745986948</v>
      </c>
      <c r="AG284" s="2">
        <f ca="1"/>
        <v>0.48828088198286146</v>
      </c>
      <c r="AH284" s="2" t="str">
        <f ca="1"/>
        <v>Bad</v>
      </c>
    </row>
    <row r="285" spans="2:34">
      <c r="B285" s="2">
        <f ca="1"/>
        <v>3.5621850895599216E-2</v>
      </c>
      <c r="O285" s="2">
        <f ca="1"/>
        <v>0.38812259037012675</v>
      </c>
      <c r="X285" s="2">
        <f ca="1"/>
        <v>35.511673720813384</v>
      </c>
      <c r="AG285" s="2">
        <f ca="1"/>
        <v>0.49777067870071079</v>
      </c>
      <c r="AH285" s="2" t="str">
        <f ca="1"/>
        <v>Bad</v>
      </c>
    </row>
    <row r="286" spans="2:34">
      <c r="B286" s="2">
        <f ca="1"/>
        <v>0.13938774587270064</v>
      </c>
      <c r="O286" s="2">
        <f ca="1"/>
        <v>-2.524135587181882</v>
      </c>
      <c r="X286" s="2">
        <f ca="1"/>
        <v>81.440055556482776</v>
      </c>
      <c r="AG286" s="2">
        <f ca="1"/>
        <v>0.71288474071588914</v>
      </c>
      <c r="AH286" s="2" t="str">
        <f ca="1"/>
        <v>Bad</v>
      </c>
    </row>
    <row r="287" spans="2:34">
      <c r="B287" s="2">
        <f ca="1"/>
        <v>0.43274969577507272</v>
      </c>
      <c r="O287" s="2">
        <f ca="1"/>
        <v>0.61568253073425705</v>
      </c>
      <c r="X287" s="2">
        <f ca="1"/>
        <v>39.144614156023685</v>
      </c>
      <c r="AG287" s="2">
        <f ca="1"/>
        <v>0.67964422508833056</v>
      </c>
      <c r="AH287" s="2" t="str">
        <f ca="1"/>
        <v>Bad</v>
      </c>
    </row>
    <row r="288" spans="2:34">
      <c r="B288" s="2">
        <f ca="1"/>
        <v>4.2582344174967979E-2</v>
      </c>
      <c r="O288" s="2">
        <f ca="1"/>
        <v>0.25947016824726121</v>
      </c>
      <c r="X288" s="2">
        <f ca="1"/>
        <v>54.603284454899104</v>
      </c>
      <c r="AG288" s="2">
        <f ca="1"/>
        <v>0.35329974221478899</v>
      </c>
      <c r="AH288" s="2" t="str">
        <f ca="1"/>
        <v>OK</v>
      </c>
    </row>
    <row r="289" spans="2:34">
      <c r="B289" s="2">
        <f ca="1"/>
        <v>0.75059301233620146</v>
      </c>
      <c r="O289" s="2">
        <f ca="1"/>
        <v>1.734625046412297</v>
      </c>
      <c r="X289" s="2">
        <f ca="1"/>
        <v>58.339952121538417</v>
      </c>
      <c r="AG289" s="2">
        <f ca="1"/>
        <v>0.1839096024977187</v>
      </c>
      <c r="AH289" s="2" t="str">
        <f ca="1"/>
        <v>OK</v>
      </c>
    </row>
    <row r="290" spans="2:34">
      <c r="B290" s="2">
        <f ca="1"/>
        <v>0.72875618233956363</v>
      </c>
      <c r="O290" s="2">
        <f ca="1"/>
        <v>-1.3547090919953766</v>
      </c>
      <c r="X290" s="2">
        <f ca="1"/>
        <v>39.003958981750181</v>
      </c>
      <c r="AG290" s="2">
        <f ca="1"/>
        <v>0.38994616145958094</v>
      </c>
      <c r="AH290" s="2" t="str">
        <f ca="1"/>
        <v>OK</v>
      </c>
    </row>
    <row r="291" spans="2:34">
      <c r="B291" s="2">
        <f ca="1"/>
        <v>0.73128740479420329</v>
      </c>
      <c r="O291" s="2">
        <f ca="1"/>
        <v>1.0794868044937467</v>
      </c>
      <c r="X291" s="2">
        <f ca="1"/>
        <v>51.653061090778195</v>
      </c>
      <c r="AG291" s="2">
        <f ca="1"/>
        <v>0.838107122411752</v>
      </c>
      <c r="AH291" s="2" t="str">
        <f ca="1"/>
        <v>Bad</v>
      </c>
    </row>
    <row r="292" spans="2:34">
      <c r="B292" s="2">
        <f ca="1"/>
        <v>0.15210594550310175</v>
      </c>
      <c r="O292" s="2">
        <f ca="1"/>
        <v>-0.9302496318357244</v>
      </c>
      <c r="X292" s="2">
        <f ca="1"/>
        <v>44.912969567309759</v>
      </c>
      <c r="AG292" s="2">
        <f ca="1"/>
        <v>0.32193631399261324</v>
      </c>
      <c r="AH292" s="2" t="str">
        <f ca="1"/>
        <v>OK</v>
      </c>
    </row>
    <row r="293" spans="2:34">
      <c r="B293" s="2">
        <f ca="1"/>
        <v>0.26555772421780954</v>
      </c>
      <c r="O293" s="2">
        <f ca="1"/>
        <v>-0.24785120256538107</v>
      </c>
      <c r="X293" s="2">
        <f ca="1"/>
        <v>51.56053145827218</v>
      </c>
      <c r="AG293" s="2">
        <f ca="1"/>
        <v>0.78099231780916467</v>
      </c>
      <c r="AH293" s="2" t="str">
        <f ca="1"/>
        <v>Bad</v>
      </c>
    </row>
    <row r="294" spans="2:34">
      <c r="B294" s="2">
        <f ca="1"/>
        <v>0.38052674121215069</v>
      </c>
      <c r="O294" s="2">
        <f ca="1"/>
        <v>-0.25675141537241447</v>
      </c>
      <c r="X294" s="2">
        <f ca="1"/>
        <v>30.838028951228008</v>
      </c>
      <c r="AG294" s="2">
        <f ca="1"/>
        <v>0.78506865912845525</v>
      </c>
      <c r="AH294" s="2" t="str">
        <f ca="1"/>
        <v>Bad</v>
      </c>
    </row>
    <row r="295" spans="2:34">
      <c r="B295" s="2">
        <f ca="1"/>
        <v>0.99158144244903546</v>
      </c>
      <c r="O295" s="2">
        <f ca="1"/>
        <v>1.0366681236450819</v>
      </c>
      <c r="X295" s="2">
        <f ca="1"/>
        <v>32.395234495730094</v>
      </c>
      <c r="AG295" s="2">
        <f ca="1"/>
        <v>0.83955728900608739</v>
      </c>
      <c r="AH295" s="2" t="str">
        <f ca="1"/>
        <v>Bad</v>
      </c>
    </row>
    <row r="296" spans="2:34">
      <c r="B296" s="2">
        <f ca="1"/>
        <v>0.59048117763170915</v>
      </c>
      <c r="O296" s="2">
        <f ca="1"/>
        <v>0.65575916184956617</v>
      </c>
      <c r="X296" s="2">
        <f ca="1"/>
        <v>46.307055737433927</v>
      </c>
      <c r="AG296" s="2">
        <f ca="1"/>
        <v>0.77517673834698142</v>
      </c>
      <c r="AH296" s="2" t="str">
        <f ca="1"/>
        <v>Bad</v>
      </c>
    </row>
    <row r="297" spans="2:34">
      <c r="B297" s="2">
        <f ca="1"/>
        <v>0.36415151045201166</v>
      </c>
      <c r="O297" s="2">
        <f ca="1"/>
        <v>0.88816189556325398</v>
      </c>
      <c r="X297" s="2">
        <f ca="1"/>
        <v>41.795308370026902</v>
      </c>
      <c r="AG297" s="2">
        <f ca="1"/>
        <v>0.23674125732155615</v>
      </c>
      <c r="AH297" s="2" t="str">
        <f ca="1"/>
        <v>OK</v>
      </c>
    </row>
    <row r="298" spans="2:34">
      <c r="B298" s="2">
        <f ca="1"/>
        <v>8.7268972299493486E-2</v>
      </c>
      <c r="O298" s="2">
        <f ca="1"/>
        <v>-0.28084911428752662</v>
      </c>
      <c r="X298" s="2">
        <f ca="1"/>
        <v>35.03995309995554</v>
      </c>
      <c r="AG298" s="2">
        <f ca="1"/>
        <v>0.9585576353298042</v>
      </c>
      <c r="AH298" s="2" t="str">
        <f ca="1"/>
        <v>Bad</v>
      </c>
    </row>
    <row r="299" spans="2:34">
      <c r="B299" s="2">
        <f ca="1"/>
        <v>0.13199511650604312</v>
      </c>
      <c r="O299" s="2">
        <f ca="1"/>
        <v>-1.2869936406021636</v>
      </c>
      <c r="X299" s="2">
        <f ca="1"/>
        <v>44.805594633780721</v>
      </c>
      <c r="AG299" s="2">
        <f ca="1"/>
        <v>0.53588435690084801</v>
      </c>
      <c r="AH299" s="2" t="str">
        <f ca="1"/>
        <v>Bad</v>
      </c>
    </row>
    <row r="300" spans="2:34">
      <c r="B300" s="2">
        <f ca="1"/>
        <v>0.91189406741177792</v>
      </c>
      <c r="O300" s="2">
        <f ca="1"/>
        <v>-0.3368460643062679</v>
      </c>
      <c r="X300" s="2">
        <f ca="1"/>
        <v>56.618717706663062</v>
      </c>
      <c r="AG300" s="2">
        <f ca="1"/>
        <v>0.83996103156107815</v>
      </c>
      <c r="AH300" s="2" t="str">
        <f ca="1"/>
        <v>Bad</v>
      </c>
    </row>
    <row r="301" spans="2:34">
      <c r="B301" s="2">
        <f ca="1"/>
        <v>0.84890686906436263</v>
      </c>
      <c r="O301" s="2">
        <f ca="1"/>
        <v>-0.19269765133764205</v>
      </c>
      <c r="X301" s="2">
        <f ca="1"/>
        <v>26.036543994404184</v>
      </c>
      <c r="AG301" s="2">
        <f ca="1"/>
        <v>0.47253234792762</v>
      </c>
      <c r="AH301" s="2" t="str">
        <f ca="1"/>
        <v>Bad</v>
      </c>
    </row>
    <row r="302" spans="2:34">
      <c r="B302" s="2">
        <f ca="1"/>
        <v>0.24113956643879919</v>
      </c>
      <c r="O302" s="2">
        <f ca="1"/>
        <v>0.8025356779914693</v>
      </c>
      <c r="X302" s="2">
        <f ca="1"/>
        <v>40.93728288288365</v>
      </c>
      <c r="AG302" s="2">
        <f ca="1"/>
        <v>0.51453389565927798</v>
      </c>
      <c r="AH302" s="2" t="str">
        <f ca="1"/>
        <v>Bad</v>
      </c>
    </row>
    <row r="303" spans="2:34">
      <c r="B303" s="2">
        <f ca="1"/>
        <v>3.0147996891352058E-3</v>
      </c>
      <c r="O303" s="2">
        <f ca="1"/>
        <v>-0.19270118459276658</v>
      </c>
      <c r="X303" s="2">
        <f ca="1"/>
        <v>53.2978348385315</v>
      </c>
      <c r="AG303" s="2">
        <f ca="1"/>
        <v>0.35650113271138184</v>
      </c>
      <c r="AH303" s="2" t="str">
        <f ca="1"/>
        <v>OK</v>
      </c>
    </row>
    <row r="304" spans="2:34">
      <c r="B304" s="2">
        <f ca="1"/>
        <v>0.68983396715591039</v>
      </c>
      <c r="O304" s="2">
        <f ca="1"/>
        <v>0.93629136871181851</v>
      </c>
      <c r="X304" s="2">
        <f ca="1"/>
        <v>50.452187933101548</v>
      </c>
      <c r="AG304" s="2">
        <f ca="1"/>
        <v>0.88350759177039562</v>
      </c>
      <c r="AH304" s="2" t="str">
        <f ca="1"/>
        <v>Bad</v>
      </c>
    </row>
    <row r="305" spans="2:34">
      <c r="B305" s="2">
        <f ca="1"/>
        <v>0.98875924664361792</v>
      </c>
      <c r="O305" s="2">
        <f ca="1"/>
        <v>0.41664837061826643</v>
      </c>
      <c r="X305" s="2">
        <f ca="1"/>
        <v>82.682559563297133</v>
      </c>
      <c r="AG305" s="2">
        <f ca="1"/>
        <v>0.8345377055352261</v>
      </c>
      <c r="AH305" s="2" t="str">
        <f ca="1"/>
        <v>Bad</v>
      </c>
    </row>
    <row r="306" spans="2:34">
      <c r="B306" s="2">
        <f ca="1"/>
        <v>0.78274011167939617</v>
      </c>
      <c r="O306" s="2">
        <f ca="1"/>
        <v>-1.7351488415423066</v>
      </c>
      <c r="X306" s="2">
        <f ca="1"/>
        <v>46.131784021772894</v>
      </c>
      <c r="AG306" s="2">
        <f ca="1"/>
        <v>0.72501048760609765</v>
      </c>
      <c r="AH306" s="2" t="str">
        <f ca="1"/>
        <v>Bad</v>
      </c>
    </row>
    <row r="307" spans="2:34">
      <c r="B307" s="2">
        <f ca="1"/>
        <v>0.36828910524567671</v>
      </c>
      <c r="O307" s="2">
        <f ca="1"/>
        <v>0.3202024797239944</v>
      </c>
      <c r="X307" s="2">
        <f ca="1"/>
        <v>58.266371111787443</v>
      </c>
      <c r="AG307" s="2">
        <f ca="1"/>
        <v>0.65211149783785483</v>
      </c>
      <c r="AH307" s="2" t="str">
        <f ca="1"/>
        <v>Bad</v>
      </c>
    </row>
    <row r="308" spans="2:34">
      <c r="B308" s="2">
        <f ca="1"/>
        <v>0.62768846492233044</v>
      </c>
      <c r="O308" s="2">
        <f ca="1"/>
        <v>-0.84370803577331077</v>
      </c>
      <c r="X308" s="2">
        <f ca="1"/>
        <v>34.280804119718006</v>
      </c>
      <c r="AG308" s="2">
        <f ca="1"/>
        <v>0.27764883983906552</v>
      </c>
      <c r="AH308" s="2" t="str">
        <f ca="1"/>
        <v>OK</v>
      </c>
    </row>
    <row r="309" spans="2:34">
      <c r="B309" s="2">
        <f ca="1"/>
        <v>0.51085498944354435</v>
      </c>
      <c r="O309" s="2">
        <f ca="1"/>
        <v>6.3451734162707996E-2</v>
      </c>
      <c r="X309" s="2">
        <f ca="1"/>
        <v>49.670992203219839</v>
      </c>
      <c r="AG309" s="2">
        <f ca="1"/>
        <v>4.0896583561583766E-2</v>
      </c>
      <c r="AH309" s="2" t="str">
        <f ca="1"/>
        <v>Good</v>
      </c>
    </row>
    <row r="310" spans="2:34">
      <c r="B310" s="2">
        <f ca="1"/>
        <v>0.68252682395564568</v>
      </c>
      <c r="O310" s="2">
        <f ca="1"/>
        <v>0.27200592316942512</v>
      </c>
      <c r="X310" s="2">
        <f ca="1"/>
        <v>44.868380305118151</v>
      </c>
      <c r="AG310" s="2">
        <f ca="1"/>
        <v>0.10532927913890378</v>
      </c>
      <c r="AH310" s="2" t="str">
        <f ca="1"/>
        <v>OK</v>
      </c>
    </row>
    <row r="311" spans="2:34">
      <c r="B311" s="2">
        <f ca="1"/>
        <v>2.6331011124800741E-2</v>
      </c>
      <c r="O311" s="2">
        <f ca="1"/>
        <v>-0.8647940536577684</v>
      </c>
      <c r="X311" s="2">
        <f ca="1"/>
        <v>33.09079701643077</v>
      </c>
      <c r="AG311" s="2">
        <f ca="1"/>
        <v>0.30499439580690479</v>
      </c>
      <c r="AH311" s="2" t="str">
        <f ca="1"/>
        <v>OK</v>
      </c>
    </row>
    <row r="312" spans="2:34">
      <c r="B312" s="2">
        <f ca="1"/>
        <v>0.95542489790339169</v>
      </c>
      <c r="O312" s="2">
        <f ca="1"/>
        <v>-0.57945724093668283</v>
      </c>
      <c r="X312" s="2">
        <f ca="1"/>
        <v>37.226288723428922</v>
      </c>
      <c r="AG312" s="2">
        <f ca="1"/>
        <v>0.67450711754912662</v>
      </c>
      <c r="AH312" s="2" t="str">
        <f ca="1"/>
        <v>Bad</v>
      </c>
    </row>
    <row r="313" spans="2:34">
      <c r="B313" s="2">
        <f ca="1"/>
        <v>0.44205942032297774</v>
      </c>
      <c r="O313" s="2">
        <f ca="1"/>
        <v>1.085887389009909</v>
      </c>
      <c r="X313" s="2">
        <f ca="1"/>
        <v>31.215491760202539</v>
      </c>
      <c r="AG313" s="2">
        <f ca="1"/>
        <v>0.38375741908876515</v>
      </c>
      <c r="AH313" s="2" t="str">
        <f ca="1"/>
        <v>OK</v>
      </c>
    </row>
    <row r="314" spans="2:34">
      <c r="B314" s="2">
        <f ca="1"/>
        <v>0.37637660774711112</v>
      </c>
      <c r="O314" s="2">
        <f ca="1"/>
        <v>6.9590205879293612E-2</v>
      </c>
      <c r="X314" s="2">
        <f ca="1"/>
        <v>24.594713127294746</v>
      </c>
      <c r="AG314" s="2">
        <f ca="1"/>
        <v>7.9983794895523097E-2</v>
      </c>
      <c r="AH314" s="2" t="str">
        <f ca="1"/>
        <v>OK</v>
      </c>
    </row>
    <row r="315" spans="2:34">
      <c r="B315" s="2">
        <f ca="1"/>
        <v>0.81827491083387272</v>
      </c>
      <c r="O315" s="2">
        <f ca="1"/>
        <v>0.99597644063754609</v>
      </c>
      <c r="X315" s="2">
        <f ca="1"/>
        <v>97.420795201362367</v>
      </c>
      <c r="AG315" s="2">
        <f ca="1"/>
        <v>0.79024984250614683</v>
      </c>
      <c r="AH315" s="2" t="str">
        <f ca="1"/>
        <v>Bad</v>
      </c>
    </row>
    <row r="316" spans="2:34">
      <c r="B316" s="2">
        <f ca="1"/>
        <v>0.2831107790053331</v>
      </c>
      <c r="O316" s="2">
        <f ca="1"/>
        <v>0.18206043719964826</v>
      </c>
      <c r="X316" s="2">
        <f ca="1"/>
        <v>61.448025190382928</v>
      </c>
      <c r="AG316" s="2">
        <f ca="1"/>
        <v>0.51852408716492659</v>
      </c>
      <c r="AH316" s="2" t="str">
        <f ca="1"/>
        <v>Bad</v>
      </c>
    </row>
    <row r="317" spans="2:34">
      <c r="B317" s="2">
        <f ca="1"/>
        <v>0.33944957623557359</v>
      </c>
      <c r="O317" s="2">
        <f ca="1"/>
        <v>1.0317408506126611</v>
      </c>
      <c r="X317" s="2">
        <f ca="1"/>
        <v>31.42227972757501</v>
      </c>
      <c r="AG317" s="2">
        <f ca="1"/>
        <v>0.88036115811873605</v>
      </c>
      <c r="AH317" s="2" t="str">
        <f ca="1"/>
        <v>Bad</v>
      </c>
    </row>
    <row r="318" spans="2:34">
      <c r="B318" s="2">
        <f ca="1"/>
        <v>0.32504481970504995</v>
      </c>
      <c r="O318" s="2">
        <f ca="1"/>
        <v>-1.341516816022126</v>
      </c>
      <c r="X318" s="2">
        <f ca="1"/>
        <v>45.428653529026803</v>
      </c>
      <c r="AG318" s="2">
        <f ca="1"/>
        <v>1.3906926583678869E-2</v>
      </c>
      <c r="AH318" s="2" t="str">
        <f ca="1"/>
        <v>Good</v>
      </c>
    </row>
    <row r="319" spans="2:34">
      <c r="B319" s="2">
        <f ca="1"/>
        <v>0.32455179236563336</v>
      </c>
      <c r="O319" s="2">
        <f ca="1"/>
        <v>0.16195592769885692</v>
      </c>
      <c r="X319" s="2">
        <f ca="1"/>
        <v>38.702227004327703</v>
      </c>
      <c r="AG319" s="2">
        <f ca="1"/>
        <v>0.54493260662366216</v>
      </c>
      <c r="AH319" s="2" t="str">
        <f ca="1"/>
        <v>Bad</v>
      </c>
    </row>
    <row r="320" spans="2:34">
      <c r="B320" s="2">
        <f ca="1"/>
        <v>0.56622718931145655</v>
      </c>
      <c r="O320" s="2">
        <f ca="1"/>
        <v>1.5934250953432514</v>
      </c>
      <c r="X320" s="2">
        <f ca="1"/>
        <v>39.794557838951498</v>
      </c>
      <c r="AG320" s="2">
        <f ca="1"/>
        <v>0.2533330351115084</v>
      </c>
      <c r="AH320" s="2" t="str">
        <f ca="1"/>
        <v>OK</v>
      </c>
    </row>
    <row r="321" spans="2:34">
      <c r="B321" s="2">
        <f ca="1"/>
        <v>0.38923586649738628</v>
      </c>
      <c r="O321" s="2">
        <f ca="1"/>
        <v>-1.6481907848346264</v>
      </c>
      <c r="X321" s="2">
        <f ca="1"/>
        <v>30.045945908573024</v>
      </c>
      <c r="AG321" s="2">
        <f ca="1"/>
        <v>0.69077641689264735</v>
      </c>
      <c r="AH321" s="2" t="str">
        <f ca="1"/>
        <v>Bad</v>
      </c>
    </row>
    <row r="322" spans="2:34">
      <c r="B322" s="2">
        <f ca="1"/>
        <v>9.2800293380919108E-2</v>
      </c>
      <c r="O322" s="2">
        <f ca="1"/>
        <v>0.35301185729081391</v>
      </c>
      <c r="X322" s="2">
        <f ca="1"/>
        <v>53.858716715531408</v>
      </c>
      <c r="AG322" s="2">
        <f ca="1"/>
        <v>0.95185051597944215</v>
      </c>
      <c r="AH322" s="2" t="str">
        <f ca="1"/>
        <v>Bad</v>
      </c>
    </row>
    <row r="323" spans="2:34">
      <c r="B323" s="2">
        <f ca="1"/>
        <v>0.55522651142359503</v>
      </c>
      <c r="O323" s="2">
        <f ca="1"/>
        <v>-1.4879879441270261</v>
      </c>
      <c r="X323" s="2">
        <f ca="1"/>
        <v>46.543626791142202</v>
      </c>
      <c r="AG323" s="2">
        <f ca="1"/>
        <v>0.68026170033817612</v>
      </c>
      <c r="AH323" s="2" t="str">
        <f ca="1"/>
        <v>Bad</v>
      </c>
    </row>
    <row r="324" spans="2:34">
      <c r="B324" s="2">
        <f ca="1"/>
        <v>0.56146931133681877</v>
      </c>
      <c r="O324" s="2">
        <f ca="1"/>
        <v>-0.4586485735747648</v>
      </c>
      <c r="X324" s="2">
        <f ca="1"/>
        <v>49.112415658992745</v>
      </c>
      <c r="AG324" s="2">
        <f ca="1"/>
        <v>0.32299332767584632</v>
      </c>
      <c r="AH324" s="2" t="str">
        <f ca="1"/>
        <v>OK</v>
      </c>
    </row>
    <row r="325" spans="2:34">
      <c r="B325" s="2">
        <f ca="1"/>
        <v>0.45402311397837947</v>
      </c>
      <c r="O325" s="2">
        <f ca="1"/>
        <v>0.1296892815535175</v>
      </c>
      <c r="X325" s="2">
        <f ca="1"/>
        <v>27.395168082299392</v>
      </c>
      <c r="AG325" s="2">
        <f ca="1"/>
        <v>0.90120484519974831</v>
      </c>
      <c r="AH325" s="2" t="str">
        <f ca="1"/>
        <v>Bad</v>
      </c>
    </row>
    <row r="326" spans="2:34">
      <c r="B326" s="2">
        <f ca="1"/>
        <v>0.95464620188089278</v>
      </c>
      <c r="O326" s="2">
        <f ca="1"/>
        <v>1.6787379739686263</v>
      </c>
      <c r="X326" s="2">
        <f ca="1"/>
        <v>64.366580027771619</v>
      </c>
      <c r="AG326" s="2">
        <f ca="1"/>
        <v>0.90503172709363677</v>
      </c>
      <c r="AH326" s="2" t="str">
        <f ca="1"/>
        <v>Bad</v>
      </c>
    </row>
    <row r="327" spans="2:34">
      <c r="B327" s="2">
        <f ca="1"/>
        <v>0.74140335237436727</v>
      </c>
      <c r="O327" s="2">
        <f ca="1"/>
        <v>0.3020114904336817</v>
      </c>
      <c r="X327" s="2">
        <f ca="1"/>
        <v>95.65907741387943</v>
      </c>
      <c r="AG327" s="2">
        <f ca="1"/>
        <v>0.24265711771218101</v>
      </c>
      <c r="AH327" s="2" t="str">
        <f ca="1"/>
        <v>OK</v>
      </c>
    </row>
    <row r="328" spans="2:34">
      <c r="B328" s="2">
        <f ca="1"/>
        <v>9.9280275887618563E-2</v>
      </c>
      <c r="O328" s="2">
        <f ca="1"/>
        <v>0.53227886893685961</v>
      </c>
      <c r="X328" s="2">
        <f ca="1"/>
        <v>37.413687944723961</v>
      </c>
      <c r="AG328" s="2">
        <f ca="1"/>
        <v>5.3653197913275719E-2</v>
      </c>
      <c r="AH328" s="2" t="str">
        <f ca="1"/>
        <v>OK</v>
      </c>
    </row>
    <row r="329" spans="2:34">
      <c r="B329" s="2">
        <f ca="1"/>
        <v>0.94051562866261951</v>
      </c>
      <c r="O329" s="2">
        <f ca="1"/>
        <v>1.3303886193173657</v>
      </c>
      <c r="X329" s="2">
        <f ca="1"/>
        <v>31.367424246024438</v>
      </c>
      <c r="AG329" s="2">
        <f ca="1"/>
        <v>0.9709268632418242</v>
      </c>
      <c r="AH329" s="2" t="str">
        <f ca="1"/>
        <v>Bad</v>
      </c>
    </row>
    <row r="330" spans="2:34">
      <c r="B330" s="2">
        <f ca="1"/>
        <v>0.77391778634848007</v>
      </c>
      <c r="O330" s="2">
        <f ca="1"/>
        <v>-0.20484662397537001</v>
      </c>
      <c r="X330" s="2">
        <f ca="1"/>
        <v>35.693823628759581</v>
      </c>
      <c r="AG330" s="2">
        <f ca="1"/>
        <v>0.44139637047812785</v>
      </c>
      <c r="AH330" s="2" t="str">
        <f ca="1"/>
        <v>Bad</v>
      </c>
    </row>
    <row r="331" spans="2:34">
      <c r="B331" s="2">
        <f ca="1"/>
        <v>0.46240763680077124</v>
      </c>
      <c r="O331" s="2">
        <f ca="1"/>
        <v>0.28795261209646339</v>
      </c>
      <c r="X331" s="2">
        <f ca="1"/>
        <v>29.480078996195402</v>
      </c>
      <c r="AG331" s="2">
        <f ca="1"/>
        <v>3.2332560870835803E-3</v>
      </c>
      <c r="AH331" s="2" t="str">
        <f ca="1"/>
        <v>Good</v>
      </c>
    </row>
    <row r="332" spans="2:34">
      <c r="B332" s="2">
        <f ca="1"/>
        <v>0.17459654597549346</v>
      </c>
      <c r="O332" s="2">
        <f ca="1"/>
        <v>1.5777963421246486</v>
      </c>
      <c r="X332" s="2">
        <f ca="1"/>
        <v>41.493514530284152</v>
      </c>
      <c r="AG332" s="2">
        <f ca="1"/>
        <v>0.60490787228178</v>
      </c>
      <c r="AH332" s="2" t="str">
        <f ca="1"/>
        <v>Bad</v>
      </c>
    </row>
    <row r="333" spans="2:34">
      <c r="B333" s="2">
        <f ca="1"/>
        <v>0.66142297544026007</v>
      </c>
      <c r="O333" s="2">
        <f ca="1"/>
        <v>-1.0713841774795201</v>
      </c>
      <c r="X333" s="2">
        <f ca="1"/>
        <v>61.708247703317966</v>
      </c>
      <c r="AG333" s="2">
        <f ca="1"/>
        <v>0.36996546478111503</v>
      </c>
      <c r="AH333" s="2" t="str">
        <f ca="1"/>
        <v>OK</v>
      </c>
    </row>
    <row r="334" spans="2:34">
      <c r="B334" s="2">
        <f ca="1"/>
        <v>0.48164860666277232</v>
      </c>
      <c r="O334" s="2">
        <f ca="1"/>
        <v>1.2847885071418228</v>
      </c>
      <c r="X334" s="2">
        <f ca="1"/>
        <v>67.883333355893754</v>
      </c>
      <c r="AG334" s="2">
        <f ca="1"/>
        <v>0.90967969684787087</v>
      </c>
      <c r="AH334" s="2" t="str">
        <f ca="1"/>
        <v>Bad</v>
      </c>
    </row>
    <row r="335" spans="2:34">
      <c r="B335" s="2">
        <f ca="1"/>
        <v>0.33390855519124885</v>
      </c>
      <c r="O335" s="2">
        <f ca="1"/>
        <v>0.40853422603154738</v>
      </c>
      <c r="X335" s="2">
        <f ca="1"/>
        <v>40.913524205753831</v>
      </c>
      <c r="AG335" s="2">
        <f ca="1"/>
        <v>0.97910066298644693</v>
      </c>
      <c r="AH335" s="2" t="str">
        <f ca="1"/>
        <v>Bad</v>
      </c>
    </row>
    <row r="336" spans="2:34">
      <c r="B336" s="2">
        <f ca="1"/>
        <v>3.5120008912823408E-2</v>
      </c>
      <c r="O336" s="2">
        <f ca="1"/>
        <v>0.27620499288973283</v>
      </c>
      <c r="X336" s="2">
        <f ca="1"/>
        <v>59.115977277364912</v>
      </c>
      <c r="AG336" s="2">
        <f ca="1"/>
        <v>0.91997212713883281</v>
      </c>
      <c r="AH336" s="2" t="str">
        <f ca="1"/>
        <v>Bad</v>
      </c>
    </row>
    <row r="337" spans="2:34">
      <c r="B337" s="2">
        <f ca="1"/>
        <v>0.87492222231794248</v>
      </c>
      <c r="O337" s="2">
        <f ca="1"/>
        <v>0.60660617055188493</v>
      </c>
      <c r="X337" s="2">
        <f ca="1"/>
        <v>64.557765762672176</v>
      </c>
      <c r="AG337" s="2">
        <f ca="1"/>
        <v>0.922008737996592</v>
      </c>
      <c r="AH337" s="2" t="str">
        <f ca="1"/>
        <v>Bad</v>
      </c>
    </row>
    <row r="338" spans="2:34">
      <c r="B338" s="2">
        <f ca="1"/>
        <v>0.9882149908892417</v>
      </c>
      <c r="O338" s="2">
        <f ca="1"/>
        <v>0.17745862299803147</v>
      </c>
      <c r="X338" s="2">
        <f ca="1"/>
        <v>40.135711831882197</v>
      </c>
      <c r="AG338" s="2">
        <f ca="1"/>
        <v>9.8453961320958294E-2</v>
      </c>
      <c r="AH338" s="2" t="str">
        <f ca="1"/>
        <v>OK</v>
      </c>
    </row>
    <row r="339" spans="2:34">
      <c r="B339" s="2">
        <f ca="1"/>
        <v>0.44964026397164059</v>
      </c>
      <c r="O339" s="2">
        <f ca="1"/>
        <v>-0.74253041568908484</v>
      </c>
      <c r="X339" s="2">
        <f ca="1"/>
        <v>77.40025269612353</v>
      </c>
      <c r="AG339" s="2">
        <f ca="1"/>
        <v>0.96182791491695818</v>
      </c>
      <c r="AH339" s="2" t="str">
        <f ca="1"/>
        <v>Bad</v>
      </c>
    </row>
    <row r="340" spans="2:34">
      <c r="B340" s="2">
        <f ca="1"/>
        <v>7.7834469855500021E-3</v>
      </c>
      <c r="O340" s="2">
        <f ca="1"/>
        <v>-2.1380688500526976</v>
      </c>
      <c r="X340" s="2">
        <f ca="1"/>
        <v>51.563628849889398</v>
      </c>
      <c r="AG340" s="2">
        <f ca="1"/>
        <v>0.38432510396307329</v>
      </c>
      <c r="AH340" s="2" t="str">
        <f ca="1"/>
        <v>OK</v>
      </c>
    </row>
    <row r="341" spans="2:34">
      <c r="B341" s="2">
        <f ca="1"/>
        <v>0.70928660089077522</v>
      </c>
      <c r="O341" s="2">
        <f ca="1"/>
        <v>0.30007476888524331</v>
      </c>
      <c r="X341" s="2">
        <f ca="1"/>
        <v>31.368912986515383</v>
      </c>
      <c r="AG341" s="2">
        <f ca="1"/>
        <v>0.21737261778252681</v>
      </c>
      <c r="AH341" s="2" t="str">
        <f ca="1"/>
        <v>OK</v>
      </c>
    </row>
    <row r="342" spans="2:34">
      <c r="B342" s="2">
        <f ca="1"/>
        <v>0.26852723114860177</v>
      </c>
      <c r="O342" s="2">
        <f ca="1"/>
        <v>0.28493417567569446</v>
      </c>
      <c r="X342" s="2">
        <f ca="1"/>
        <v>45.882544486000008</v>
      </c>
      <c r="AG342" s="2">
        <f ca="1"/>
        <v>0.10305661487599016</v>
      </c>
      <c r="AH342" s="2" t="str">
        <f ca="1"/>
        <v>OK</v>
      </c>
    </row>
    <row r="343" spans="2:34">
      <c r="B343" s="2">
        <f ca="1"/>
        <v>0.94123409967226812</v>
      </c>
      <c r="O343" s="2">
        <f ca="1"/>
        <v>1.020655066296895</v>
      </c>
      <c r="X343" s="2">
        <f ca="1"/>
        <v>35.294425051569583</v>
      </c>
      <c r="AG343" s="2">
        <f ca="1"/>
        <v>0.1185909232521003</v>
      </c>
      <c r="AH343" s="2" t="str">
        <f ca="1"/>
        <v>OK</v>
      </c>
    </row>
    <row r="344" spans="2:34">
      <c r="B344" s="2">
        <f ca="1"/>
        <v>0.41670193158054891</v>
      </c>
      <c r="O344" s="2">
        <f ca="1"/>
        <v>5.9203636743172756E-2</v>
      </c>
      <c r="X344" s="2">
        <f ca="1"/>
        <v>24.877324327686665</v>
      </c>
      <c r="AG344" s="2">
        <f ca="1"/>
        <v>0.55292468036772546</v>
      </c>
      <c r="AH344" s="2" t="str">
        <f ca="1"/>
        <v>Bad</v>
      </c>
    </row>
    <row r="345" spans="2:34">
      <c r="B345" s="2">
        <f ca="1"/>
        <v>0.89162093863517278</v>
      </c>
      <c r="O345" s="2">
        <f ca="1"/>
        <v>1.0275086016141861</v>
      </c>
      <c r="X345" s="2">
        <f ca="1"/>
        <v>38.606214330438306</v>
      </c>
      <c r="AG345" s="2">
        <f ca="1"/>
        <v>5.2272830786167956E-2</v>
      </c>
      <c r="AH345" s="2" t="str">
        <f ca="1"/>
        <v>OK</v>
      </c>
    </row>
    <row r="346" spans="2:34">
      <c r="B346" s="2">
        <f ca="1"/>
        <v>0.44266312877754399</v>
      </c>
      <c r="O346" s="2">
        <f ca="1"/>
        <v>-0.31773877709945914</v>
      </c>
      <c r="X346" s="2">
        <f ca="1"/>
        <v>51.393245451568006</v>
      </c>
      <c r="AG346" s="2">
        <f ca="1"/>
        <v>0.77498453863056893</v>
      </c>
      <c r="AH346" s="2" t="str">
        <f ca="1"/>
        <v>Bad</v>
      </c>
    </row>
    <row r="347" spans="2:34">
      <c r="B347" s="2">
        <f ca="1"/>
        <v>0.92509545429041107</v>
      </c>
      <c r="O347" s="2">
        <f ca="1"/>
        <v>0.24957317710727486</v>
      </c>
      <c r="X347" s="2">
        <f ca="1"/>
        <v>86.055695055259804</v>
      </c>
      <c r="AG347" s="2">
        <f ca="1"/>
        <v>0.88997797485775476</v>
      </c>
      <c r="AH347" s="2" t="str">
        <f ca="1"/>
        <v>Bad</v>
      </c>
    </row>
    <row r="348" spans="2:34">
      <c r="B348" s="2">
        <f ca="1"/>
        <v>0.90290350300986733</v>
      </c>
      <c r="O348" s="2">
        <f ca="1"/>
        <v>-1.0779568045277665</v>
      </c>
      <c r="X348" s="2">
        <f ca="1"/>
        <v>37.947379964665366</v>
      </c>
      <c r="AG348" s="2">
        <f ca="1"/>
        <v>0.25754048396050355</v>
      </c>
      <c r="AH348" s="2" t="str">
        <f ca="1"/>
        <v>OK</v>
      </c>
    </row>
    <row r="349" spans="2:34">
      <c r="B349" s="2">
        <f ca="1"/>
        <v>0.50296084068484892</v>
      </c>
      <c r="O349" s="2">
        <f ca="1"/>
        <v>0.48921500963826342</v>
      </c>
      <c r="X349" s="2">
        <f ca="1"/>
        <v>49.949040088846999</v>
      </c>
      <c r="AG349" s="2">
        <f ca="1"/>
        <v>0.65420122772194622</v>
      </c>
      <c r="AH349" s="2" t="str">
        <f ca="1"/>
        <v>Bad</v>
      </c>
    </row>
    <row r="350" spans="2:34">
      <c r="B350" s="2">
        <f ca="1"/>
        <v>0.69795563277144734</v>
      </c>
      <c r="O350" s="2">
        <f ca="1"/>
        <v>1.3188086864946633</v>
      </c>
      <c r="X350" s="2">
        <f ca="1"/>
        <v>34.356150000123343</v>
      </c>
      <c r="AG350" s="2">
        <f ca="1"/>
        <v>0.94897720227242455</v>
      </c>
      <c r="AH350" s="2" t="str">
        <f ca="1"/>
        <v>Bad</v>
      </c>
    </row>
    <row r="351" spans="2:34">
      <c r="B351" s="2">
        <f ca="1"/>
        <v>0.86892563815332702</v>
      </c>
      <c r="O351" s="2">
        <f ca="1"/>
        <v>-0.47179917939919608</v>
      </c>
      <c r="X351" s="2">
        <f ca="1"/>
        <v>66.443823001834176</v>
      </c>
      <c r="AG351" s="2">
        <f ca="1"/>
        <v>0.86027684770944912</v>
      </c>
      <c r="AH351" s="2" t="str">
        <f ca="1"/>
        <v>Bad</v>
      </c>
    </row>
    <row r="352" spans="2:34">
      <c r="B352" s="2">
        <f ca="1"/>
        <v>0.41204053698088772</v>
      </c>
      <c r="O352" s="2">
        <f ca="1"/>
        <v>4.5858632855753957E-2</v>
      </c>
      <c r="X352" s="2">
        <f ca="1"/>
        <v>37.071013178219651</v>
      </c>
      <c r="AG352" s="2">
        <f ca="1"/>
        <v>0.55195048008743952</v>
      </c>
      <c r="AH352" s="2" t="str">
        <f ca="1"/>
        <v>Bad</v>
      </c>
    </row>
    <row r="353" spans="2:34">
      <c r="B353" s="2">
        <f ca="1"/>
        <v>0.24983026135346376</v>
      </c>
      <c r="O353" s="2">
        <f ca="1"/>
        <v>0.2918278259085153</v>
      </c>
      <c r="X353" s="2">
        <f ca="1"/>
        <v>62.307089057143031</v>
      </c>
      <c r="AG353" s="2">
        <f ca="1"/>
        <v>0.76488848206783744</v>
      </c>
      <c r="AH353" s="2" t="str">
        <f ca="1"/>
        <v>Bad</v>
      </c>
    </row>
    <row r="354" spans="2:34">
      <c r="B354" s="2">
        <f ca="1"/>
        <v>0.79334499881192877</v>
      </c>
      <c r="O354" s="2">
        <f ca="1"/>
        <v>0.25780221157072197</v>
      </c>
      <c r="X354" s="2">
        <f ca="1"/>
        <v>39.590314687864591</v>
      </c>
      <c r="AG354" s="2">
        <f ca="1"/>
        <v>0.75667341358057061</v>
      </c>
      <c r="AH354" s="2" t="str">
        <f ca="1"/>
        <v>Bad</v>
      </c>
    </row>
    <row r="355" spans="2:34">
      <c r="B355" s="2">
        <f ca="1"/>
        <v>0.75173238757252792</v>
      </c>
      <c r="O355" s="2">
        <f ca="1"/>
        <v>-1.144752414387658</v>
      </c>
      <c r="X355" s="2">
        <f ca="1"/>
        <v>108.21762507841727</v>
      </c>
      <c r="AG355" s="2">
        <f ca="1"/>
        <v>0.1083496871878793</v>
      </c>
      <c r="AH355" s="2" t="str">
        <f ca="1"/>
        <v>OK</v>
      </c>
    </row>
    <row r="356" spans="2:34">
      <c r="B356" s="2">
        <f ca="1"/>
        <v>0.48844181112005769</v>
      </c>
      <c r="O356" s="2">
        <f ca="1"/>
        <v>-0.57821567652030781</v>
      </c>
      <c r="X356" s="2">
        <f ca="1"/>
        <v>35.850761863654888</v>
      </c>
      <c r="AG356" s="2">
        <f ca="1"/>
        <v>4.1432966295724682E-2</v>
      </c>
      <c r="AH356" s="2" t="str">
        <f ca="1"/>
        <v>Good</v>
      </c>
    </row>
    <row r="357" spans="2:34">
      <c r="B357" s="2">
        <f ca="1"/>
        <v>0.44468128866153789</v>
      </c>
      <c r="O357" s="2">
        <f ca="1"/>
        <v>1.1527809074319335</v>
      </c>
      <c r="X357" s="2">
        <f ca="1"/>
        <v>66.094246835372928</v>
      </c>
      <c r="AG357" s="2">
        <f ca="1"/>
        <v>0.22263780096301167</v>
      </c>
      <c r="AH357" s="2" t="str">
        <f ca="1"/>
        <v>OK</v>
      </c>
    </row>
    <row r="358" spans="2:34">
      <c r="B358" s="2">
        <f ca="1"/>
        <v>0.13495417334450144</v>
      </c>
      <c r="O358" s="2">
        <f ca="1"/>
        <v>-1.5426066792386701</v>
      </c>
      <c r="X358" s="2">
        <f ca="1"/>
        <v>49.738480088027714</v>
      </c>
      <c r="AG358" s="2">
        <f ca="1"/>
        <v>0.40387191368231168</v>
      </c>
      <c r="AH358" s="2" t="str">
        <f ca="1"/>
        <v>Bad</v>
      </c>
    </row>
    <row r="359" spans="2:34">
      <c r="B359" s="2">
        <f ca="1"/>
        <v>0.83726871452248242</v>
      </c>
      <c r="O359" s="2">
        <f ca="1"/>
        <v>1.3948003342016377</v>
      </c>
      <c r="X359" s="2">
        <f ca="1"/>
        <v>57.051716969504803</v>
      </c>
      <c r="AG359" s="2">
        <f ca="1"/>
        <v>0.44092478685427405</v>
      </c>
      <c r="AH359" s="2" t="str">
        <f ca="1"/>
        <v>Bad</v>
      </c>
    </row>
    <row r="360" spans="2:34">
      <c r="B360" s="2">
        <f ca="1"/>
        <v>0.1474211173576494</v>
      </c>
      <c r="O360" s="2">
        <f ca="1"/>
        <v>-0.56530094242464834</v>
      </c>
      <c r="X360" s="2">
        <f ca="1"/>
        <v>23.150091829444655</v>
      </c>
      <c r="AG360" s="2">
        <f ca="1"/>
        <v>0.93890742841645913</v>
      </c>
      <c r="AH360" s="2" t="str">
        <f ca="1"/>
        <v>Bad</v>
      </c>
    </row>
    <row r="361" spans="2:34">
      <c r="B361" s="2">
        <f ca="1"/>
        <v>0.42390568462242117</v>
      </c>
      <c r="O361" s="2">
        <f ca="1"/>
        <v>-0.30745692575446604</v>
      </c>
      <c r="X361" s="2">
        <f ca="1"/>
        <v>55.617045087561543</v>
      </c>
      <c r="AG361" s="2">
        <f ca="1"/>
        <v>0.57720654184166253</v>
      </c>
      <c r="AH361" s="2" t="str">
        <f ca="1"/>
        <v>Bad</v>
      </c>
    </row>
    <row r="362" spans="2:34">
      <c r="B362" s="2">
        <f ca="1"/>
        <v>0.95494533573157114</v>
      </c>
      <c r="O362" s="2">
        <f ca="1"/>
        <v>2.4539947517094172</v>
      </c>
      <c r="X362" s="2">
        <f ca="1"/>
        <v>43.357128691008299</v>
      </c>
      <c r="AG362" s="2">
        <f ca="1"/>
        <v>0.92770144879711269</v>
      </c>
      <c r="AH362" s="2" t="str">
        <f ca="1"/>
        <v>Bad</v>
      </c>
    </row>
    <row r="363" spans="2:34">
      <c r="B363" s="2">
        <f ca="1"/>
        <v>0.41733847469169749</v>
      </c>
      <c r="O363" s="2">
        <f ca="1"/>
        <v>-5.1464022127454032E-2</v>
      </c>
      <c r="X363" s="2">
        <f ca="1"/>
        <v>34.107829085992286</v>
      </c>
      <c r="AG363" s="2">
        <f ca="1"/>
        <v>2.4876240091663782E-2</v>
      </c>
      <c r="AH363" s="2" t="str">
        <f ca="1"/>
        <v>Good</v>
      </c>
    </row>
    <row r="364" spans="2:34">
      <c r="B364" s="2">
        <f ca="1"/>
        <v>0.32834758113519857</v>
      </c>
      <c r="O364" s="2">
        <f ca="1"/>
        <v>-9.0370137721874147E-2</v>
      </c>
      <c r="X364" s="2">
        <f ca="1"/>
        <v>47.840720452113636</v>
      </c>
      <c r="AG364" s="2">
        <f ca="1"/>
        <v>0.73355131581759525</v>
      </c>
      <c r="AH364" s="2" t="str">
        <f ca="1"/>
        <v>Bad</v>
      </c>
    </row>
    <row r="365" spans="2:34">
      <c r="B365" s="2">
        <f ca="1"/>
        <v>0.30944433714614239</v>
      </c>
      <c r="O365" s="2">
        <f ca="1"/>
        <v>-1.1620818131609596</v>
      </c>
      <c r="X365" s="2">
        <f ca="1"/>
        <v>20.291451909169503</v>
      </c>
      <c r="AG365" s="2">
        <f ca="1"/>
        <v>0.27362383359410813</v>
      </c>
      <c r="AH365" s="2" t="str">
        <f ca="1"/>
        <v>OK</v>
      </c>
    </row>
    <row r="366" spans="2:34">
      <c r="B366" s="2">
        <f ca="1"/>
        <v>0.83930115837228514</v>
      </c>
      <c r="O366" s="2">
        <f ca="1"/>
        <v>0.2666554011847585</v>
      </c>
      <c r="X366" s="2">
        <f ca="1"/>
        <v>69.013423568183427</v>
      </c>
      <c r="AG366" s="2">
        <f ca="1"/>
        <v>0.57824810481740418</v>
      </c>
      <c r="AH366" s="2" t="str">
        <f ca="1"/>
        <v>Bad</v>
      </c>
    </row>
    <row r="367" spans="2:34">
      <c r="B367" s="2">
        <f ca="1"/>
        <v>0.3913167064825378</v>
      </c>
      <c r="O367" s="2">
        <f ca="1"/>
        <v>0.89280083137809674</v>
      </c>
      <c r="X367" s="2">
        <f ca="1"/>
        <v>67.254528789563736</v>
      </c>
      <c r="AG367" s="2">
        <f ca="1"/>
        <v>7.781347414941564E-2</v>
      </c>
      <c r="AH367" s="2" t="str">
        <f ca="1"/>
        <v>OK</v>
      </c>
    </row>
    <row r="368" spans="2:34">
      <c r="B368" s="2">
        <f ca="1"/>
        <v>0.24494118660885866</v>
      </c>
      <c r="O368" s="2">
        <f ca="1"/>
        <v>-1.2743424668795658</v>
      </c>
      <c r="X368" s="2">
        <f ca="1"/>
        <v>35.132152575979049</v>
      </c>
      <c r="AG368" s="2">
        <f ca="1"/>
        <v>0.38277261080474601</v>
      </c>
      <c r="AH368" s="2" t="str">
        <f ca="1"/>
        <v>OK</v>
      </c>
    </row>
    <row r="369" spans="2:34">
      <c r="B369" s="2">
        <f ca="1"/>
        <v>0.78319344650075351</v>
      </c>
      <c r="O369" s="2">
        <f ca="1"/>
        <v>-6.0442426724869595E-2</v>
      </c>
      <c r="X369" s="2">
        <f ca="1"/>
        <v>44.403941245757402</v>
      </c>
      <c r="AG369" s="2">
        <f ca="1"/>
        <v>0.36286436664495625</v>
      </c>
      <c r="AH369" s="2" t="str">
        <f ca="1"/>
        <v>OK</v>
      </c>
    </row>
    <row r="370" spans="2:34">
      <c r="B370" s="2">
        <f ca="1"/>
        <v>0.19360639555588866</v>
      </c>
      <c r="O370" s="2">
        <f ca="1"/>
        <v>-0.54283663075014288</v>
      </c>
      <c r="X370" s="2">
        <f ca="1"/>
        <v>42.146978177563099</v>
      </c>
      <c r="AG370" s="2">
        <f ca="1"/>
        <v>2.0033532094213991E-2</v>
      </c>
      <c r="AH370" s="2" t="str">
        <f ca="1"/>
        <v>Good</v>
      </c>
    </row>
    <row r="371" spans="2:34">
      <c r="B371" s="2">
        <f ca="1"/>
        <v>0.63861170114271459</v>
      </c>
      <c r="O371" s="2">
        <f ca="1"/>
        <v>-2.2777276599133329</v>
      </c>
      <c r="X371" s="2">
        <f ca="1"/>
        <v>50.542356651724091</v>
      </c>
      <c r="AG371" s="2">
        <f ca="1"/>
        <v>0.96160466291020907</v>
      </c>
      <c r="AH371" s="2" t="str">
        <f ca="1"/>
        <v>Bad</v>
      </c>
    </row>
    <row r="372" spans="2:34">
      <c r="B372" s="2">
        <f ca="1"/>
        <v>0.17189350405629455</v>
      </c>
      <c r="O372" s="2">
        <f ca="1"/>
        <v>-1.0838477221793215</v>
      </c>
      <c r="X372" s="2">
        <f ca="1"/>
        <v>39.998421374699198</v>
      </c>
      <c r="AG372" s="2">
        <f ca="1"/>
        <v>0.9884716064378416</v>
      </c>
      <c r="AH372" s="2" t="str">
        <f ca="1"/>
        <v>Bad</v>
      </c>
    </row>
    <row r="373" spans="2:34">
      <c r="B373" s="2">
        <f ca="1"/>
        <v>0.50609458456818635</v>
      </c>
      <c r="O373" s="2">
        <f ca="1"/>
        <v>0.72252460018381681</v>
      </c>
      <c r="X373" s="2">
        <f ca="1"/>
        <v>45.042060082983099</v>
      </c>
      <c r="AG373" s="2">
        <f ca="1"/>
        <v>0.24569989002761927</v>
      </c>
      <c r="AH373" s="2" t="str">
        <f ca="1"/>
        <v>OK</v>
      </c>
    </row>
    <row r="374" spans="2:34">
      <c r="B374" s="2">
        <f ca="1"/>
        <v>0.94168294658241058</v>
      </c>
      <c r="O374" s="2">
        <f ca="1"/>
        <v>-8.8046360012401334E-2</v>
      </c>
      <c r="X374" s="2">
        <f ca="1"/>
        <v>72.419206014960579</v>
      </c>
      <c r="AG374" s="2">
        <f ca="1"/>
        <v>0.26693111337631348</v>
      </c>
      <c r="AH374" s="2" t="str">
        <f ca="1"/>
        <v>OK</v>
      </c>
    </row>
    <row r="375" spans="2:34">
      <c r="B375" s="2">
        <f ca="1"/>
        <v>0.84843976385199515</v>
      </c>
      <c r="O375" s="2">
        <f ca="1"/>
        <v>-0.17256215005522532</v>
      </c>
      <c r="X375" s="2">
        <f ca="1"/>
        <v>37.073089278396345</v>
      </c>
      <c r="AG375" s="2">
        <f ca="1"/>
        <v>0.81224233972920268</v>
      </c>
      <c r="AH375" s="2" t="str">
        <f ca="1"/>
        <v>Bad</v>
      </c>
    </row>
    <row r="376" spans="2:34">
      <c r="B376" s="2">
        <f ca="1"/>
        <v>0.19099820805114276</v>
      </c>
      <c r="O376" s="2">
        <f ca="1"/>
        <v>-0.1801734824976878</v>
      </c>
      <c r="X376" s="2">
        <f ca="1"/>
        <v>56.28351727753828</v>
      </c>
      <c r="AG376" s="2">
        <f ca="1"/>
        <v>0.65473005210417767</v>
      </c>
      <c r="AH376" s="2" t="str">
        <f ca="1"/>
        <v>Bad</v>
      </c>
    </row>
    <row r="377" spans="2:34">
      <c r="B377" s="2">
        <f ca="1"/>
        <v>0.32445612445860039</v>
      </c>
      <c r="O377" s="2">
        <f ca="1"/>
        <v>0.67103348035028987</v>
      </c>
      <c r="X377" s="2">
        <f ca="1"/>
        <v>27.909007229217792</v>
      </c>
      <c r="AG377" s="2">
        <f ca="1"/>
        <v>0.17086855047252891</v>
      </c>
      <c r="AH377" s="2" t="str">
        <f ca="1"/>
        <v>OK</v>
      </c>
    </row>
    <row r="378" spans="2:34">
      <c r="B378" s="2">
        <f ca="1"/>
        <v>0.62504719703013745</v>
      </c>
      <c r="O378" s="2">
        <f ca="1"/>
        <v>-0.90926491052152092</v>
      </c>
      <c r="X378" s="2">
        <f ca="1"/>
        <v>49.25190657645993</v>
      </c>
      <c r="AG378" s="2">
        <f ca="1"/>
        <v>0.48595730696575634</v>
      </c>
      <c r="AH378" s="2" t="str">
        <f ca="1"/>
        <v>Bad</v>
      </c>
    </row>
    <row r="379" spans="2:34">
      <c r="B379" s="2">
        <f ca="1"/>
        <v>0.13352169840104078</v>
      </c>
      <c r="O379" s="2">
        <f ca="1"/>
        <v>1.3953478422055818</v>
      </c>
      <c r="X379" s="2">
        <f ca="1"/>
        <v>48.48364679654204</v>
      </c>
      <c r="AG379" s="2">
        <f ca="1"/>
        <v>0.11982883415929924</v>
      </c>
      <c r="AH379" s="2" t="str">
        <f ca="1"/>
        <v>OK</v>
      </c>
    </row>
    <row r="380" spans="2:34">
      <c r="B380" s="2">
        <f ca="1"/>
        <v>0.31625908839364514</v>
      </c>
      <c r="O380" s="2">
        <f ca="1"/>
        <v>2.500136148077212E-2</v>
      </c>
      <c r="X380" s="2">
        <f ca="1"/>
        <v>36.791090130905964</v>
      </c>
      <c r="AG380" s="2">
        <f ca="1"/>
        <v>0.91717530777783063</v>
      </c>
      <c r="AH380" s="2" t="str">
        <f ca="1"/>
        <v>Bad</v>
      </c>
    </row>
    <row r="381" spans="2:34">
      <c r="B381" s="2">
        <f ca="1"/>
        <v>0.57988071132812125</v>
      </c>
      <c r="O381" s="2">
        <f ca="1"/>
        <v>-0.47531063992300104</v>
      </c>
      <c r="X381" s="2">
        <f ca="1"/>
        <v>24.481328518660497</v>
      </c>
      <c r="AG381" s="2">
        <f ca="1"/>
        <v>0.50445796443751489</v>
      </c>
      <c r="AH381" s="2" t="str">
        <f ca="1"/>
        <v>Bad</v>
      </c>
    </row>
    <row r="382" spans="2:34">
      <c r="B382" s="2">
        <f ca="1"/>
        <v>0.15867375144187545</v>
      </c>
      <c r="O382" s="2">
        <f ca="1"/>
        <v>-1.6521824045453148</v>
      </c>
      <c r="X382" s="2">
        <f ca="1"/>
        <v>66.186489605904029</v>
      </c>
      <c r="AG382" s="2">
        <f ca="1"/>
        <v>0.6498825705882032</v>
      </c>
      <c r="AH382" s="2" t="str">
        <f ca="1"/>
        <v>Bad</v>
      </c>
    </row>
    <row r="383" spans="2:34">
      <c r="B383" s="2">
        <f ca="1"/>
        <v>0.58591331240309641</v>
      </c>
      <c r="O383" s="2">
        <f ca="1"/>
        <v>0.16401578622098531</v>
      </c>
      <c r="X383" s="2">
        <f ca="1"/>
        <v>28.913961079258677</v>
      </c>
      <c r="AG383" s="2">
        <f ca="1"/>
        <v>0.24762415054560449</v>
      </c>
      <c r="AH383" s="2" t="str">
        <f ca="1"/>
        <v>OK</v>
      </c>
    </row>
    <row r="384" spans="2:34">
      <c r="B384" s="2">
        <f ca="1"/>
        <v>0.61907650471812947</v>
      </c>
      <c r="O384" s="2">
        <f ca="1"/>
        <v>-0.49368500788193115</v>
      </c>
      <c r="X384" s="2">
        <f ca="1"/>
        <v>35.972316880528609</v>
      </c>
      <c r="AG384" s="2">
        <f ca="1"/>
        <v>2.6683828713355506E-2</v>
      </c>
      <c r="AH384" s="2" t="str">
        <f ca="1"/>
        <v>Good</v>
      </c>
    </row>
    <row r="385" spans="2:34">
      <c r="B385" s="2">
        <f ca="1"/>
        <v>0.30780763952178725</v>
      </c>
      <c r="O385" s="2">
        <f ca="1"/>
        <v>-1.8277128027558123E-2</v>
      </c>
      <c r="X385" s="2">
        <f ca="1"/>
        <v>37.643241548878009</v>
      </c>
      <c r="AG385" s="2">
        <f ca="1"/>
        <v>0.43248493944504318</v>
      </c>
      <c r="AH385" s="2" t="str">
        <f ca="1"/>
        <v>Bad</v>
      </c>
    </row>
    <row r="386" spans="2:34">
      <c r="B386" s="2">
        <f ca="1"/>
        <v>0.38018218800753423</v>
      </c>
      <c r="O386" s="2">
        <f ca="1"/>
        <v>1.7345209173451706</v>
      </c>
      <c r="X386" s="2">
        <f ca="1"/>
        <v>55.284182771401902</v>
      </c>
      <c r="AG386" s="2">
        <f ca="1"/>
        <v>0.72819551122072568</v>
      </c>
      <c r="AH386" s="2" t="str">
        <f ca="1"/>
        <v>Bad</v>
      </c>
    </row>
    <row r="387" spans="2:34">
      <c r="B387" s="2">
        <f ca="1"/>
        <v>0.16724079081808618</v>
      </c>
      <c r="O387" s="2">
        <f ca="1"/>
        <v>-1.0454407503487473</v>
      </c>
      <c r="X387" s="2">
        <f ca="1"/>
        <v>37.707595099087456</v>
      </c>
      <c r="AG387" s="2">
        <f ca="1"/>
        <v>0.94903646849753076</v>
      </c>
      <c r="AH387" s="2" t="str">
        <f ca="1"/>
        <v>Bad</v>
      </c>
    </row>
    <row r="388" spans="2:34">
      <c r="B388" s="2">
        <f ca="1"/>
        <v>0.90512753016905467</v>
      </c>
      <c r="O388" s="2">
        <f ca="1"/>
        <v>-0.33152783570845207</v>
      </c>
      <c r="X388" s="2">
        <f ca="1"/>
        <v>43.058147835537106</v>
      </c>
      <c r="AG388" s="2">
        <f ca="1"/>
        <v>0.86536286762952797</v>
      </c>
      <c r="AH388" s="2" t="str">
        <f ca="1"/>
        <v>Bad</v>
      </c>
    </row>
    <row r="389" spans="2:34">
      <c r="B389" s="2">
        <f ca="1"/>
        <v>0.98726896223126759</v>
      </c>
      <c r="O389" s="2">
        <f ca="1"/>
        <v>-0.19072351921989775</v>
      </c>
      <c r="X389" s="2">
        <f ca="1"/>
        <v>41.239800126224978</v>
      </c>
      <c r="AG389" s="2">
        <f ca="1"/>
        <v>0.44339370062087657</v>
      </c>
      <c r="AH389" s="2" t="str">
        <f ca="1"/>
        <v>Bad</v>
      </c>
    </row>
    <row r="390" spans="2:34">
      <c r="B390" s="2">
        <f ca="1"/>
        <v>0.26386482359942076</v>
      </c>
      <c r="O390" s="2">
        <f ca="1"/>
        <v>-1.0953632057257716</v>
      </c>
      <c r="X390" s="2">
        <f ca="1"/>
        <v>64.726143185794541</v>
      </c>
      <c r="AG390" s="2">
        <f ca="1"/>
        <v>0.72651983635432438</v>
      </c>
      <c r="AH390" s="2" t="str">
        <f ca="1"/>
        <v>Bad</v>
      </c>
    </row>
    <row r="391" spans="2:34">
      <c r="B391" s="2">
        <f ca="1"/>
        <v>0.15316115291580346</v>
      </c>
      <c r="O391" s="2">
        <f ca="1"/>
        <v>-0.73665029063039811</v>
      </c>
      <c r="X391" s="2">
        <f ca="1"/>
        <v>33.261695390124068</v>
      </c>
      <c r="AG391" s="2">
        <f ca="1"/>
        <v>0.16929718981121722</v>
      </c>
      <c r="AH391" s="2" t="str">
        <f ca="1"/>
        <v>OK</v>
      </c>
    </row>
    <row r="392" spans="2:34">
      <c r="B392" s="2">
        <f ca="1"/>
        <v>0.68680572271345097</v>
      </c>
      <c r="O392" s="2">
        <f ca="1"/>
        <v>-5.3538270462460208E-2</v>
      </c>
      <c r="X392" s="2">
        <f ca="1"/>
        <v>29.658665102692005</v>
      </c>
      <c r="AG392" s="2">
        <f ca="1"/>
        <v>0.33631781465529342</v>
      </c>
      <c r="AH392" s="2" t="str">
        <f ca="1"/>
        <v>OK</v>
      </c>
    </row>
    <row r="393" spans="2:34">
      <c r="B393" s="2">
        <f ca="1"/>
        <v>0.24759665043439139</v>
      </c>
      <c r="O393" s="2">
        <f ca="1"/>
        <v>0.12700040254261671</v>
      </c>
      <c r="X393" s="2">
        <f ca="1"/>
        <v>42.414024475116641</v>
      </c>
      <c r="AG393" s="2">
        <f ca="1"/>
        <v>0.33203319366101436</v>
      </c>
      <c r="AH393" s="2" t="str">
        <f ca="1"/>
        <v>OK</v>
      </c>
    </row>
    <row r="394" spans="2:34">
      <c r="B394" s="2">
        <f ca="1"/>
        <v>0.81973412432021786</v>
      </c>
      <c r="O394" s="2">
        <f ca="1"/>
        <v>0.40809005075501992</v>
      </c>
      <c r="X394" s="2">
        <f ca="1"/>
        <v>55.736612291253792</v>
      </c>
      <c r="AG394" s="2">
        <f ca="1"/>
        <v>0.10761681367221443</v>
      </c>
      <c r="AH394" s="2" t="str">
        <f ca="1"/>
        <v>OK</v>
      </c>
    </row>
    <row r="395" spans="2:34">
      <c r="B395" s="2">
        <f ca="1"/>
        <v>0.47956175241429411</v>
      </c>
      <c r="O395" s="2">
        <f ca="1"/>
        <v>-0.50038802483829015</v>
      </c>
      <c r="X395" s="2">
        <f ca="1"/>
        <v>26.752597445316681</v>
      </c>
      <c r="AG395" s="2">
        <f ca="1"/>
        <v>0.8639145048664767</v>
      </c>
      <c r="AH395" s="2" t="str">
        <f ca="1"/>
        <v>Bad</v>
      </c>
    </row>
    <row r="396" spans="2:34">
      <c r="B396" s="2">
        <f ca="1"/>
        <v>0.30742624846604771</v>
      </c>
      <c r="O396" s="2">
        <f ca="1"/>
        <v>-2.6234368928954067E-3</v>
      </c>
      <c r="X396" s="2">
        <f ca="1"/>
        <v>22.429075475119781</v>
      </c>
      <c r="AG396" s="2">
        <f ca="1"/>
        <v>0.80444401304141677</v>
      </c>
      <c r="AH396" s="2" t="str">
        <f ca="1"/>
        <v>Bad</v>
      </c>
    </row>
    <row r="397" spans="2:34">
      <c r="B397" s="2">
        <f ca="1"/>
        <v>0.51411618998687336</v>
      </c>
      <c r="O397" s="2">
        <f ca="1"/>
        <v>0.84560126342228548</v>
      </c>
      <c r="X397" s="2">
        <f ca="1"/>
        <v>70.267291993598519</v>
      </c>
      <c r="AG397" s="2">
        <f ca="1"/>
        <v>0.14148828784541312</v>
      </c>
      <c r="AH397" s="2" t="str">
        <f ca="1"/>
        <v>OK</v>
      </c>
    </row>
    <row r="398" spans="2:34">
      <c r="B398" s="2">
        <f ca="1"/>
        <v>5.5008799587148438E-2</v>
      </c>
      <c r="O398" s="2">
        <f ca="1"/>
        <v>-0.44966314556170722</v>
      </c>
      <c r="X398" s="2">
        <f ca="1"/>
        <v>60.827616705105747</v>
      </c>
      <c r="AG398" s="2">
        <f ca="1"/>
        <v>0.18045720896586315</v>
      </c>
      <c r="AH398" s="2" t="str">
        <f ca="1"/>
        <v>OK</v>
      </c>
    </row>
    <row r="399" spans="2:34">
      <c r="B399" s="2">
        <f ca="1"/>
        <v>0.82240741826188168</v>
      </c>
      <c r="O399" s="2">
        <f ca="1"/>
        <v>0.24017002184723377</v>
      </c>
      <c r="X399" s="2">
        <f ca="1"/>
        <v>48.993830766101276</v>
      </c>
      <c r="AG399" s="2">
        <f ca="1"/>
        <v>0.62475030720292701</v>
      </c>
      <c r="AH399" s="2" t="str">
        <f ca="1"/>
        <v>Bad</v>
      </c>
    </row>
    <row r="400" spans="2:34">
      <c r="B400" s="2">
        <f ca="1"/>
        <v>0.73578745885107777</v>
      </c>
      <c r="O400" s="2">
        <f ca="1"/>
        <v>-0.17508340164111419</v>
      </c>
      <c r="X400" s="2">
        <f ca="1"/>
        <v>57.098355272493315</v>
      </c>
      <c r="AG400" s="2">
        <f ca="1"/>
        <v>0.80854542483137903</v>
      </c>
      <c r="AH400" s="2" t="str">
        <f ca="1"/>
        <v>Bad</v>
      </c>
    </row>
    <row r="401" spans="2:34">
      <c r="B401" s="2">
        <f ca="1"/>
        <v>0.55759804226431053</v>
      </c>
      <c r="O401" s="2">
        <f ca="1"/>
        <v>0.93353582373216593</v>
      </c>
      <c r="X401" s="2">
        <f ca="1"/>
        <v>48.510413230436541</v>
      </c>
      <c r="AG401" s="2">
        <f ca="1"/>
        <v>0.85700059465865031</v>
      </c>
      <c r="AH401" s="2" t="str">
        <f ca="1"/>
        <v>Bad</v>
      </c>
    </row>
    <row r="402" spans="2:34">
      <c r="B402" s="2">
        <f ca="1"/>
        <v>0.14606438887829531</v>
      </c>
      <c r="O402" s="2">
        <f ca="1"/>
        <v>-0.25029575354699418</v>
      </c>
      <c r="X402" s="2">
        <f ca="1"/>
        <v>41.509262726766593</v>
      </c>
      <c r="AG402" s="2">
        <f ca="1"/>
        <v>0.23688590359539452</v>
      </c>
      <c r="AH402" s="2" t="str">
        <f ca="1"/>
        <v>OK</v>
      </c>
    </row>
    <row r="403" spans="2:34">
      <c r="B403" s="2">
        <f ca="1"/>
        <v>0.13014509220897863</v>
      </c>
      <c r="O403" s="2">
        <f ca="1"/>
        <v>4.2693775291665098E-2</v>
      </c>
      <c r="X403" s="2">
        <f ca="1"/>
        <v>32.022212610638654</v>
      </c>
      <c r="AG403" s="2">
        <f ca="1"/>
        <v>0.45020321098962168</v>
      </c>
      <c r="AH403" s="2" t="str">
        <f ca="1"/>
        <v>Bad</v>
      </c>
    </row>
    <row r="404" spans="2:34">
      <c r="B404" s="2">
        <f ca="1"/>
        <v>0.46630496051879233</v>
      </c>
      <c r="O404" s="2">
        <f ca="1"/>
        <v>2.1446455866407339</v>
      </c>
      <c r="X404" s="2">
        <f ca="1"/>
        <v>47.001434166583536</v>
      </c>
      <c r="AG404" s="2">
        <f ca="1"/>
        <v>0.76020789364079122</v>
      </c>
      <c r="AH404" s="2" t="str">
        <f ca="1"/>
        <v>Bad</v>
      </c>
    </row>
    <row r="405" spans="2:34">
      <c r="B405" s="2">
        <f ca="1"/>
        <v>0.76332544403693081</v>
      </c>
      <c r="O405" s="2">
        <f ca="1"/>
        <v>-0.61619698430744041</v>
      </c>
      <c r="X405" s="2">
        <f ca="1"/>
        <v>54.679386711632851</v>
      </c>
      <c r="AG405" s="2">
        <f ca="1"/>
        <v>0.79800185491993281</v>
      </c>
      <c r="AH405" s="2" t="str">
        <f ca="1"/>
        <v>Bad</v>
      </c>
    </row>
    <row r="406" spans="2:34">
      <c r="B406" s="2">
        <f ca="1"/>
        <v>0.16965773016732433</v>
      </c>
      <c r="O406" s="2">
        <f ca="1"/>
        <v>-0.71855442044685391</v>
      </c>
      <c r="X406" s="2">
        <f ca="1"/>
        <v>40.749184731986517</v>
      </c>
      <c r="AG406" s="2">
        <f ca="1"/>
        <v>0.60727512034682496</v>
      </c>
      <c r="AH406" s="2" t="str">
        <f ca="1"/>
        <v>Bad</v>
      </c>
    </row>
    <row r="407" spans="2:34">
      <c r="B407" s="2">
        <f ca="1"/>
        <v>0.54941286775375198</v>
      </c>
      <c r="O407" s="2">
        <f ca="1"/>
        <v>-0.79824030994030071</v>
      </c>
      <c r="X407" s="2">
        <f ca="1"/>
        <v>65.161177821911707</v>
      </c>
      <c r="AG407" s="2">
        <f ca="1"/>
        <v>0.37738261955426378</v>
      </c>
      <c r="AH407" s="2" t="str">
        <f ca="1"/>
        <v>OK</v>
      </c>
    </row>
    <row r="408" spans="2:34">
      <c r="B408" s="2">
        <f ca="1"/>
        <v>0.43079102625067778</v>
      </c>
      <c r="O408" s="2">
        <f ca="1"/>
        <v>-0.17531912269365119</v>
      </c>
      <c r="X408" s="2">
        <f ca="1"/>
        <v>45.410057457252826</v>
      </c>
      <c r="AG408" s="2">
        <f ca="1"/>
        <v>0.131194374529229</v>
      </c>
      <c r="AH408" s="2" t="str">
        <f ca="1"/>
        <v>OK</v>
      </c>
    </row>
    <row r="409" spans="2:34">
      <c r="B409" s="2">
        <f ca="1"/>
        <v>0.52511677075981278</v>
      </c>
      <c r="O409" s="2">
        <f ca="1"/>
        <v>-1.1478843918577599</v>
      </c>
      <c r="X409" s="2">
        <f ca="1"/>
        <v>37.694932206496645</v>
      </c>
      <c r="AG409" s="2">
        <f ca="1"/>
        <v>0.11429730971524932</v>
      </c>
      <c r="AH409" s="2" t="str">
        <f ca="1"/>
        <v>OK</v>
      </c>
    </row>
    <row r="410" spans="2:34">
      <c r="B410" s="2">
        <f ca="1"/>
        <v>0.25487281069040524</v>
      </c>
      <c r="O410" s="2">
        <f ca="1"/>
        <v>0.8957338787538619</v>
      </c>
      <c r="X410" s="2">
        <f ca="1"/>
        <v>60.716824083378178</v>
      </c>
      <c r="AG410" s="2">
        <f ca="1"/>
        <v>0.14795887330337876</v>
      </c>
      <c r="AH410" s="2" t="str">
        <f ca="1"/>
        <v>OK</v>
      </c>
    </row>
    <row r="411" spans="2:34">
      <c r="B411" s="2">
        <f ca="1"/>
        <v>0.27799693329779451</v>
      </c>
      <c r="O411" s="2">
        <f ca="1"/>
        <v>0.31358698888529457</v>
      </c>
      <c r="X411" s="2">
        <f ca="1"/>
        <v>56.798790138773739</v>
      </c>
      <c r="AG411" s="2">
        <f ca="1"/>
        <v>0.63262893922140706</v>
      </c>
      <c r="AH411" s="2" t="str">
        <f ca="1"/>
        <v>Bad</v>
      </c>
    </row>
    <row r="412" spans="2:34">
      <c r="B412" s="2">
        <f ca="1"/>
        <v>0.62723581092283642</v>
      </c>
      <c r="O412" s="2">
        <f ca="1"/>
        <v>1.6005807566218819</v>
      </c>
      <c r="X412" s="2">
        <f ca="1"/>
        <v>39.868976071158862</v>
      </c>
      <c r="AG412" s="2">
        <f ca="1"/>
        <v>0.70542196074191654</v>
      </c>
      <c r="AH412" s="2" t="str">
        <f ca="1"/>
        <v>Bad</v>
      </c>
    </row>
    <row r="413" spans="2:34">
      <c r="B413" s="2">
        <f ca="1"/>
        <v>0.28308614035518342</v>
      </c>
      <c r="O413" s="2">
        <f ca="1"/>
        <v>-0.60014429188332397</v>
      </c>
      <c r="X413" s="2">
        <f ca="1"/>
        <v>55.316165271352219</v>
      </c>
      <c r="AG413" s="2">
        <f ca="1"/>
        <v>0.1803227410850019</v>
      </c>
      <c r="AH413" s="2" t="str">
        <f ca="1"/>
        <v>OK</v>
      </c>
    </row>
    <row r="414" spans="2:34">
      <c r="B414" s="2">
        <f ca="1"/>
        <v>0.73285454697113761</v>
      </c>
      <c r="O414" s="2">
        <f ca="1"/>
        <v>0.11588200601451577</v>
      </c>
      <c r="X414" s="2">
        <f ca="1"/>
        <v>39.309909732218166</v>
      </c>
      <c r="AG414" s="2">
        <f ca="1"/>
        <v>0.37680249117362452</v>
      </c>
      <c r="AH414" s="2" t="str">
        <f ca="1"/>
        <v>OK</v>
      </c>
    </row>
    <row r="415" spans="2:34">
      <c r="B415" s="2">
        <f ca="1"/>
        <v>0.45776837486826061</v>
      </c>
      <c r="O415" s="2">
        <f ca="1"/>
        <v>0.45749765316352259</v>
      </c>
      <c r="X415" s="2">
        <f ca="1"/>
        <v>30.707325445439345</v>
      </c>
      <c r="AG415" s="2">
        <f ca="1"/>
        <v>0.59897577514345457</v>
      </c>
      <c r="AH415" s="2" t="str">
        <f ca="1"/>
        <v>Bad</v>
      </c>
    </row>
    <row r="416" spans="2:34">
      <c r="B416" s="2">
        <f ca="1"/>
        <v>0.89026256770260503</v>
      </c>
      <c r="O416" s="2">
        <f ca="1"/>
        <v>1.1175075964639691</v>
      </c>
      <c r="X416" s="2">
        <f ca="1"/>
        <v>57.329297005912252</v>
      </c>
      <c r="AG416" s="2">
        <f ca="1"/>
        <v>0.8258105244834637</v>
      </c>
      <c r="AH416" s="2" t="str">
        <f ca="1"/>
        <v>Bad</v>
      </c>
    </row>
    <row r="417" spans="2:34">
      <c r="B417" s="2">
        <f ca="1"/>
        <v>0.72759350852447091</v>
      </c>
      <c r="O417" s="2">
        <f ca="1"/>
        <v>0.64894822292309984</v>
      </c>
      <c r="X417" s="2">
        <f ca="1"/>
        <v>80.702961441341387</v>
      </c>
      <c r="AG417" s="2">
        <f ca="1"/>
        <v>2.9259181245333776E-2</v>
      </c>
      <c r="AH417" s="2" t="str">
        <f ca="1"/>
        <v>Good</v>
      </c>
    </row>
    <row r="418" spans="2:34">
      <c r="B418" s="2">
        <f ca="1"/>
        <v>0.69654231139875966</v>
      </c>
      <c r="O418" s="2">
        <f ca="1"/>
        <v>-1.6153698211231335</v>
      </c>
      <c r="X418" s="2">
        <f ca="1"/>
        <v>25.528914524353507</v>
      </c>
      <c r="AG418" s="2">
        <f ca="1"/>
        <v>0.15617310275449969</v>
      </c>
      <c r="AH418" s="2" t="str">
        <f ca="1"/>
        <v>OK</v>
      </c>
    </row>
    <row r="419" spans="2:34">
      <c r="B419" s="2">
        <f ca="1"/>
        <v>0.60168223554056488</v>
      </c>
      <c r="O419" s="2">
        <f ca="1"/>
        <v>8.1655617714531753E-2</v>
      </c>
      <c r="X419" s="2">
        <f ca="1"/>
        <v>48.529142158291315</v>
      </c>
      <c r="AG419" s="2">
        <f ca="1"/>
        <v>0.2330670056597679</v>
      </c>
      <c r="AH419" s="2" t="str">
        <f ca="1"/>
        <v>OK</v>
      </c>
    </row>
    <row r="420" spans="2:34">
      <c r="B420" s="2">
        <f ca="1"/>
        <v>0.75169935476640592</v>
      </c>
      <c r="O420" s="2">
        <f ca="1"/>
        <v>0.47726732361758067</v>
      </c>
      <c r="X420" s="2">
        <f ca="1"/>
        <v>40.844268967259055</v>
      </c>
      <c r="AG420" s="2">
        <f ca="1"/>
        <v>5.5878750037777536E-2</v>
      </c>
      <c r="AH420" s="2" t="str">
        <f ca="1"/>
        <v>OK</v>
      </c>
    </row>
    <row r="421" spans="2:34">
      <c r="B421" s="2">
        <f ca="1"/>
        <v>0.60533288456264511</v>
      </c>
      <c r="O421" s="2">
        <f ca="1"/>
        <v>1.1067139792298029</v>
      </c>
      <c r="X421" s="2">
        <f ca="1"/>
        <v>46.1215439155336</v>
      </c>
      <c r="AG421" s="2">
        <f ca="1"/>
        <v>0.85821272959432493</v>
      </c>
      <c r="AH421" s="2" t="str">
        <f ca="1"/>
        <v>Bad</v>
      </c>
    </row>
    <row r="422" spans="2:34">
      <c r="B422" s="2">
        <f ca="1"/>
        <v>0.15406749793344443</v>
      </c>
      <c r="O422" s="2">
        <f ca="1"/>
        <v>-0.60809352874715383</v>
      </c>
      <c r="X422" s="2">
        <f ca="1"/>
        <v>42.053955967515293</v>
      </c>
      <c r="AG422" s="2">
        <f ca="1"/>
        <v>0.27617614934362433</v>
      </c>
      <c r="AH422" s="2" t="str">
        <f ca="1"/>
        <v>OK</v>
      </c>
    </row>
    <row r="423" spans="2:34">
      <c r="B423" s="2">
        <f ca="1"/>
        <v>0.28812693647844601</v>
      </c>
      <c r="O423" s="2">
        <f ca="1"/>
        <v>-1.3083895890849833</v>
      </c>
      <c r="X423" s="2">
        <f ca="1"/>
        <v>59.083634364806905</v>
      </c>
      <c r="AG423" s="2">
        <f ca="1"/>
        <v>0.33648693502389837</v>
      </c>
      <c r="AH423" s="2" t="str">
        <f ca="1"/>
        <v>OK</v>
      </c>
    </row>
    <row r="424" spans="2:34">
      <c r="B424" s="2">
        <f ca="1"/>
        <v>0.13863102550467499</v>
      </c>
      <c r="O424" s="2">
        <f ca="1"/>
        <v>1.4541600227382943</v>
      </c>
      <c r="X424" s="2">
        <f ca="1"/>
        <v>54.622675829563867</v>
      </c>
      <c r="AG424" s="2">
        <f ca="1"/>
        <v>7.3702230982816141E-2</v>
      </c>
      <c r="AH424" s="2" t="str">
        <f ca="1"/>
        <v>OK</v>
      </c>
    </row>
    <row r="425" spans="2:34">
      <c r="B425" s="2">
        <f ca="1"/>
        <v>0.19109411558432887</v>
      </c>
      <c r="O425" s="2">
        <f ca="1"/>
        <v>0.55367878177564078</v>
      </c>
      <c r="X425" s="2">
        <f ca="1"/>
        <v>49.057938781134979</v>
      </c>
      <c r="AG425" s="2">
        <f ca="1"/>
        <v>0.10621591094198757</v>
      </c>
      <c r="AH425" s="2" t="str">
        <f ca="1"/>
        <v>OK</v>
      </c>
    </row>
    <row r="426" spans="2:34">
      <c r="B426" s="2">
        <f ca="1"/>
        <v>0.10375938598587719</v>
      </c>
      <c r="O426" s="2">
        <f ca="1"/>
        <v>4.0489285755496547E-2</v>
      </c>
      <c r="X426" s="2">
        <f ca="1"/>
        <v>66.165940643938669</v>
      </c>
      <c r="AG426" s="2">
        <f ca="1"/>
        <v>0.25758732397805173</v>
      </c>
      <c r="AH426" s="2" t="str">
        <f ca="1"/>
        <v>OK</v>
      </c>
    </row>
    <row r="427" spans="2:34">
      <c r="B427" s="2">
        <f ca="1"/>
        <v>0.53006195075332307</v>
      </c>
      <c r="O427" s="2">
        <f ca="1"/>
        <v>0.58764765819643872</v>
      </c>
      <c r="X427" s="2">
        <f ca="1"/>
        <v>53.365813903961417</v>
      </c>
      <c r="AG427" s="2">
        <f ca="1"/>
        <v>0.32083788469558927</v>
      </c>
      <c r="AH427" s="2" t="str">
        <f ca="1"/>
        <v>OK</v>
      </c>
    </row>
    <row r="428" spans="2:34">
      <c r="B428" s="2">
        <f ca="1"/>
        <v>0.75382083786352849</v>
      </c>
      <c r="O428" s="2">
        <f ca="1"/>
        <v>-0.46697106121375431</v>
      </c>
      <c r="X428" s="2">
        <f ca="1"/>
        <v>65.623183463594103</v>
      </c>
      <c r="AG428" s="2">
        <f ca="1"/>
        <v>1.8158936902224365E-2</v>
      </c>
      <c r="AH428" s="2" t="str">
        <f ca="1"/>
        <v>Good</v>
      </c>
    </row>
    <row r="429" spans="2:34">
      <c r="B429" s="2">
        <f ca="1"/>
        <v>0.12870573617944681</v>
      </c>
      <c r="O429" s="2">
        <f ca="1"/>
        <v>-0.52471126542322188</v>
      </c>
      <c r="X429" s="2">
        <f ca="1"/>
        <v>49.264842026657803</v>
      </c>
      <c r="AG429" s="2">
        <f ca="1"/>
        <v>0.20678990446223633</v>
      </c>
      <c r="AH429" s="2" t="str">
        <f ca="1"/>
        <v>OK</v>
      </c>
    </row>
    <row r="430" spans="2:34">
      <c r="B430" s="2">
        <f ca="1"/>
        <v>0.28467096272591275</v>
      </c>
      <c r="O430" s="2">
        <f ca="1"/>
        <v>0.91043543117241543</v>
      </c>
      <c r="X430" s="2">
        <f ca="1"/>
        <v>51.356896744567877</v>
      </c>
      <c r="AG430" s="2">
        <f ca="1"/>
        <v>0.78980900677009247</v>
      </c>
      <c r="AH430" s="2" t="str">
        <f ca="1"/>
        <v>Bad</v>
      </c>
    </row>
    <row r="431" spans="2:34">
      <c r="B431" s="2">
        <f ca="1"/>
        <v>0.6888290328019484</v>
      </c>
      <c r="O431" s="2">
        <f ca="1"/>
        <v>1.7005282951898724</v>
      </c>
      <c r="X431" s="2">
        <f ca="1"/>
        <v>49.639813489746672</v>
      </c>
      <c r="AG431" s="2">
        <f ca="1"/>
        <v>0.15748682981793083</v>
      </c>
      <c r="AH431" s="2" t="str">
        <f ca="1"/>
        <v>OK</v>
      </c>
    </row>
    <row r="432" spans="2:34">
      <c r="B432" s="2">
        <f ca="1"/>
        <v>9.670208730928942E-2</v>
      </c>
      <c r="O432" s="2">
        <f ca="1"/>
        <v>8.9698416724864102E-2</v>
      </c>
      <c r="X432" s="2">
        <f ca="1"/>
        <v>49.280261812458662</v>
      </c>
      <c r="AG432" s="2">
        <f ca="1"/>
        <v>0.82592092753323954</v>
      </c>
      <c r="AH432" s="2" t="str">
        <f ca="1"/>
        <v>Bad</v>
      </c>
    </row>
    <row r="433" spans="2:34">
      <c r="B433" s="2">
        <f ca="1"/>
        <v>0.61615648405645485</v>
      </c>
      <c r="O433" s="2">
        <f ca="1"/>
        <v>-0.19344457548039026</v>
      </c>
      <c r="X433" s="2">
        <f ca="1"/>
        <v>57.15430022326661</v>
      </c>
      <c r="AG433" s="2">
        <f ca="1"/>
        <v>0.77778415106953269</v>
      </c>
      <c r="AH433" s="2" t="str">
        <f ca="1"/>
        <v>Bad</v>
      </c>
    </row>
    <row r="434" spans="2:34">
      <c r="B434" s="2">
        <f ca="1"/>
        <v>0.53554462446146323</v>
      </c>
      <c r="O434" s="2">
        <f ca="1"/>
        <v>0.22094165332023005</v>
      </c>
      <c r="X434" s="2">
        <f ca="1"/>
        <v>37.969282709468253</v>
      </c>
      <c r="AG434" s="2">
        <f ca="1"/>
        <v>0.60760358328812836</v>
      </c>
      <c r="AH434" s="2" t="str">
        <f ca="1"/>
        <v>Bad</v>
      </c>
    </row>
    <row r="435" spans="2:34">
      <c r="B435" s="2">
        <f ca="1"/>
        <v>0.16477150842695454</v>
      </c>
      <c r="O435" s="2">
        <f ca="1"/>
        <v>0.98866357969834606</v>
      </c>
      <c r="X435" s="2">
        <f ca="1"/>
        <v>55.733212468887572</v>
      </c>
      <c r="AG435" s="2">
        <f ca="1"/>
        <v>0.3648808432336863</v>
      </c>
      <c r="AH435" s="2" t="str">
        <f ca="1"/>
        <v>OK</v>
      </c>
    </row>
    <row r="436" spans="2:34">
      <c r="B436" s="2">
        <f ca="1"/>
        <v>0.69284511549014849</v>
      </c>
      <c r="O436" s="2">
        <f ca="1"/>
        <v>1.5462714604267933</v>
      </c>
      <c r="X436" s="2">
        <f ca="1"/>
        <v>49.652456991144746</v>
      </c>
      <c r="AG436" s="2">
        <f ca="1"/>
        <v>0.93607495222324277</v>
      </c>
      <c r="AH436" s="2" t="str">
        <f ca="1"/>
        <v>Bad</v>
      </c>
    </row>
    <row r="437" spans="2:34">
      <c r="B437" s="2">
        <f ca="1"/>
        <v>0.84754553276040223</v>
      </c>
      <c r="O437" s="2">
        <f ca="1"/>
        <v>0.77612269113672772</v>
      </c>
      <c r="X437" s="2">
        <f ca="1"/>
        <v>85.93906775323363</v>
      </c>
      <c r="AG437" s="2">
        <f ca="1"/>
        <v>0.48362673859646099</v>
      </c>
      <c r="AH437" s="2" t="str">
        <f ca="1"/>
        <v>Bad</v>
      </c>
    </row>
    <row r="438" spans="2:34">
      <c r="B438" s="2">
        <f ca="1"/>
        <v>0.94465027188940232</v>
      </c>
      <c r="O438" s="2">
        <f ca="1"/>
        <v>-1.3303555272421741</v>
      </c>
      <c r="X438" s="2">
        <f ca="1"/>
        <v>38.088957115435029</v>
      </c>
      <c r="AG438" s="2">
        <f ca="1"/>
        <v>0.11009370296715626</v>
      </c>
      <c r="AH438" s="2" t="str">
        <f ca="1"/>
        <v>OK</v>
      </c>
    </row>
    <row r="439" spans="2:34">
      <c r="B439" s="2">
        <f ca="1"/>
        <v>0.67109868153974017</v>
      </c>
      <c r="O439" s="2">
        <f ca="1"/>
        <v>-3.6822708522319503E-2</v>
      </c>
      <c r="X439" s="2">
        <f ca="1"/>
        <v>50.057293231584026</v>
      </c>
      <c r="AG439" s="2">
        <f ca="1"/>
        <v>0.19017054153989865</v>
      </c>
      <c r="AH439" s="2" t="str">
        <f ca="1"/>
        <v>OK</v>
      </c>
    </row>
    <row r="440" spans="2:34">
      <c r="B440" s="2">
        <f ca="1"/>
        <v>0.63543522344694647</v>
      </c>
      <c r="O440" s="2">
        <f ca="1"/>
        <v>-7.1289215704744896E-3</v>
      </c>
      <c r="X440" s="2">
        <f ca="1"/>
        <v>56.276803449806877</v>
      </c>
      <c r="AG440" s="2">
        <f ca="1"/>
        <v>0.89372367301091638</v>
      </c>
      <c r="AH440" s="2" t="str">
        <f ca="1"/>
        <v>Bad</v>
      </c>
    </row>
    <row r="441" spans="2:34">
      <c r="B441" s="2">
        <f ca="1"/>
        <v>0.44980042546692545</v>
      </c>
      <c r="O441" s="2">
        <f ca="1"/>
        <v>1.5620000272558814</v>
      </c>
      <c r="X441" s="2">
        <f ca="1"/>
        <v>40.037893236929285</v>
      </c>
      <c r="AG441" s="2">
        <f ca="1"/>
        <v>0.53864654903992615</v>
      </c>
      <c r="AH441" s="2" t="str">
        <f ca="1"/>
        <v>Bad</v>
      </c>
    </row>
    <row r="442" spans="2:34">
      <c r="B442" s="2">
        <f ca="1"/>
        <v>0.83958021321759913</v>
      </c>
      <c r="O442" s="2">
        <f ca="1"/>
        <v>-1.609869147209225</v>
      </c>
      <c r="X442" s="2">
        <f ca="1"/>
        <v>39.592152093820879</v>
      </c>
      <c r="AG442" s="2">
        <f ca="1"/>
        <v>0.4597768733493024</v>
      </c>
      <c r="AH442" s="2" t="str">
        <f ca="1"/>
        <v>Bad</v>
      </c>
    </row>
    <row r="443" spans="2:34">
      <c r="B443" s="2">
        <f ca="1"/>
        <v>0.60511695440396673</v>
      </c>
      <c r="O443" s="2">
        <f ca="1"/>
        <v>-9.0632071730574179E-2</v>
      </c>
      <c r="X443" s="2">
        <f ca="1"/>
        <v>48.717738515784525</v>
      </c>
      <c r="AG443" s="2">
        <f ca="1"/>
        <v>0.54336367783028816</v>
      </c>
      <c r="AH443" s="2" t="str">
        <f ca="1"/>
        <v>Bad</v>
      </c>
    </row>
    <row r="444" spans="2:34">
      <c r="B444" s="2">
        <f ca="1"/>
        <v>1.46500553383484E-2</v>
      </c>
      <c r="O444" s="2">
        <f ca="1"/>
        <v>0.28895691541687352</v>
      </c>
      <c r="X444" s="2">
        <f ca="1"/>
        <v>53.190970960388228</v>
      </c>
      <c r="AG444" s="2">
        <f ca="1"/>
        <v>0.33870357788457484</v>
      </c>
      <c r="AH444" s="2" t="str">
        <f ca="1"/>
        <v>OK</v>
      </c>
    </row>
    <row r="445" spans="2:34">
      <c r="B445" s="2">
        <f ca="1"/>
        <v>0.54504978342720256</v>
      </c>
      <c r="O445" s="2">
        <f ca="1"/>
        <v>7.5133753867973135E-2</v>
      </c>
      <c r="X445" s="2">
        <f ca="1"/>
        <v>40.465420892190984</v>
      </c>
      <c r="AG445" s="2">
        <f ca="1"/>
        <v>0.19586804712115735</v>
      </c>
      <c r="AH445" s="2" t="str">
        <f ca="1"/>
        <v>OK</v>
      </c>
    </row>
    <row r="446" spans="2:34">
      <c r="B446" s="2">
        <f ca="1"/>
        <v>0.46918965047249062</v>
      </c>
      <c r="O446" s="2">
        <f ca="1"/>
        <v>0.48806344372031069</v>
      </c>
      <c r="X446" s="2">
        <f ca="1"/>
        <v>50.569608027144206</v>
      </c>
      <c r="AG446" s="2">
        <f ca="1"/>
        <v>0.14082120008008325</v>
      </c>
      <c r="AH446" s="2" t="str">
        <f ca="1"/>
        <v>OK</v>
      </c>
    </row>
    <row r="447" spans="2:34">
      <c r="B447" s="2">
        <f ca="1"/>
        <v>0.30944408530136425</v>
      </c>
      <c r="O447" s="2">
        <f ca="1"/>
        <v>-0.56387646390286528</v>
      </c>
      <c r="X447" s="2">
        <f ca="1"/>
        <v>52.953530098002453</v>
      </c>
      <c r="AG447" s="2">
        <f ca="1"/>
        <v>0.15241034943532505</v>
      </c>
      <c r="AH447" s="2" t="str">
        <f ca="1"/>
        <v>OK</v>
      </c>
    </row>
    <row r="448" spans="2:34">
      <c r="B448" s="2">
        <f ca="1"/>
        <v>0.32975492357476144</v>
      </c>
      <c r="O448" s="2">
        <f ca="1"/>
        <v>1.4839521384463958</v>
      </c>
      <c r="X448" s="2">
        <f ca="1"/>
        <v>51.142572882309246</v>
      </c>
      <c r="AG448" s="2">
        <f ca="1"/>
        <v>0.34486008581352823</v>
      </c>
      <c r="AH448" s="2" t="str">
        <f ca="1"/>
        <v>OK</v>
      </c>
    </row>
    <row r="449" spans="2:34">
      <c r="B449" s="2">
        <f ca="1"/>
        <v>5.4732960590833102E-3</v>
      </c>
      <c r="O449" s="2">
        <f ca="1"/>
        <v>0.19520177125756463</v>
      </c>
      <c r="X449" s="2">
        <f ca="1"/>
        <v>52.981094263004856</v>
      </c>
      <c r="AG449" s="2">
        <f ca="1"/>
        <v>0.20893598577368833</v>
      </c>
      <c r="AH449" s="2" t="str">
        <f ca="1"/>
        <v>OK</v>
      </c>
    </row>
    <row r="450" spans="2:34">
      <c r="B450" s="2">
        <f ca="1"/>
        <v>0.73082746452795533</v>
      </c>
      <c r="O450" s="2">
        <f ca="1"/>
        <v>0.80156337036115588</v>
      </c>
      <c r="X450" s="2">
        <f ca="1"/>
        <v>29.800295737121569</v>
      </c>
      <c r="AG450" s="2">
        <f ca="1"/>
        <v>0.61370957600869525</v>
      </c>
      <c r="AH450" s="2" t="str">
        <f ca="1"/>
        <v>Bad</v>
      </c>
    </row>
    <row r="451" spans="2:34">
      <c r="B451" s="2">
        <f ca="1"/>
        <v>0.87268566811360127</v>
      </c>
      <c r="O451" s="2">
        <f ca="1"/>
        <v>0.79481668237168146</v>
      </c>
      <c r="X451" s="2">
        <f ca="1"/>
        <v>42.73998751599801</v>
      </c>
      <c r="AG451" s="2">
        <f ca="1"/>
        <v>0.97182736354883836</v>
      </c>
      <c r="AH451" s="2" t="str">
        <f ca="1"/>
        <v>Bad</v>
      </c>
    </row>
    <row r="452" spans="2:34">
      <c r="B452" s="2">
        <f ca="1"/>
        <v>0.91160036321311777</v>
      </c>
      <c r="O452" s="2">
        <f ca="1"/>
        <v>-0.12471329667932385</v>
      </c>
      <c r="X452" s="2">
        <f ca="1"/>
        <v>41.597089504026819</v>
      </c>
      <c r="AG452" s="2">
        <f ca="1"/>
        <v>0.19106278833757284</v>
      </c>
      <c r="AH452" s="2" t="str">
        <f ca="1"/>
        <v>OK</v>
      </c>
    </row>
    <row r="453" spans="2:34">
      <c r="B453" s="2">
        <f ca="1"/>
        <v>0.98589556006942747</v>
      </c>
      <c r="O453" s="2">
        <f ca="1"/>
        <v>0.71642386862720064</v>
      </c>
      <c r="X453" s="2">
        <f ca="1"/>
        <v>51.897513429929376</v>
      </c>
      <c r="AG453" s="2">
        <f ca="1"/>
        <v>0.13364563034060395</v>
      </c>
      <c r="AH453" s="2" t="str">
        <f ca="1"/>
        <v>OK</v>
      </c>
    </row>
    <row r="454" spans="2:34">
      <c r="B454" s="2">
        <f ca="1"/>
        <v>0.95610310109987529</v>
      </c>
      <c r="O454" s="2">
        <f ca="1"/>
        <v>1.1910505425974243</v>
      </c>
      <c r="X454" s="2">
        <f ca="1"/>
        <v>32.006253443446646</v>
      </c>
      <c r="AG454" s="2">
        <f ca="1"/>
        <v>0.99021036501587756</v>
      </c>
      <c r="AH454" s="2" t="str">
        <f ca="1"/>
        <v>Bad</v>
      </c>
    </row>
    <row r="455" spans="2:34">
      <c r="B455" s="2">
        <f ca="1"/>
        <v>0.55216166624392704</v>
      </c>
      <c r="O455" s="2">
        <f ca="1"/>
        <v>-0.84452166594950484</v>
      </c>
      <c r="X455" s="2">
        <f ca="1"/>
        <v>23.585791281232183</v>
      </c>
      <c r="AG455" s="2">
        <f ca="1"/>
        <v>0.43236563839912989</v>
      </c>
      <c r="AH455" s="2" t="str">
        <f ca="1"/>
        <v>Bad</v>
      </c>
    </row>
    <row r="456" spans="2:34">
      <c r="B456" s="2">
        <f ca="1"/>
        <v>0.29041727974129028</v>
      </c>
      <c r="O456" s="2">
        <f ca="1"/>
        <v>-1.1072633468684363</v>
      </c>
      <c r="X456" s="2">
        <f ca="1"/>
        <v>56.683001568672992</v>
      </c>
      <c r="AG456" s="2">
        <f ca="1"/>
        <v>0.71124705294866586</v>
      </c>
      <c r="AH456" s="2" t="str">
        <f ca="1"/>
        <v>Bad</v>
      </c>
    </row>
    <row r="457" spans="2:34">
      <c r="B457" s="2">
        <f ca="1"/>
        <v>0.10871491456271487</v>
      </c>
      <c r="O457" s="2">
        <f ca="1"/>
        <v>-9.1178426274096794E-2</v>
      </c>
      <c r="X457" s="2">
        <f ca="1"/>
        <v>69.701160294167821</v>
      </c>
      <c r="AG457" s="2">
        <f ca="1"/>
        <v>0.85766198974297181</v>
      </c>
      <c r="AH457" s="2" t="str">
        <f ca="1"/>
        <v>Bad</v>
      </c>
    </row>
    <row r="458" spans="2:34">
      <c r="B458" s="2">
        <f ca="1"/>
        <v>0.72330532774600353</v>
      </c>
      <c r="O458" s="2">
        <f ca="1"/>
        <v>-0.37555757424167835</v>
      </c>
      <c r="X458" s="2">
        <f ca="1"/>
        <v>42.400079006781546</v>
      </c>
      <c r="AG458" s="2">
        <f ca="1"/>
        <v>0.36373949267514893</v>
      </c>
      <c r="AH458" s="2" t="str">
        <f ca="1"/>
        <v>OK</v>
      </c>
    </row>
    <row r="459" spans="2:34">
      <c r="B459" s="2">
        <f ca="1"/>
        <v>0.21300347108315965</v>
      </c>
      <c r="O459" s="2">
        <f ca="1"/>
        <v>-0.2837497996715303</v>
      </c>
      <c r="X459" s="2">
        <f ca="1"/>
        <v>39.285382169898469</v>
      </c>
      <c r="AG459" s="2">
        <f ca="1"/>
        <v>0.6737258471342682</v>
      </c>
      <c r="AH459" s="2" t="str">
        <f ca="1"/>
        <v>Bad</v>
      </c>
    </row>
    <row r="460" spans="2:34">
      <c r="B460" s="2">
        <f ca="1"/>
        <v>0.96062311894310359</v>
      </c>
      <c r="O460" s="2">
        <f ca="1"/>
        <v>-0.64968018155134166</v>
      </c>
      <c r="X460" s="2">
        <f ca="1"/>
        <v>41.098378820804847</v>
      </c>
      <c r="AG460" s="2">
        <f ca="1"/>
        <v>0.56549657142793386</v>
      </c>
      <c r="AH460" s="2" t="str">
        <f ca="1"/>
        <v>Bad</v>
      </c>
    </row>
    <row r="461" spans="2:34">
      <c r="B461" s="2">
        <f ca="1"/>
        <v>0.58153383145637116</v>
      </c>
      <c r="O461" s="2">
        <f ca="1"/>
        <v>-0.27503859087038385</v>
      </c>
      <c r="X461" s="2">
        <f ca="1"/>
        <v>48.08388321229981</v>
      </c>
      <c r="AG461" s="2">
        <f ca="1"/>
        <v>0.90588039126379161</v>
      </c>
      <c r="AH461" s="2" t="str">
        <f ca="1"/>
        <v>Bad</v>
      </c>
    </row>
    <row r="462" spans="2:34">
      <c r="B462" s="2">
        <f ca="1"/>
        <v>0.46975759555773089</v>
      </c>
      <c r="O462" s="2">
        <f ca="1"/>
        <v>0.41743410228382682</v>
      </c>
      <c r="X462" s="2">
        <f ca="1"/>
        <v>43.425211463819679</v>
      </c>
      <c r="AG462" s="2">
        <f ca="1"/>
        <v>0.72747135130659846</v>
      </c>
      <c r="AH462" s="2" t="str">
        <f ca="1"/>
        <v>Bad</v>
      </c>
    </row>
    <row r="463" spans="2:34">
      <c r="B463" s="2">
        <f ca="1"/>
        <v>0.24010294735168736</v>
      </c>
      <c r="O463" s="2">
        <f ca="1"/>
        <v>-1.0163113228088034</v>
      </c>
      <c r="X463" s="2">
        <f ca="1"/>
        <v>29.926130830594278</v>
      </c>
      <c r="AG463" s="2">
        <f ca="1"/>
        <v>0.66811771137283116</v>
      </c>
      <c r="AH463" s="2" t="str">
        <f ca="1"/>
        <v>Bad</v>
      </c>
    </row>
    <row r="464" spans="2:34">
      <c r="B464" s="2">
        <f ca="1"/>
        <v>0.17966266250145124</v>
      </c>
      <c r="O464" s="2">
        <f ca="1"/>
        <v>0.46774473545580036</v>
      </c>
      <c r="X464" s="2">
        <f ca="1"/>
        <v>45.199644877878207</v>
      </c>
      <c r="AG464" s="2">
        <f ca="1"/>
        <v>0.81157511163904106</v>
      </c>
      <c r="AH464" s="2" t="str">
        <f ca="1"/>
        <v>Bad</v>
      </c>
    </row>
    <row r="465" spans="2:34">
      <c r="B465" s="2">
        <f ca="1"/>
        <v>1.5678282141224908E-3</v>
      </c>
      <c r="O465" s="2">
        <f ca="1"/>
        <v>0.57759813819915007</v>
      </c>
      <c r="X465" s="2">
        <f ca="1"/>
        <v>42.36256743348391</v>
      </c>
      <c r="AG465" s="2">
        <f ca="1"/>
        <v>0.89346123160938284</v>
      </c>
      <c r="AH465" s="2" t="str">
        <f ca="1"/>
        <v>Bad</v>
      </c>
    </row>
    <row r="466" spans="2:34">
      <c r="B466" s="2">
        <f ca="1"/>
        <v>0.20065920959923922</v>
      </c>
      <c r="O466" s="2">
        <f ca="1"/>
        <v>-0.10137834038134944</v>
      </c>
      <c r="X466" s="2">
        <f ca="1"/>
        <v>59.115699750455576</v>
      </c>
      <c r="AG466" s="2">
        <f ca="1"/>
        <v>0.38184659326645742</v>
      </c>
      <c r="AH466" s="2" t="str">
        <f ca="1"/>
        <v>OK</v>
      </c>
    </row>
    <row r="467" spans="2:34">
      <c r="B467" s="2">
        <f ca="1"/>
        <v>0.78587172818715034</v>
      </c>
      <c r="O467" s="2">
        <f ca="1"/>
        <v>-0.53901184012040071</v>
      </c>
      <c r="X467" s="2">
        <f ca="1"/>
        <v>50.343213492575913</v>
      </c>
      <c r="AG467" s="2">
        <f ca="1"/>
        <v>0.47086979906142679</v>
      </c>
      <c r="AH467" s="2" t="str">
        <f ca="1"/>
        <v>Bad</v>
      </c>
    </row>
    <row r="468" spans="2:34">
      <c r="B468" s="2">
        <f ca="1"/>
        <v>0.93931230327344628</v>
      </c>
      <c r="O468" s="2">
        <f ca="1"/>
        <v>-0.13705351559103837</v>
      </c>
      <c r="X468" s="2">
        <f ca="1"/>
        <v>46.062767669021973</v>
      </c>
      <c r="AG468" s="2">
        <f ca="1"/>
        <v>0.27708369995593007</v>
      </c>
      <c r="AH468" s="2" t="str">
        <f ca="1"/>
        <v>OK</v>
      </c>
    </row>
    <row r="469" spans="2:34">
      <c r="B469" s="2">
        <f ca="1"/>
        <v>0.88063705494721356</v>
      </c>
      <c r="O469" s="2">
        <f ca="1"/>
        <v>2.3377380142797346</v>
      </c>
      <c r="X469" s="2">
        <f ca="1"/>
        <v>35.762265693634795</v>
      </c>
      <c r="AG469" s="2">
        <f ca="1"/>
        <v>7.341124479193728E-2</v>
      </c>
      <c r="AH469" s="2" t="str">
        <f ca="1"/>
        <v>OK</v>
      </c>
    </row>
    <row r="470" spans="2:34">
      <c r="B470" s="2">
        <f ca="1"/>
        <v>4.0959667292678414E-2</v>
      </c>
      <c r="O470" s="2">
        <f ca="1"/>
        <v>0.39157501865378069</v>
      </c>
      <c r="X470" s="2">
        <f ca="1"/>
        <v>32.636709035054778</v>
      </c>
      <c r="AG470" s="2">
        <f ca="1"/>
        <v>0.42624912560324746</v>
      </c>
      <c r="AH470" s="2" t="str">
        <f ca="1"/>
        <v>Bad</v>
      </c>
    </row>
    <row r="471" spans="2:34">
      <c r="B471" s="2">
        <f ca="1"/>
        <v>9.5707365570490532E-2</v>
      </c>
      <c r="O471" s="2">
        <f ca="1"/>
        <v>1.8378156923048896</v>
      </c>
      <c r="X471" s="2">
        <f ca="1"/>
        <v>70.203342630604837</v>
      </c>
      <c r="AG471" s="2">
        <f ca="1"/>
        <v>0.81521297953786842</v>
      </c>
      <c r="AH471" s="2" t="str">
        <f ca="1"/>
        <v>Bad</v>
      </c>
    </row>
    <row r="472" spans="2:34">
      <c r="B472" s="2">
        <f ca="1"/>
        <v>8.6623824116353498E-2</v>
      </c>
      <c r="O472" s="2">
        <f ca="1"/>
        <v>-0.46549733980475011</v>
      </c>
      <c r="X472" s="2">
        <f ca="1"/>
        <v>42.823331074305614</v>
      </c>
      <c r="AG472" s="2">
        <f ca="1"/>
        <v>0.60882240965441525</v>
      </c>
      <c r="AH472" s="2" t="str">
        <f ca="1"/>
        <v>Bad</v>
      </c>
    </row>
    <row r="473" spans="2:34">
      <c r="B473" s="2">
        <f ca="1"/>
        <v>0.58001315374794715</v>
      </c>
      <c r="O473" s="2">
        <f ca="1"/>
        <v>-8.0069479813788563E-2</v>
      </c>
      <c r="X473" s="2">
        <f ca="1"/>
        <v>45.000772015894185</v>
      </c>
      <c r="AG473" s="2">
        <f ca="1"/>
        <v>0.79983882378511373</v>
      </c>
      <c r="AH473" s="2" t="str">
        <f ca="1"/>
        <v>Bad</v>
      </c>
    </row>
    <row r="474" spans="2:34">
      <c r="B474" s="2">
        <f ca="1"/>
        <v>0.28586967760912141</v>
      </c>
      <c r="O474" s="2">
        <f ca="1"/>
        <v>2.6163332067357072E-2</v>
      </c>
      <c r="X474" s="2">
        <f ca="1"/>
        <v>60.950402371795562</v>
      </c>
      <c r="AG474" s="2">
        <f ca="1"/>
        <v>0.81577292721603567</v>
      </c>
      <c r="AH474" s="2" t="str">
        <f ca="1"/>
        <v>Bad</v>
      </c>
    </row>
    <row r="475" spans="2:34">
      <c r="B475" s="2">
        <f ca="1"/>
        <v>0.79376626989414256</v>
      </c>
      <c r="O475" s="2">
        <f ca="1"/>
        <v>-0.31883033715874315</v>
      </c>
      <c r="X475" s="2">
        <f ca="1"/>
        <v>39.218297168019369</v>
      </c>
      <c r="AG475" s="2">
        <f ca="1"/>
        <v>0.74882733092051201</v>
      </c>
      <c r="AH475" s="2" t="str">
        <f ca="1"/>
        <v>Bad</v>
      </c>
    </row>
    <row r="476" spans="2:34">
      <c r="B476" s="2">
        <f ca="1"/>
        <v>0.66448015847464004</v>
      </c>
      <c r="O476" s="2">
        <f ca="1"/>
        <v>0.37318022086710068</v>
      </c>
      <c r="X476" s="2">
        <f ca="1"/>
        <v>41.548281791084129</v>
      </c>
      <c r="AG476" s="2">
        <f ca="1"/>
        <v>0.27472300738803512</v>
      </c>
      <c r="AH476" s="2" t="str">
        <f ca="1"/>
        <v>OK</v>
      </c>
    </row>
    <row r="477" spans="2:34">
      <c r="B477" s="2">
        <f ca="1"/>
        <v>0.44550156326681267</v>
      </c>
      <c r="O477" s="2">
        <f ca="1"/>
        <v>1.3945158412443937</v>
      </c>
      <c r="X477" s="2">
        <f ca="1"/>
        <v>71.708233812937294</v>
      </c>
      <c r="AG477" s="2">
        <f ca="1"/>
        <v>0.6495615958665073</v>
      </c>
      <c r="AH477" s="2" t="str">
        <f ca="1"/>
        <v>Bad</v>
      </c>
    </row>
    <row r="478" spans="2:34">
      <c r="B478" s="2">
        <f ca="1"/>
        <v>0.22875122370555467</v>
      </c>
      <c r="O478" s="2">
        <f ca="1"/>
        <v>0.37621358140129324</v>
      </c>
      <c r="X478" s="2">
        <f ca="1"/>
        <v>55.694923566759428</v>
      </c>
      <c r="AG478" s="2">
        <f ca="1"/>
        <v>0.69202353371246161</v>
      </c>
      <c r="AH478" s="2" t="str">
        <f ca="1"/>
        <v>Bad</v>
      </c>
    </row>
    <row r="479" spans="2:34">
      <c r="B479" s="2">
        <f ca="1"/>
        <v>0.84635408666932976</v>
      </c>
      <c r="O479" s="2">
        <f ca="1"/>
        <v>-0.47969866456217297</v>
      </c>
      <c r="X479" s="2">
        <f ca="1"/>
        <v>41.630854415053093</v>
      </c>
      <c r="AG479" s="2">
        <f ca="1"/>
        <v>0.22806543367733267</v>
      </c>
      <c r="AH479" s="2" t="str">
        <f ca="1"/>
        <v>OK</v>
      </c>
    </row>
    <row r="480" spans="2:34">
      <c r="B480" s="2">
        <f ca="1"/>
        <v>0.10258493572434912</v>
      </c>
      <c r="O480" s="2">
        <f ca="1"/>
        <v>-9.4371398100158072E-2</v>
      </c>
      <c r="X480" s="2">
        <f ca="1"/>
        <v>64.895765891121869</v>
      </c>
      <c r="AG480" s="2">
        <f ca="1"/>
        <v>0.83921395860607961</v>
      </c>
      <c r="AH480" s="2" t="str">
        <f ca="1"/>
        <v>Bad</v>
      </c>
    </row>
    <row r="481" spans="2:34">
      <c r="B481" s="2">
        <f ca="1"/>
        <v>7.923787552423156E-2</v>
      </c>
      <c r="O481" s="2">
        <f ca="1"/>
        <v>1.4662635863688906</v>
      </c>
      <c r="X481" s="2">
        <f ca="1"/>
        <v>42.006859355238966</v>
      </c>
      <c r="AG481" s="2">
        <f ca="1"/>
        <v>0.52047149145399163</v>
      </c>
      <c r="AH481" s="2" t="str">
        <f ca="1"/>
        <v>Bad</v>
      </c>
    </row>
    <row r="482" spans="2:34">
      <c r="B482" s="2">
        <f ca="1"/>
        <v>0.51540046297092812</v>
      </c>
      <c r="O482" s="2">
        <f ca="1"/>
        <v>-0.27022641479312642</v>
      </c>
      <c r="X482" s="2">
        <f ca="1"/>
        <v>55.088136336154491</v>
      </c>
      <c r="AG482" s="2">
        <f ca="1"/>
        <v>0.8522145308886846</v>
      </c>
      <c r="AH482" s="2" t="str">
        <f ca="1"/>
        <v>Bad</v>
      </c>
    </row>
    <row r="483" spans="2:34">
      <c r="B483" s="2">
        <f ca="1"/>
        <v>0.47167056000146612</v>
      </c>
      <c r="O483" s="2">
        <f ca="1"/>
        <v>-0.56145560078645718</v>
      </c>
      <c r="X483" s="2">
        <f ca="1"/>
        <v>51.189257105252786</v>
      </c>
      <c r="AG483" s="2">
        <f ca="1"/>
        <v>0.28662708103478507</v>
      </c>
      <c r="AH483" s="2" t="str">
        <f ca="1"/>
        <v>OK</v>
      </c>
    </row>
    <row r="484" spans="2:34">
      <c r="B484" s="2">
        <f ca="1"/>
        <v>0.5919504026866953</v>
      </c>
      <c r="O484" s="2">
        <f ca="1"/>
        <v>-0.33603452566470826</v>
      </c>
      <c r="X484" s="2">
        <f ca="1"/>
        <v>38.360098735824721</v>
      </c>
      <c r="AG484" s="2">
        <f ca="1"/>
        <v>0.2541115457637797</v>
      </c>
      <c r="AH484" s="2" t="str">
        <f ca="1"/>
        <v>OK</v>
      </c>
    </row>
    <row r="485" spans="2:34">
      <c r="B485" s="2">
        <f ca="1"/>
        <v>9.904863016778287E-2</v>
      </c>
      <c r="O485" s="2">
        <f ca="1"/>
        <v>-0.83011681088408773</v>
      </c>
      <c r="X485" s="2">
        <f ca="1"/>
        <v>82.350155814494471</v>
      </c>
      <c r="AG485" s="2">
        <f ca="1"/>
        <v>0.84000053397121488</v>
      </c>
      <c r="AH485" s="2" t="str">
        <f ca="1"/>
        <v>Bad</v>
      </c>
    </row>
    <row r="486" spans="2:34">
      <c r="B486" s="2">
        <f ca="1"/>
        <v>0.14850102020646738</v>
      </c>
      <c r="O486" s="2">
        <f ca="1"/>
        <v>0.62610959291888502</v>
      </c>
      <c r="X486" s="2">
        <f ca="1"/>
        <v>71.718082471503394</v>
      </c>
      <c r="AG486" s="2">
        <f ca="1"/>
        <v>0.56423221259502898</v>
      </c>
      <c r="AH486" s="2" t="str">
        <f ca="1"/>
        <v>Bad</v>
      </c>
    </row>
    <row r="487" spans="2:34">
      <c r="B487" s="2">
        <f ca="1"/>
        <v>0.80299669420540098</v>
      </c>
      <c r="O487" s="2">
        <f ca="1"/>
        <v>-1.3668748276500833</v>
      </c>
      <c r="X487" s="2">
        <f ca="1"/>
        <v>35.732560079418143</v>
      </c>
      <c r="AG487" s="2">
        <f ca="1"/>
        <v>0.69560100264261626</v>
      </c>
      <c r="AH487" s="2" t="str">
        <f ca="1"/>
        <v>Bad</v>
      </c>
    </row>
    <row r="488" spans="2:34">
      <c r="B488" s="2">
        <f ca="1"/>
        <v>0.62814085258823371</v>
      </c>
      <c r="O488" s="2">
        <f ca="1"/>
        <v>0.30975425224322023</v>
      </c>
      <c r="X488" s="2">
        <f ca="1"/>
        <v>52.634424508370032</v>
      </c>
      <c r="AG488" s="2">
        <f ca="1"/>
        <v>0.49727470646094196</v>
      </c>
      <c r="AH488" s="2" t="str">
        <f ca="1"/>
        <v>Bad</v>
      </c>
    </row>
    <row r="489" spans="2:34">
      <c r="B489" s="2">
        <f ca="1"/>
        <v>0.90036169140901401</v>
      </c>
      <c r="O489" s="2">
        <f ca="1"/>
        <v>1.0465610823012725</v>
      </c>
      <c r="X489" s="2">
        <f ca="1"/>
        <v>63.632479254190429</v>
      </c>
      <c r="AG489" s="2">
        <f ca="1"/>
        <v>0.42277491772999731</v>
      </c>
      <c r="AH489" s="2" t="str">
        <f ca="1"/>
        <v>Bad</v>
      </c>
    </row>
    <row r="490" spans="2:34">
      <c r="B490" s="2">
        <f ca="1"/>
        <v>0.86816019567661384</v>
      </c>
      <c r="O490" s="2">
        <f ca="1"/>
        <v>0.546453617308858</v>
      </c>
      <c r="X490" s="2">
        <f ca="1"/>
        <v>46.786860183121959</v>
      </c>
      <c r="AG490" s="2">
        <f ca="1"/>
        <v>0.72215143645555679</v>
      </c>
      <c r="AH490" s="2" t="str">
        <f ca="1"/>
        <v>Bad</v>
      </c>
    </row>
    <row r="491" spans="2:34">
      <c r="B491" s="2">
        <f ca="1"/>
        <v>0.96361195573656033</v>
      </c>
      <c r="O491" s="2">
        <f ca="1"/>
        <v>-0.29821497064682384</v>
      </c>
      <c r="X491" s="2">
        <f ca="1"/>
        <v>37.545942354308501</v>
      </c>
      <c r="AG491" s="2">
        <f ca="1"/>
        <v>0.11786826664447458</v>
      </c>
      <c r="AH491" s="2" t="str">
        <f ca="1"/>
        <v>OK</v>
      </c>
    </row>
    <row r="492" spans="2:34">
      <c r="B492" s="2">
        <f ca="1"/>
        <v>0.81072921661192598</v>
      </c>
      <c r="O492" s="2">
        <f ca="1"/>
        <v>-0.93441682727387076</v>
      </c>
      <c r="X492" s="2">
        <f ca="1"/>
        <v>54.981402923701211</v>
      </c>
      <c r="AG492" s="2">
        <f ca="1"/>
        <v>0.44172261491500397</v>
      </c>
      <c r="AH492" s="2" t="str">
        <f ca="1"/>
        <v>Bad</v>
      </c>
    </row>
    <row r="493" spans="2:34">
      <c r="B493" s="2">
        <f ca="1"/>
        <v>0.10690875472817685</v>
      </c>
      <c r="O493" s="2">
        <f ca="1"/>
        <v>-0.68257991552945196</v>
      </c>
      <c r="X493" s="2">
        <f ca="1"/>
        <v>67.590233876261138</v>
      </c>
      <c r="AG493" s="2">
        <f ca="1"/>
        <v>6.9742643372679769E-2</v>
      </c>
      <c r="AH493" s="2" t="str">
        <f ca="1"/>
        <v>OK</v>
      </c>
    </row>
    <row r="494" spans="2:34">
      <c r="B494" s="2">
        <f ca="1"/>
        <v>0.32023870386252229</v>
      </c>
      <c r="O494" s="2">
        <f ca="1"/>
        <v>0.7967505472933929</v>
      </c>
      <c r="X494" s="2">
        <f ca="1"/>
        <v>43.505733672157874</v>
      </c>
      <c r="AG494" s="2">
        <f ca="1"/>
        <v>0.97189813641771217</v>
      </c>
      <c r="AH494" s="2" t="str">
        <f ca="1"/>
        <v>Bad</v>
      </c>
    </row>
    <row r="495" spans="2:34">
      <c r="B495" s="2">
        <f ca="1"/>
        <v>0.52208576463453649</v>
      </c>
      <c r="O495" s="2">
        <f ca="1"/>
        <v>1.6152671045663589</v>
      </c>
      <c r="X495" s="2">
        <f ca="1"/>
        <v>45.939287780643866</v>
      </c>
      <c r="AG495" s="2">
        <f ca="1"/>
        <v>0.35994461968376568</v>
      </c>
      <c r="AH495" s="2" t="str">
        <f ca="1"/>
        <v>OK</v>
      </c>
    </row>
    <row r="496" spans="2:34">
      <c r="B496" s="2">
        <f ca="1"/>
        <v>0.9463124961821392</v>
      </c>
      <c r="O496" s="2">
        <f ca="1"/>
        <v>-0.36786161962881325</v>
      </c>
      <c r="X496" s="2">
        <f ca="1"/>
        <v>51.401363725027224</v>
      </c>
      <c r="AG496" s="2">
        <f ca="1"/>
        <v>0.57824519202314284</v>
      </c>
      <c r="AH496" s="2" t="str">
        <f ca="1"/>
        <v>Bad</v>
      </c>
    </row>
    <row r="497" spans="2:34">
      <c r="B497" s="2">
        <f ca="1"/>
        <v>0.48052936060556606</v>
      </c>
      <c r="O497" s="2">
        <f ca="1"/>
        <v>0.9792626478848806</v>
      </c>
      <c r="X497" s="2">
        <f ca="1"/>
        <v>42.024553192908044</v>
      </c>
      <c r="AG497" s="2">
        <f ca="1"/>
        <v>0.39763738756203981</v>
      </c>
      <c r="AH497" s="2" t="str">
        <f ca="1"/>
        <v>OK</v>
      </c>
    </row>
    <row r="498" spans="2:34">
      <c r="B498" s="2">
        <f ca="1"/>
        <v>0.41537041500117411</v>
      </c>
      <c r="O498" s="2">
        <f ca="1"/>
        <v>7.3090895187366584E-2</v>
      </c>
      <c r="X498" s="2">
        <f ca="1"/>
        <v>58.711895210691964</v>
      </c>
      <c r="AG498" s="2">
        <f ca="1"/>
        <v>0.42509514338394983</v>
      </c>
      <c r="AH498" s="2" t="str">
        <f ca="1"/>
        <v>Bad</v>
      </c>
    </row>
    <row r="499" spans="2:34">
      <c r="B499" s="2">
        <f ca="1"/>
        <v>0.73010248367964459</v>
      </c>
      <c r="O499" s="2">
        <f ca="1"/>
        <v>-0.16690601061711846</v>
      </c>
      <c r="X499" s="2">
        <f ca="1"/>
        <v>41.264031393311541</v>
      </c>
      <c r="AG499" s="2">
        <f ca="1"/>
        <v>0.64804447575642365</v>
      </c>
      <c r="AH499" s="2" t="str">
        <f ca="1"/>
        <v>Bad</v>
      </c>
    </row>
    <row r="500" spans="2:34">
      <c r="B500" s="2">
        <f ca="1"/>
        <v>0.1008155067375498</v>
      </c>
      <c r="O500" s="2">
        <f ca="1"/>
        <v>0.40639285450385942</v>
      </c>
      <c r="X500" s="2">
        <f ca="1"/>
        <v>41.501779708391254</v>
      </c>
      <c r="AG500" s="2">
        <f ca="1"/>
        <v>0.38773570614449526</v>
      </c>
      <c r="AH500" s="2" t="str">
        <f ca="1"/>
        <v>OK</v>
      </c>
    </row>
    <row r="501" spans="2:34">
      <c r="B501" s="2">
        <f ca="1"/>
        <v>0.54103477045502135</v>
      </c>
      <c r="O501" s="2">
        <f ca="1"/>
        <v>-0.95945627408209566</v>
      </c>
      <c r="X501" s="2">
        <f ca="1"/>
        <v>46.688684399933379</v>
      </c>
      <c r="AG501" s="2">
        <f ca="1"/>
        <v>0.52150424058616962</v>
      </c>
      <c r="AH501" s="2" t="str">
        <f ca="1"/>
        <v>Bad</v>
      </c>
    </row>
    <row r="502" spans="2:34">
      <c r="B502" s="2">
        <f ca="1"/>
        <v>0.70868385111896193</v>
      </c>
      <c r="O502" s="2">
        <f ca="1"/>
        <v>0.14730315128043164</v>
      </c>
      <c r="X502" s="2">
        <f ca="1"/>
        <v>31.980224609205436</v>
      </c>
      <c r="AG502" s="2">
        <f ca="1"/>
        <v>0.88838829053913493</v>
      </c>
      <c r="AH502" s="2" t="str">
        <f ca="1"/>
        <v>Bad</v>
      </c>
    </row>
    <row r="503" spans="2:34">
      <c r="B503" s="2">
        <f ca="1"/>
        <v>0.31768986853040526</v>
      </c>
      <c r="O503" s="2">
        <f ca="1"/>
        <v>1.1516513700735362</v>
      </c>
      <c r="X503" s="2">
        <f ca="1"/>
        <v>45.689534415920761</v>
      </c>
      <c r="AG503" s="2">
        <f ca="1"/>
        <v>0.45526701346844334</v>
      </c>
      <c r="AH503" s="2" t="str">
        <f ca="1"/>
        <v>Bad</v>
      </c>
    </row>
    <row r="504" spans="2:34">
      <c r="B504" s="2">
        <f ca="1"/>
        <v>0.41718673289605923</v>
      </c>
      <c r="O504" s="2">
        <f ca="1"/>
        <v>-0.71338805819706053</v>
      </c>
      <c r="X504" s="2">
        <f ca="1"/>
        <v>54.946594495240369</v>
      </c>
      <c r="AG504" s="2">
        <f ca="1"/>
        <v>3.3018658060316231E-2</v>
      </c>
      <c r="AH504" s="2" t="str">
        <f ca="1"/>
        <v>Good</v>
      </c>
    </row>
    <row r="505" spans="2:34">
      <c r="B505" s="2">
        <f ca="1"/>
        <v>0.82787896210458611</v>
      </c>
      <c r="O505" s="2">
        <f ca="1"/>
        <v>0.97669192889485845</v>
      </c>
      <c r="X505" s="2">
        <f ca="1"/>
        <v>58.817277789263102</v>
      </c>
      <c r="AG505" s="2">
        <f ca="1"/>
        <v>0.26727779656309369</v>
      </c>
      <c r="AH505" s="2" t="str">
        <f ca="1"/>
        <v>OK</v>
      </c>
    </row>
    <row r="506" spans="2:34">
      <c r="B506" s="2">
        <f ca="1"/>
        <v>0.24223606635493122</v>
      </c>
      <c r="O506" s="2">
        <f ca="1"/>
        <v>1.2249139653493382</v>
      </c>
      <c r="X506" s="2">
        <f ca="1"/>
        <v>40.715864264928719</v>
      </c>
      <c r="AG506" s="2">
        <f ca="1"/>
        <v>0.90172313738794108</v>
      </c>
      <c r="AH506" s="2" t="str">
        <f ca="1"/>
        <v>Bad</v>
      </c>
    </row>
    <row r="507" spans="2:34">
      <c r="B507" s="2">
        <f ca="1"/>
        <v>0.41262219655439214</v>
      </c>
      <c r="O507" s="2">
        <f ca="1"/>
        <v>-1.28475623098559</v>
      </c>
      <c r="X507" s="2">
        <f ca="1"/>
        <v>32.791153255445799</v>
      </c>
      <c r="AG507" s="2">
        <f ca="1"/>
        <v>0.17380035602119204</v>
      </c>
      <c r="AH507" s="2" t="str">
        <f ca="1"/>
        <v>OK</v>
      </c>
    </row>
    <row r="508" spans="2:34">
      <c r="B508" s="2">
        <f ca="1"/>
        <v>0.67575056209836748</v>
      </c>
      <c r="O508" s="2">
        <f ca="1"/>
        <v>-0.34163678174755457</v>
      </c>
      <c r="X508" s="2">
        <f ca="1"/>
        <v>34.180129735522499</v>
      </c>
      <c r="AG508" s="2">
        <f ca="1"/>
        <v>0.79514475118916539</v>
      </c>
      <c r="AH508" s="2" t="str">
        <f ca="1"/>
        <v>Bad</v>
      </c>
    </row>
    <row r="509" spans="2:34">
      <c r="B509" s="2">
        <f ca="1"/>
        <v>0.69096636006760237</v>
      </c>
      <c r="O509" s="2">
        <f ca="1"/>
        <v>-2.4759742691146625</v>
      </c>
      <c r="X509" s="2">
        <f ca="1"/>
        <v>26.126788594924065</v>
      </c>
      <c r="AG509" s="2">
        <f ca="1"/>
        <v>9.6889954131124556E-2</v>
      </c>
      <c r="AH509" s="2" t="str">
        <f ca="1"/>
        <v>OK</v>
      </c>
    </row>
    <row r="510" spans="2:34">
      <c r="B510" s="2">
        <f ca="1"/>
        <v>0.20969723539932716</v>
      </c>
      <c r="O510" s="2">
        <f ca="1"/>
        <v>0.84033171068053081</v>
      </c>
      <c r="X510" s="2">
        <f ca="1"/>
        <v>60.158604012771264</v>
      </c>
      <c r="AG510" s="2">
        <f ca="1"/>
        <v>0.52519340369068668</v>
      </c>
      <c r="AH510" s="2" t="str">
        <f ca="1"/>
        <v>Bad</v>
      </c>
    </row>
    <row r="511" spans="2:34">
      <c r="B511" s="2">
        <f ca="1"/>
        <v>8.7944126368991959E-2</v>
      </c>
      <c r="O511" s="2">
        <f ca="1"/>
        <v>8.712724391826443E-2</v>
      </c>
      <c r="X511" s="2">
        <f ca="1"/>
        <v>42.914803031699279</v>
      </c>
      <c r="AG511" s="2">
        <f ca="1"/>
        <v>7.2584963838344452E-2</v>
      </c>
      <c r="AH511" s="2" t="str">
        <f ca="1"/>
        <v>OK</v>
      </c>
    </row>
    <row r="512" spans="2:34">
      <c r="B512" s="2">
        <f ca="1"/>
        <v>0.28589842425222067</v>
      </c>
      <c r="O512" s="2">
        <f ca="1"/>
        <v>1.0098457592339209</v>
      </c>
      <c r="X512" s="2">
        <f ca="1"/>
        <v>64.003758266414238</v>
      </c>
      <c r="AG512" s="2">
        <f ca="1"/>
        <v>0.96499496402048424</v>
      </c>
      <c r="AH512" s="2" t="str">
        <f ca="1"/>
        <v>Bad</v>
      </c>
    </row>
    <row r="513" spans="2:34">
      <c r="B513" s="2">
        <f ca="1"/>
        <v>0.19293608156463549</v>
      </c>
      <c r="O513" s="2">
        <f ca="1"/>
        <v>-1.2890656852814084</v>
      </c>
      <c r="X513" s="2">
        <f ca="1"/>
        <v>38.714313680383079</v>
      </c>
      <c r="AG513" s="2">
        <f ca="1"/>
        <v>0.45015617548460241</v>
      </c>
      <c r="AH513" s="2" t="str">
        <f ca="1"/>
        <v>Bad</v>
      </c>
    </row>
    <row r="514" spans="2:34">
      <c r="B514" s="2">
        <f ca="1"/>
        <v>0.28523211756847422</v>
      </c>
      <c r="O514" s="2">
        <f ca="1"/>
        <v>0.89959571186140874</v>
      </c>
      <c r="X514" s="2">
        <f ca="1"/>
        <v>40.07410128199826</v>
      </c>
      <c r="AG514" s="2">
        <f ca="1"/>
        <v>4.8298968908121243E-2</v>
      </c>
      <c r="AH514" s="2" t="str">
        <f ca="1"/>
        <v>Good</v>
      </c>
    </row>
    <row r="515" spans="2:34">
      <c r="B515" s="2">
        <f ca="1"/>
        <v>0.26809439893514875</v>
      </c>
      <c r="O515" s="2">
        <f ca="1"/>
        <v>1.5085322360990419</v>
      </c>
      <c r="X515" s="2">
        <f ca="1"/>
        <v>44.153161067671228</v>
      </c>
      <c r="AG515" s="2">
        <f ca="1"/>
        <v>0.16121991581630946</v>
      </c>
      <c r="AH515" s="2" t="str">
        <f ca="1"/>
        <v>OK</v>
      </c>
    </row>
    <row r="516" spans="2:34">
      <c r="B516" s="2">
        <f ca="1"/>
        <v>0.76485118093876259</v>
      </c>
      <c r="O516" s="2">
        <f ca="1"/>
        <v>-0.97538108992772432</v>
      </c>
      <c r="X516" s="2">
        <f ca="1"/>
        <v>39.667858802601828</v>
      </c>
      <c r="AG516" s="2">
        <f ca="1"/>
        <v>0.25725469011483026</v>
      </c>
      <c r="AH516" s="2" t="str">
        <f ca="1"/>
        <v>OK</v>
      </c>
    </row>
    <row r="517" spans="2:34">
      <c r="B517" s="2">
        <f ca="1"/>
        <v>0.10886099980219699</v>
      </c>
      <c r="O517" s="2">
        <f ca="1"/>
        <v>0.49454848184979622</v>
      </c>
      <c r="X517" s="2">
        <f ca="1"/>
        <v>38.493458489753976</v>
      </c>
      <c r="AG517" s="2">
        <f ca="1"/>
        <v>0.37833503649436495</v>
      </c>
      <c r="AH517" s="2" t="str">
        <f ca="1"/>
        <v>OK</v>
      </c>
    </row>
    <row r="518" spans="2:34">
      <c r="B518" s="2">
        <f ca="1"/>
        <v>0.56498297675337894</v>
      </c>
      <c r="O518" s="2">
        <f ca="1"/>
        <v>2.7245913591262751</v>
      </c>
      <c r="X518" s="2">
        <f ca="1"/>
        <v>52.3125620847836</v>
      </c>
      <c r="AG518" s="2">
        <f ca="1"/>
        <v>0.96153667662475728</v>
      </c>
      <c r="AH518" s="2" t="str">
        <f ca="1"/>
        <v>Bad</v>
      </c>
    </row>
    <row r="519" spans="2:34">
      <c r="B519" s="2">
        <f ca="1"/>
        <v>0.22455742841281134</v>
      </c>
      <c r="O519" s="2">
        <f ca="1"/>
        <v>0.79400549466452719</v>
      </c>
      <c r="X519" s="2">
        <f ca="1"/>
        <v>67.959338314623594</v>
      </c>
      <c r="AG519" s="2">
        <f ca="1"/>
        <v>0.64084176203118903</v>
      </c>
      <c r="AH519" s="2" t="str">
        <f ca="1"/>
        <v>Bad</v>
      </c>
    </row>
    <row r="520" spans="2:34">
      <c r="B520" s="2">
        <f ca="1"/>
        <v>0.57046596050166753</v>
      </c>
      <c r="O520" s="2">
        <f ca="1"/>
        <v>0.40910212455578959</v>
      </c>
      <c r="X520" s="2">
        <f ca="1"/>
        <v>74.767324035142821</v>
      </c>
      <c r="AG520" s="2">
        <f ca="1"/>
        <v>0.3712476333572059</v>
      </c>
      <c r="AH520" s="2" t="str">
        <f ca="1"/>
        <v>OK</v>
      </c>
    </row>
    <row r="521" spans="2:34">
      <c r="B521" s="2">
        <f ca="1"/>
        <v>0.95542899694162187</v>
      </c>
      <c r="O521" s="2">
        <f ca="1"/>
        <v>-0.7545669158169156</v>
      </c>
      <c r="X521" s="2">
        <f ca="1"/>
        <v>48.250414054400395</v>
      </c>
      <c r="AG521" s="2">
        <f ca="1"/>
        <v>2.1030908764971601E-2</v>
      </c>
      <c r="AH521" s="2" t="str">
        <f ca="1"/>
        <v>Good</v>
      </c>
    </row>
    <row r="522" spans="2:34">
      <c r="B522" s="2">
        <f ca="1"/>
        <v>0.27569563201658931</v>
      </c>
      <c r="O522" s="2">
        <f ca="1"/>
        <v>-0.3539800488845784</v>
      </c>
      <c r="X522" s="2">
        <f ca="1"/>
        <v>61.10843075639665</v>
      </c>
      <c r="AG522" s="2">
        <f ca="1"/>
        <v>0.87397377488908146</v>
      </c>
      <c r="AH522" s="2" t="str">
        <f ca="1"/>
        <v>Bad</v>
      </c>
    </row>
    <row r="523" spans="2:34">
      <c r="B523" s="2">
        <f ca="1"/>
        <v>0.36030089748860172</v>
      </c>
      <c r="O523" s="2">
        <f ca="1"/>
        <v>-1.0893703769784298</v>
      </c>
      <c r="X523" s="2">
        <f ca="1"/>
        <v>42.968329172982408</v>
      </c>
      <c r="AG523" s="2">
        <f ca="1"/>
        <v>0.41030488035215962</v>
      </c>
      <c r="AH523" s="2" t="str">
        <f ca="1"/>
        <v>Bad</v>
      </c>
    </row>
    <row r="524" spans="2:34">
      <c r="B524" s="2">
        <f ca="1"/>
        <v>0.89067409058786406</v>
      </c>
      <c r="O524" s="2">
        <f ca="1"/>
        <v>0.95085315268913195</v>
      </c>
      <c r="X524" s="2">
        <f ca="1"/>
        <v>24.047588869279366</v>
      </c>
      <c r="AG524" s="2">
        <f ca="1"/>
        <v>0.81220094524742747</v>
      </c>
      <c r="AH524" s="2" t="str">
        <f ca="1"/>
        <v>Bad</v>
      </c>
    </row>
    <row r="525" spans="2:34">
      <c r="B525" s="2">
        <f ca="1"/>
        <v>0.17438739859664665</v>
      </c>
      <c r="O525" s="2">
        <f ca="1"/>
        <v>-1.137247457200355</v>
      </c>
      <c r="X525" s="2">
        <f ca="1"/>
        <v>77.893075920153066</v>
      </c>
      <c r="AG525" s="2">
        <f ca="1"/>
        <v>0.6326237239997754</v>
      </c>
      <c r="AH525" s="2" t="str">
        <f ca="1"/>
        <v>Bad</v>
      </c>
    </row>
    <row r="526" spans="2:34">
      <c r="B526" s="2">
        <f ca="1"/>
        <v>0.24920567259326032</v>
      </c>
      <c r="O526" s="2">
        <f ca="1"/>
        <v>0.40895698666657182</v>
      </c>
      <c r="X526" s="2">
        <f ca="1"/>
        <v>98.174179637404748</v>
      </c>
      <c r="AG526" s="2">
        <f ca="1"/>
        <v>0.34816876473271341</v>
      </c>
      <c r="AH526" s="2" t="str">
        <f ca="1"/>
        <v>OK</v>
      </c>
    </row>
    <row r="527" spans="2:34">
      <c r="B527" s="2">
        <f ca="1"/>
        <v>0.70516853669163226</v>
      </c>
      <c r="O527" s="2">
        <f ca="1"/>
        <v>0.63085939394906598</v>
      </c>
      <c r="X527" s="2">
        <f ca="1"/>
        <v>60.815827952228332</v>
      </c>
      <c r="AG527" s="2">
        <f ca="1"/>
        <v>0.3250028885016234</v>
      </c>
      <c r="AH527" s="2" t="str">
        <f ca="1"/>
        <v>OK</v>
      </c>
    </row>
    <row r="528" spans="2:34">
      <c r="B528" s="2">
        <f ca="1"/>
        <v>0.85770239354480671</v>
      </c>
      <c r="O528" s="2">
        <f ca="1"/>
        <v>2.4420713791096604</v>
      </c>
      <c r="X528" s="2">
        <f ca="1"/>
        <v>39.656031969666671</v>
      </c>
      <c r="AG528" s="2">
        <f ca="1"/>
        <v>0.12116327285841533</v>
      </c>
      <c r="AH528" s="2" t="str">
        <f ca="1"/>
        <v>OK</v>
      </c>
    </row>
    <row r="529" spans="2:34">
      <c r="B529" s="2">
        <f ca="1"/>
        <v>0.71008773173316286</v>
      </c>
      <c r="O529" s="2">
        <f ca="1"/>
        <v>-0.41529053623300677</v>
      </c>
      <c r="X529" s="2">
        <f ca="1"/>
        <v>64.737684239441663</v>
      </c>
      <c r="AG529" s="2">
        <f ca="1"/>
        <v>0.73439642470082811</v>
      </c>
      <c r="AH529" s="2" t="str">
        <f ca="1"/>
        <v>Bad</v>
      </c>
    </row>
    <row r="530" spans="2:34">
      <c r="B530" s="2">
        <f ca="1"/>
        <v>0.76521819002070557</v>
      </c>
      <c r="O530" s="2">
        <f ca="1"/>
        <v>-0.63840448676548822</v>
      </c>
      <c r="X530" s="2">
        <f ca="1"/>
        <v>26.946641881609086</v>
      </c>
      <c r="AG530" s="2">
        <f ca="1"/>
        <v>0.97323639666433093</v>
      </c>
      <c r="AH530" s="2" t="str">
        <f ca="1"/>
        <v>Bad</v>
      </c>
    </row>
    <row r="531" spans="2:34">
      <c r="B531" s="2">
        <f ca="1"/>
        <v>0.47839485018839301</v>
      </c>
      <c r="O531" s="2">
        <f ca="1"/>
        <v>1.2961349078832942</v>
      </c>
      <c r="X531" s="2">
        <f ca="1"/>
        <v>63.361088169378419</v>
      </c>
      <c r="AG531" s="2">
        <f ca="1"/>
        <v>0.99268145487329673</v>
      </c>
      <c r="AH531" s="2" t="str">
        <f ca="1"/>
        <v>Bad</v>
      </c>
    </row>
    <row r="532" spans="2:34">
      <c r="B532" s="2">
        <f ca="1"/>
        <v>0.93559204318912736</v>
      </c>
      <c r="O532" s="2">
        <f ca="1"/>
        <v>-0.87384905354946008</v>
      </c>
      <c r="X532" s="2">
        <f ca="1"/>
        <v>34.576001997344726</v>
      </c>
      <c r="AG532" s="2">
        <f ca="1"/>
        <v>0.60956395582162748</v>
      </c>
      <c r="AH532" s="2" t="str">
        <f ca="1"/>
        <v>Bad</v>
      </c>
    </row>
    <row r="533" spans="2:34">
      <c r="B533" s="2">
        <f ca="1"/>
        <v>0.81691499994409589</v>
      </c>
      <c r="O533" s="2">
        <f ca="1"/>
        <v>1.167822545801261</v>
      </c>
      <c r="X533" s="2">
        <f ca="1"/>
        <v>47.000904538093017</v>
      </c>
      <c r="AG533" s="2">
        <f ca="1"/>
        <v>0.33882404370051256</v>
      </c>
      <c r="AH533" s="2" t="str">
        <f ca="1"/>
        <v>OK</v>
      </c>
    </row>
    <row r="534" spans="2:34">
      <c r="B534" s="2">
        <f ca="1"/>
        <v>0.91064231380902982</v>
      </c>
      <c r="O534" s="2">
        <f ca="1"/>
        <v>0.40645868559131865</v>
      </c>
      <c r="X534" s="2">
        <f ca="1"/>
        <v>41.735074948890983</v>
      </c>
      <c r="AG534" s="2">
        <f ca="1"/>
        <v>0.75032253998900145</v>
      </c>
      <c r="AH534" s="2" t="str">
        <f ca="1"/>
        <v>Bad</v>
      </c>
    </row>
    <row r="535" spans="2:34">
      <c r="B535" s="2">
        <f ca="1"/>
        <v>0.62381931653353684</v>
      </c>
      <c r="O535" s="2">
        <f ca="1"/>
        <v>-0.71266713732635523</v>
      </c>
      <c r="X535" s="2">
        <f ca="1"/>
        <v>44.832134867718466</v>
      </c>
      <c r="AG535" s="2">
        <f ca="1"/>
        <v>0.72789136770848173</v>
      </c>
      <c r="AH535" s="2" t="str">
        <f ca="1"/>
        <v>Bad</v>
      </c>
    </row>
    <row r="536" spans="2:34">
      <c r="B536" s="2">
        <f ca="1"/>
        <v>0.9544582081654942</v>
      </c>
      <c r="O536" s="2">
        <f ca="1"/>
        <v>-0.17088354871624409</v>
      </c>
      <c r="X536" s="2">
        <f ca="1"/>
        <v>44.32812639470469</v>
      </c>
      <c r="AG536" s="2">
        <f ca="1"/>
        <v>0.17914924912456898</v>
      </c>
      <c r="AH536" s="2" t="str">
        <f ca="1"/>
        <v>OK</v>
      </c>
    </row>
    <row r="537" spans="2:34">
      <c r="B537" s="2">
        <f ca="1"/>
        <v>0.28981478004848515</v>
      </c>
      <c r="O537" s="2">
        <f ca="1"/>
        <v>1.1508565522585286</v>
      </c>
      <c r="X537" s="2">
        <f ca="1"/>
        <v>35.621108818517854</v>
      </c>
      <c r="AG537" s="2">
        <f ca="1"/>
        <v>0.80069417718646285</v>
      </c>
      <c r="AH537" s="2" t="str">
        <f ca="1"/>
        <v>Bad</v>
      </c>
    </row>
    <row r="538" spans="2:34">
      <c r="B538" s="2">
        <f ca="1"/>
        <v>0.12861412138061357</v>
      </c>
      <c r="O538" s="2">
        <f ca="1"/>
        <v>-0.25769911966986181</v>
      </c>
      <c r="X538" s="2">
        <f ca="1"/>
        <v>28.984998394559494</v>
      </c>
      <c r="AG538" s="2">
        <f ca="1"/>
        <v>0.595637714164307</v>
      </c>
      <c r="AH538" s="2" t="str">
        <f ca="1"/>
        <v>Bad</v>
      </c>
    </row>
    <row r="539" spans="2:34">
      <c r="B539" s="2">
        <f ca="1"/>
        <v>0.32893732193523184</v>
      </c>
      <c r="O539" s="2">
        <f ca="1"/>
        <v>-1.3684018349377993</v>
      </c>
      <c r="X539" s="2">
        <f ca="1"/>
        <v>59.317563988633765</v>
      </c>
      <c r="AG539" s="2">
        <f ca="1"/>
        <v>6.8055418555980518E-2</v>
      </c>
      <c r="AH539" s="2" t="str">
        <f ca="1"/>
        <v>OK</v>
      </c>
    </row>
    <row r="540" spans="2:34">
      <c r="B540" s="2">
        <f ca="1"/>
        <v>0.55477287026796041</v>
      </c>
      <c r="O540" s="2">
        <f ca="1"/>
        <v>-1.395267377838044</v>
      </c>
      <c r="X540" s="2">
        <f ca="1"/>
        <v>65.803020252530473</v>
      </c>
      <c r="AG540" s="2">
        <f ca="1"/>
        <v>0.29697742994737553</v>
      </c>
      <c r="AH540" s="2" t="str">
        <f ca="1"/>
        <v>OK</v>
      </c>
    </row>
    <row r="541" spans="2:34">
      <c r="B541" s="2">
        <f ca="1"/>
        <v>0.1469197254712018</v>
      </c>
      <c r="O541" s="2">
        <f ca="1"/>
        <v>0.58953844554495871</v>
      </c>
      <c r="X541" s="2">
        <f ca="1"/>
        <v>58.661791077543413</v>
      </c>
      <c r="AG541" s="2">
        <f ca="1"/>
        <v>0.27273056711537347</v>
      </c>
      <c r="AH541" s="2" t="str">
        <f ca="1"/>
        <v>OK</v>
      </c>
    </row>
    <row r="542" spans="2:34">
      <c r="B542" s="2">
        <f ca="1"/>
        <v>0.93053743139727585</v>
      </c>
      <c r="O542" s="2">
        <f ca="1"/>
        <v>1.4954837389494831E-2</v>
      </c>
      <c r="X542" s="2">
        <f ca="1"/>
        <v>64.830048488881033</v>
      </c>
      <c r="AG542" s="2">
        <f ca="1"/>
        <v>0.85156431703853341</v>
      </c>
      <c r="AH542" s="2" t="str">
        <f ca="1"/>
        <v>Bad</v>
      </c>
    </row>
    <row r="543" spans="2:34">
      <c r="B543" s="2">
        <f ca="1"/>
        <v>0.35334532827215681</v>
      </c>
      <c r="O543" s="2">
        <f ca="1"/>
        <v>0.35347979719164685</v>
      </c>
      <c r="X543" s="2">
        <f ca="1"/>
        <v>31.335034470165727</v>
      </c>
      <c r="AG543" s="2">
        <f ca="1"/>
        <v>0.12674935598725234</v>
      </c>
      <c r="AH543" s="2" t="str">
        <f ca="1"/>
        <v>OK</v>
      </c>
    </row>
    <row r="544" spans="2:34">
      <c r="B544" s="2">
        <f ca="1"/>
        <v>0.33820465748740514</v>
      </c>
      <c r="O544" s="2">
        <f ca="1"/>
        <v>-0.74896752920116683</v>
      </c>
      <c r="X544" s="2">
        <f ca="1"/>
        <v>51.971267914599927</v>
      </c>
      <c r="AG544" s="2">
        <f ca="1"/>
        <v>0.6600735351636593</v>
      </c>
      <c r="AH544" s="2" t="str">
        <f ca="1"/>
        <v>Bad</v>
      </c>
    </row>
    <row r="545" spans="2:34">
      <c r="B545" s="2">
        <f ca="1"/>
        <v>0.82061428292289951</v>
      </c>
      <c r="O545" s="2">
        <f ca="1"/>
        <v>-0.28608280147505</v>
      </c>
      <c r="X545" s="2">
        <f ca="1"/>
        <v>29.780127076283421</v>
      </c>
      <c r="AG545" s="2">
        <f ca="1"/>
        <v>0.7805319961358852</v>
      </c>
      <c r="AH545" s="2" t="str">
        <f ca="1"/>
        <v>Bad</v>
      </c>
    </row>
    <row r="546" spans="2:34">
      <c r="B546" s="2">
        <f ca="1"/>
        <v>0.58071398996685186</v>
      </c>
      <c r="O546" s="2">
        <f ca="1"/>
        <v>1.5116727243208965</v>
      </c>
      <c r="X546" s="2">
        <f ca="1"/>
        <v>31.542259895726197</v>
      </c>
      <c r="AG546" s="2">
        <f ca="1"/>
        <v>0.86302680913594565</v>
      </c>
      <c r="AH546" s="2" t="str">
        <f ca="1"/>
        <v>Bad</v>
      </c>
    </row>
    <row r="547" spans="2:34">
      <c r="B547" s="2">
        <f ca="1"/>
        <v>0.75636901381932109</v>
      </c>
      <c r="O547" s="2">
        <f ca="1"/>
        <v>-0.33426468793401187</v>
      </c>
      <c r="X547" s="2">
        <f ca="1"/>
        <v>46.742374627841379</v>
      </c>
      <c r="AG547" s="2">
        <f ca="1"/>
        <v>0.85277327828736649</v>
      </c>
      <c r="AH547" s="2" t="str">
        <f ca="1"/>
        <v>Bad</v>
      </c>
    </row>
    <row r="548" spans="2:34">
      <c r="B548" s="2">
        <f ca="1"/>
        <v>0.91715345678836413</v>
      </c>
      <c r="O548" s="2">
        <f ca="1"/>
        <v>1.9547908334798962</v>
      </c>
      <c r="X548" s="2">
        <f ca="1"/>
        <v>37.124884112164921</v>
      </c>
      <c r="AG548" s="2">
        <f ca="1"/>
        <v>0.83382621025741122</v>
      </c>
      <c r="AH548" s="2" t="str">
        <f ca="1"/>
        <v>Bad</v>
      </c>
    </row>
    <row r="549" spans="2:34">
      <c r="B549" s="2">
        <f ca="1"/>
        <v>0.25311264754886631</v>
      </c>
      <c r="O549" s="2">
        <f ca="1"/>
        <v>-0.16341071697238199</v>
      </c>
      <c r="X549" s="2">
        <f ca="1"/>
        <v>22.347654386177204</v>
      </c>
      <c r="AG549" s="2">
        <f ca="1"/>
        <v>0.3473906568372882</v>
      </c>
      <c r="AH549" s="2" t="str">
        <f ca="1"/>
        <v>OK</v>
      </c>
    </row>
    <row r="550" spans="2:34">
      <c r="B550" s="2">
        <f ca="1"/>
        <v>0.78805195442872833</v>
      </c>
      <c r="O550" s="2">
        <f ca="1"/>
        <v>-0.80832331956182013</v>
      </c>
      <c r="X550" s="2">
        <f ca="1"/>
        <v>33.285988163277793</v>
      </c>
      <c r="AG550" s="2">
        <f ca="1"/>
        <v>7.9219373431381079E-2</v>
      </c>
      <c r="AH550" s="2" t="str">
        <f ca="1"/>
        <v>OK</v>
      </c>
    </row>
    <row r="551" spans="2:34">
      <c r="B551" s="2">
        <f ca="1"/>
        <v>0.64617850200315763</v>
      </c>
      <c r="O551" s="2">
        <f ca="1"/>
        <v>-0.21275947867936562</v>
      </c>
      <c r="X551" s="2">
        <f ca="1"/>
        <v>34.814174429208613</v>
      </c>
      <c r="AG551" s="2">
        <f ca="1"/>
        <v>0.89810927679033048</v>
      </c>
      <c r="AH551" s="2" t="str">
        <f ca="1"/>
        <v>Bad</v>
      </c>
    </row>
    <row r="552" spans="2:34">
      <c r="B552" s="2">
        <f ca="1"/>
        <v>5.9791014190083924E-2</v>
      </c>
      <c r="O552" s="2">
        <f ca="1"/>
        <v>-0.32012935093532224</v>
      </c>
      <c r="X552" s="2">
        <f ca="1"/>
        <v>49.400044947155322</v>
      </c>
      <c r="AG552" s="2">
        <f ca="1"/>
        <v>0.92340934232538352</v>
      </c>
      <c r="AH552" s="2" t="str">
        <f ca="1"/>
        <v>Bad</v>
      </c>
    </row>
    <row r="553" spans="2:34">
      <c r="B553" s="2">
        <f ca="1"/>
        <v>0.41010276853195071</v>
      </c>
      <c r="O553" s="2">
        <f ca="1"/>
        <v>-1.447922756303808</v>
      </c>
      <c r="X553" s="2">
        <f ca="1"/>
        <v>45.309006144136148</v>
      </c>
      <c r="AG553" s="2">
        <f ca="1"/>
        <v>0.24272234438064277</v>
      </c>
      <c r="AH553" s="2" t="str">
        <f ca="1"/>
        <v>OK</v>
      </c>
    </row>
    <row r="554" spans="2:34">
      <c r="B554" s="2">
        <f ca="1"/>
        <v>0.22347451595349654</v>
      </c>
      <c r="O554" s="2">
        <f ca="1"/>
        <v>0.3766072854936679</v>
      </c>
      <c r="X554" s="2">
        <f ca="1"/>
        <v>28.94323475305718</v>
      </c>
      <c r="AG554" s="2">
        <f ca="1"/>
        <v>4.7709890177841441E-2</v>
      </c>
      <c r="AH554" s="2" t="str">
        <f ca="1"/>
        <v>Good</v>
      </c>
    </row>
    <row r="555" spans="2:34">
      <c r="B555" s="2">
        <f ca="1"/>
        <v>0.70191045594888557</v>
      </c>
      <c r="O555" s="2">
        <f ca="1"/>
        <v>0.11862543777361442</v>
      </c>
      <c r="X555" s="2">
        <f ca="1"/>
        <v>59.143335165818826</v>
      </c>
      <c r="AG555" s="2">
        <f ca="1"/>
        <v>0.68396037288397782</v>
      </c>
      <c r="AH555" s="2" t="str">
        <f ca="1"/>
        <v>Bad</v>
      </c>
    </row>
    <row r="556" spans="2:34">
      <c r="B556" s="2">
        <f ca="1"/>
        <v>0.39946244863258107</v>
      </c>
      <c r="O556" s="2">
        <f ca="1"/>
        <v>-0.59149501919637393</v>
      </c>
      <c r="X556" s="2">
        <f ca="1"/>
        <v>60.796040680622411</v>
      </c>
      <c r="AG556" s="2">
        <f ca="1"/>
        <v>0.88756715815980414</v>
      </c>
      <c r="AH556" s="2" t="str">
        <f ca="1"/>
        <v>Bad</v>
      </c>
    </row>
    <row r="557" spans="2:34">
      <c r="B557" s="2">
        <f ca="1"/>
        <v>0.77314803099663609</v>
      </c>
      <c r="O557" s="2">
        <f ca="1"/>
        <v>1.1095003582279692</v>
      </c>
      <c r="X557" s="2">
        <f ca="1"/>
        <v>68.720603488275898</v>
      </c>
      <c r="AG557" s="2">
        <f ca="1"/>
        <v>0.38967251464387176</v>
      </c>
      <c r="AH557" s="2" t="str">
        <f ca="1"/>
        <v>OK</v>
      </c>
    </row>
    <row r="558" spans="2:34">
      <c r="B558" s="2">
        <f ca="1"/>
        <v>0.68769279012244655</v>
      </c>
      <c r="O558" s="2">
        <f ca="1"/>
        <v>0.28244581134472146</v>
      </c>
      <c r="X558" s="2">
        <f ca="1"/>
        <v>47.836601773512662</v>
      </c>
      <c r="AG558" s="2">
        <f ca="1"/>
        <v>0.46023456053181522</v>
      </c>
      <c r="AH558" s="2" t="str">
        <f ca="1"/>
        <v>Bad</v>
      </c>
    </row>
    <row r="559" spans="2:34">
      <c r="B559" s="2">
        <f ca="1"/>
        <v>0.899191007782421</v>
      </c>
      <c r="O559" s="2">
        <f ca="1"/>
        <v>-1.6679243596347042</v>
      </c>
      <c r="X559" s="2">
        <f ca="1"/>
        <v>46.131685301176127</v>
      </c>
      <c r="AG559" s="2">
        <f ca="1"/>
        <v>0.21652542671782493</v>
      </c>
      <c r="AH559" s="2" t="str">
        <f ca="1"/>
        <v>OK</v>
      </c>
    </row>
    <row r="560" spans="2:34">
      <c r="B560" s="2">
        <f ca="1"/>
        <v>0.9340765166035172</v>
      </c>
      <c r="O560" s="2">
        <f ca="1"/>
        <v>-0.23847303172995604</v>
      </c>
      <c r="X560" s="2">
        <f ca="1"/>
        <v>62.121372454446529</v>
      </c>
      <c r="AG560" s="2">
        <f ca="1"/>
        <v>0.76128192861797861</v>
      </c>
      <c r="AH560" s="2" t="str">
        <f ca="1"/>
        <v>Bad</v>
      </c>
    </row>
    <row r="561" spans="2:34">
      <c r="B561" s="2">
        <f ca="1"/>
        <v>0.50863196593628013</v>
      </c>
      <c r="O561" s="2">
        <f ca="1"/>
        <v>-1.7758684139944825</v>
      </c>
      <c r="X561" s="2">
        <f ca="1"/>
        <v>53.588807772882106</v>
      </c>
      <c r="AG561" s="2">
        <f ca="1"/>
        <v>0.14514488070810128</v>
      </c>
      <c r="AH561" s="2" t="str">
        <f ca="1"/>
        <v>OK</v>
      </c>
    </row>
    <row r="562" spans="2:34">
      <c r="B562" s="2">
        <f ca="1"/>
        <v>0.59510600275693348</v>
      </c>
      <c r="O562" s="2">
        <f ca="1"/>
        <v>1.356323228589573</v>
      </c>
      <c r="X562" s="2">
        <f ca="1"/>
        <v>59.394029018702163</v>
      </c>
      <c r="AG562" s="2">
        <f ca="1"/>
        <v>0.52462609222024814</v>
      </c>
      <c r="AH562" s="2" t="str">
        <f ca="1"/>
        <v>Bad</v>
      </c>
    </row>
    <row r="563" spans="2:34">
      <c r="B563" s="2">
        <f ca="1"/>
        <v>0.48328403101140749</v>
      </c>
      <c r="O563" s="2">
        <f ca="1"/>
        <v>-1.0692842934968565</v>
      </c>
      <c r="X563" s="2">
        <f ca="1"/>
        <v>38.056053717382042</v>
      </c>
      <c r="AG563" s="2">
        <f ca="1"/>
        <v>0.41742406762718165</v>
      </c>
      <c r="AH563" s="2" t="str">
        <f ca="1"/>
        <v>Bad</v>
      </c>
    </row>
    <row r="564" spans="2:34">
      <c r="B564" s="2">
        <f ca="1"/>
        <v>0.24632007995503091</v>
      </c>
      <c r="O564" s="2">
        <f ca="1"/>
        <v>-0.25941854878751247</v>
      </c>
      <c r="X564" s="2">
        <f ca="1"/>
        <v>37.977885690495945</v>
      </c>
      <c r="AG564" s="2">
        <f ca="1"/>
        <v>0.2750492502448727</v>
      </c>
      <c r="AH564" s="2" t="str">
        <f ca="1"/>
        <v>OK</v>
      </c>
    </row>
    <row r="565" spans="2:34">
      <c r="B565" s="2">
        <f ca="1"/>
        <v>0.92142794062575284</v>
      </c>
      <c r="O565" s="2">
        <f ca="1"/>
        <v>2.023257045830233</v>
      </c>
      <c r="X565" s="2">
        <f ca="1"/>
        <v>59.64359499748268</v>
      </c>
      <c r="AG565" s="2">
        <f ca="1"/>
        <v>0.9072590771906992</v>
      </c>
      <c r="AH565" s="2" t="str">
        <f ca="1"/>
        <v>Bad</v>
      </c>
    </row>
    <row r="566" spans="2:34">
      <c r="B566" s="2">
        <f ca="1"/>
        <v>0.63401635315468874</v>
      </c>
      <c r="O566" s="2">
        <f ca="1"/>
        <v>1.0593184757414491</v>
      </c>
      <c r="X566" s="2">
        <f ca="1"/>
        <v>100.83201410492515</v>
      </c>
      <c r="AG566" s="2">
        <f ca="1"/>
        <v>0.82642712063029533</v>
      </c>
      <c r="AH566" s="2" t="str">
        <f ca="1"/>
        <v>Bad</v>
      </c>
    </row>
    <row r="567" spans="2:34">
      <c r="B567" s="2">
        <f ca="1"/>
        <v>1.9705758556134434E-2</v>
      </c>
      <c r="O567" s="2">
        <f ca="1"/>
        <v>0.18272377165152059</v>
      </c>
      <c r="X567" s="2">
        <f ca="1"/>
        <v>46.736778150186083</v>
      </c>
      <c r="AG567" s="2">
        <f ca="1"/>
        <v>0.94061891311534396</v>
      </c>
      <c r="AH567" s="2" t="str">
        <f ca="1"/>
        <v>Bad</v>
      </c>
    </row>
    <row r="568" spans="2:34">
      <c r="B568" s="2">
        <f ca="1"/>
        <v>0.975988514238463</v>
      </c>
      <c r="O568" s="2">
        <f ca="1"/>
        <v>-1.0772765530007036</v>
      </c>
      <c r="X568" s="2">
        <f ca="1"/>
        <v>47.561540863764705</v>
      </c>
      <c r="AG568" s="2">
        <f ca="1"/>
        <v>0.90387222237726572</v>
      </c>
      <c r="AH568" s="2" t="str">
        <f ca="1"/>
        <v>Bad</v>
      </c>
    </row>
    <row r="569" spans="2:34">
      <c r="B569" s="2">
        <f ca="1"/>
        <v>0.78226682802346725</v>
      </c>
      <c r="O569" s="2">
        <f ca="1"/>
        <v>-0.19337949377168084</v>
      </c>
      <c r="X569" s="2">
        <f ca="1"/>
        <v>67.456240854647589</v>
      </c>
      <c r="AG569" s="2">
        <f ca="1"/>
        <v>0.90812280973622506</v>
      </c>
      <c r="AH569" s="2" t="str">
        <f ca="1"/>
        <v>Bad</v>
      </c>
    </row>
    <row r="570" spans="2:34">
      <c r="B570" s="2">
        <f ca="1"/>
        <v>0.77054783632100321</v>
      </c>
      <c r="O570" s="2">
        <f ca="1"/>
        <v>0.22176761664816963</v>
      </c>
      <c r="X570" s="2">
        <f ca="1"/>
        <v>44.431192914061057</v>
      </c>
      <c r="AG570" s="2">
        <f ca="1"/>
        <v>0.15099886600409906</v>
      </c>
      <c r="AH570" s="2" t="str">
        <f ca="1"/>
        <v>OK</v>
      </c>
    </row>
    <row r="571" spans="2:34">
      <c r="B571" s="2">
        <f ca="1"/>
        <v>2.2377974739059781E-2</v>
      </c>
      <c r="O571" s="2">
        <f ca="1"/>
        <v>-0.38037379125548437</v>
      </c>
      <c r="X571" s="2">
        <f ca="1"/>
        <v>66.27926340729725</v>
      </c>
      <c r="AG571" s="2">
        <f ca="1"/>
        <v>0.10470900869265076</v>
      </c>
      <c r="AH571" s="2" t="str">
        <f ca="1"/>
        <v>OK</v>
      </c>
    </row>
    <row r="572" spans="2:34">
      <c r="B572" s="2">
        <f ca="1"/>
        <v>0.20767439179062075</v>
      </c>
      <c r="O572" s="2">
        <f ca="1"/>
        <v>0.64594691414038374</v>
      </c>
      <c r="X572" s="2">
        <f ca="1"/>
        <v>50.420160590087249</v>
      </c>
      <c r="AG572" s="2">
        <f ca="1"/>
        <v>0.53441067732906089</v>
      </c>
      <c r="AH572" s="2" t="str">
        <f ca="1"/>
        <v>Bad</v>
      </c>
    </row>
    <row r="573" spans="2:34">
      <c r="B573" s="2">
        <f ca="1"/>
        <v>1.9668171374322974E-2</v>
      </c>
      <c r="O573" s="2">
        <f ca="1"/>
        <v>8.1368571869450568E-2</v>
      </c>
      <c r="X573" s="2">
        <f ca="1"/>
        <v>72.072293910895993</v>
      </c>
      <c r="AG573" s="2">
        <f ca="1"/>
        <v>0.45788200846473015</v>
      </c>
      <c r="AH573" s="2" t="str">
        <f ca="1"/>
        <v>Bad</v>
      </c>
    </row>
    <row r="574" spans="2:34">
      <c r="B574" s="2">
        <f ca="1"/>
        <v>0.59114570440291248</v>
      </c>
      <c r="O574" s="2">
        <f ca="1"/>
        <v>0.326100739564743</v>
      </c>
      <c r="X574" s="2">
        <f ca="1"/>
        <v>58.090389408011148</v>
      </c>
      <c r="AG574" s="2">
        <f ca="1"/>
        <v>0.44675847471252772</v>
      </c>
      <c r="AH574" s="2" t="str">
        <f ca="1"/>
        <v>Bad</v>
      </c>
    </row>
    <row r="575" spans="2:34">
      <c r="B575" s="2">
        <f ca="1"/>
        <v>0.18449282166466596</v>
      </c>
      <c r="O575" s="2">
        <f ca="1"/>
        <v>-1.9203624126302152</v>
      </c>
      <c r="X575" s="2">
        <f ca="1"/>
        <v>24.374068425739466</v>
      </c>
      <c r="AG575" s="2">
        <f ca="1"/>
        <v>0.8429216620271931</v>
      </c>
      <c r="AH575" s="2" t="str">
        <f ca="1"/>
        <v>Bad</v>
      </c>
    </row>
    <row r="576" spans="2:34">
      <c r="B576" s="2">
        <f ca="1"/>
        <v>0.23526808463024218</v>
      </c>
      <c r="O576" s="2">
        <f ca="1"/>
        <v>0.72483624881773467</v>
      </c>
      <c r="X576" s="2">
        <f ca="1"/>
        <v>40.990519649185686</v>
      </c>
      <c r="AG576" s="2">
        <f ca="1"/>
        <v>0.7742941059438222</v>
      </c>
      <c r="AH576" s="2" t="str">
        <f ca="1"/>
        <v>Bad</v>
      </c>
    </row>
    <row r="577" spans="2:34">
      <c r="B577" s="2">
        <f ca="1"/>
        <v>0.14090663190022656</v>
      </c>
      <c r="O577" s="2">
        <f ca="1"/>
        <v>0.61156661998724382</v>
      </c>
      <c r="X577" s="2">
        <f ca="1"/>
        <v>42.410339010403447</v>
      </c>
      <c r="AG577" s="2">
        <f ca="1"/>
        <v>0.42586865728061829</v>
      </c>
      <c r="AH577" s="2" t="str">
        <f ca="1"/>
        <v>Bad</v>
      </c>
    </row>
    <row r="578" spans="2:34">
      <c r="B578" s="2">
        <f ca="1"/>
        <v>0.39841880738788205</v>
      </c>
      <c r="O578" s="2">
        <f ca="1"/>
        <v>-0.27154011828892022</v>
      </c>
      <c r="X578" s="2">
        <f ca="1"/>
        <v>61.241890887186045</v>
      </c>
      <c r="AG578" s="2">
        <f ca="1"/>
        <v>0.26352280155443242</v>
      </c>
      <c r="AH578" s="2" t="str">
        <f ca="1"/>
        <v>OK</v>
      </c>
    </row>
    <row r="579" spans="2:34">
      <c r="B579" s="2">
        <f ca="1"/>
        <v>5.68882546479752E-2</v>
      </c>
      <c r="O579" s="2">
        <f ca="1"/>
        <v>-1.579663170240228</v>
      </c>
      <c r="X579" s="2">
        <f ca="1"/>
        <v>57.113479370878864</v>
      </c>
      <c r="AG579" s="2">
        <f ca="1"/>
        <v>0.72189651122571563</v>
      </c>
      <c r="AH579" s="2" t="str">
        <f ca="1"/>
        <v>Bad</v>
      </c>
    </row>
    <row r="580" spans="2:34">
      <c r="B580" s="2">
        <f ca="1"/>
        <v>0.21452356915666293</v>
      </c>
      <c r="O580" s="2">
        <f ca="1"/>
        <v>0.70382666142646666</v>
      </c>
      <c r="X580" s="2">
        <f ca="1"/>
        <v>70.815856707561565</v>
      </c>
      <c r="AG580" s="2">
        <f ca="1"/>
        <v>4.2222396699246323E-2</v>
      </c>
      <c r="AH580" s="2" t="str">
        <f ca="1"/>
        <v>Good</v>
      </c>
    </row>
    <row r="581" spans="2:34">
      <c r="B581" s="2">
        <f ca="1"/>
        <v>0.18228868506624996</v>
      </c>
      <c r="O581" s="2">
        <f ca="1"/>
        <v>0.63110057433341515</v>
      </c>
      <c r="X581" s="2">
        <f ca="1"/>
        <v>71.632908736974841</v>
      </c>
      <c r="AG581" s="2">
        <f ca="1"/>
        <v>0.93873360844119258</v>
      </c>
      <c r="AH581" s="2" t="str">
        <f ca="1"/>
        <v>Bad</v>
      </c>
    </row>
    <row r="582" spans="2:34">
      <c r="B582" s="2">
        <f ca="1"/>
        <v>0.450476683165701</v>
      </c>
      <c r="O582" s="2">
        <f ca="1"/>
        <v>-0.91721768763497913</v>
      </c>
      <c r="X582" s="2">
        <f ca="1"/>
        <v>67.00121559003108</v>
      </c>
      <c r="AG582" s="2">
        <f ca="1"/>
        <v>0.94743616281448162</v>
      </c>
      <c r="AH582" s="2" t="str">
        <f ca="1"/>
        <v>Bad</v>
      </c>
    </row>
    <row r="583" spans="2:34">
      <c r="B583" s="2">
        <f ca="1"/>
        <v>0.60284664956858336</v>
      </c>
      <c r="O583" s="2">
        <f ca="1"/>
        <v>-0.71235427013425534</v>
      </c>
      <c r="X583" s="2">
        <f ca="1"/>
        <v>87.213075722174239</v>
      </c>
      <c r="AG583" s="2">
        <f ca="1"/>
        <v>0.62708178745379772</v>
      </c>
      <c r="AH583" s="2" t="str">
        <f ca="1"/>
        <v>Bad</v>
      </c>
    </row>
    <row r="584" spans="2:34">
      <c r="B584" s="2">
        <f ca="1"/>
        <v>0.66501245135778264</v>
      </c>
      <c r="O584" s="2">
        <f ca="1"/>
        <v>7.8352770047020112E-2</v>
      </c>
      <c r="X584" s="2">
        <f ca="1"/>
        <v>24.605161864566107</v>
      </c>
      <c r="AG584" s="2">
        <f ca="1"/>
        <v>0.55828541441428592</v>
      </c>
      <c r="AH584" s="2" t="str">
        <f ca="1"/>
        <v>Bad</v>
      </c>
    </row>
    <row r="585" spans="2:34">
      <c r="B585" s="2">
        <f ca="1"/>
        <v>0.428272441845851</v>
      </c>
      <c r="O585" s="2">
        <f ca="1"/>
        <v>0.61422619668564293</v>
      </c>
      <c r="X585" s="2">
        <f ca="1"/>
        <v>70.655929284263749</v>
      </c>
      <c r="AG585" s="2">
        <f ca="1"/>
        <v>9.4036046537172346E-2</v>
      </c>
      <c r="AH585" s="2" t="str">
        <f ca="1"/>
        <v>OK</v>
      </c>
    </row>
    <row r="586" spans="2:34">
      <c r="B586" s="2">
        <f ca="1"/>
        <v>0.46349634508079207</v>
      </c>
      <c r="O586" s="2">
        <f ca="1"/>
        <v>1.3809303982494361</v>
      </c>
      <c r="X586" s="2">
        <f ca="1"/>
        <v>38.847800605073729</v>
      </c>
      <c r="AG586" s="2">
        <f ca="1"/>
        <v>0.62606653538801416</v>
      </c>
      <c r="AH586" s="2" t="str">
        <f ca="1"/>
        <v>Bad</v>
      </c>
    </row>
    <row r="587" spans="2:34">
      <c r="B587" s="2">
        <f ca="1"/>
        <v>0.10140712521779793</v>
      </c>
      <c r="O587" s="2">
        <f ca="1"/>
        <v>-0.80350518968421025</v>
      </c>
      <c r="X587" s="2">
        <f ca="1"/>
        <v>37.691238296472065</v>
      </c>
      <c r="AG587" s="2">
        <f ca="1"/>
        <v>0.82921412341689527</v>
      </c>
      <c r="AH587" s="2" t="str">
        <f ca="1"/>
        <v>Bad</v>
      </c>
    </row>
    <row r="588" spans="2:34">
      <c r="B588" s="2">
        <f ca="1"/>
        <v>0.54595269620774212</v>
      </c>
      <c r="O588" s="2">
        <f ca="1"/>
        <v>0.78747100605833231</v>
      </c>
      <c r="X588" s="2">
        <f ca="1"/>
        <v>33.666537837214854</v>
      </c>
      <c r="AG588" s="2">
        <f ca="1"/>
        <v>0.94058469050963489</v>
      </c>
      <c r="AH588" s="2" t="str">
        <f ca="1"/>
        <v>Bad</v>
      </c>
    </row>
    <row r="589" spans="2:34">
      <c r="B589" s="2">
        <f ca="1"/>
        <v>0.55129300872325993</v>
      </c>
      <c r="O589" s="2">
        <f ca="1"/>
        <v>-3.2392523304776641E-2</v>
      </c>
      <c r="X589" s="2">
        <f ca="1"/>
        <v>103.7952680323133</v>
      </c>
      <c r="AG589" s="2">
        <f ca="1"/>
        <v>0.37826410129419097</v>
      </c>
      <c r="AH589" s="2" t="str">
        <f ca="1"/>
        <v>OK</v>
      </c>
    </row>
    <row r="590" spans="2:34">
      <c r="B590" s="2">
        <f ca="1"/>
        <v>0.86980588106344259</v>
      </c>
      <c r="O590" s="2">
        <f ca="1"/>
        <v>0.39710250385919621</v>
      </c>
      <c r="X590" s="2">
        <f ca="1"/>
        <v>35.435451972567478</v>
      </c>
      <c r="AG590" s="2">
        <f ca="1"/>
        <v>0.67017922359947302</v>
      </c>
      <c r="AH590" s="2" t="str">
        <f ca="1"/>
        <v>Bad</v>
      </c>
    </row>
    <row r="591" spans="2:34">
      <c r="B591" s="2">
        <f ca="1"/>
        <v>0.80371938394919473</v>
      </c>
      <c r="O591" s="2">
        <f ca="1"/>
        <v>-1.1521614568721239</v>
      </c>
      <c r="X591" s="2">
        <f ca="1"/>
        <v>106.96600624738258</v>
      </c>
      <c r="AG591" s="2">
        <f ca="1"/>
        <v>0.66876790977553346</v>
      </c>
      <c r="AH591" s="2" t="str">
        <f ca="1"/>
        <v>Bad</v>
      </c>
    </row>
    <row r="592" spans="2:34">
      <c r="B592" s="2">
        <f ca="1"/>
        <v>0.49977316166517927</v>
      </c>
      <c r="O592" s="2">
        <f ca="1"/>
        <v>-1.5646460215873702E-2</v>
      </c>
      <c r="X592" s="2">
        <f ca="1"/>
        <v>55.963361364625008</v>
      </c>
      <c r="AG592" s="2">
        <f ca="1"/>
        <v>0.69119569519386004</v>
      </c>
      <c r="AH592" s="2" t="str">
        <f ca="1"/>
        <v>Bad</v>
      </c>
    </row>
    <row r="593" spans="2:34">
      <c r="B593" s="2">
        <f ca="1"/>
        <v>0.22108064403431671</v>
      </c>
      <c r="O593" s="2">
        <f ca="1"/>
        <v>0.47572759485776983</v>
      </c>
      <c r="X593" s="2">
        <f ca="1"/>
        <v>73.378322539373471</v>
      </c>
      <c r="AG593" s="2">
        <f ca="1"/>
        <v>8.3704148588901184E-2</v>
      </c>
      <c r="AH593" s="2" t="str">
        <f ca="1"/>
        <v>OK</v>
      </c>
    </row>
    <row r="594" spans="2:34">
      <c r="B594" s="2">
        <f ca="1"/>
        <v>0.23619020245341193</v>
      </c>
      <c r="O594" s="2">
        <f ca="1"/>
        <v>0.29051993044880847</v>
      </c>
      <c r="X594" s="2">
        <f ca="1"/>
        <v>76.751692029280434</v>
      </c>
      <c r="AG594" s="2">
        <f ca="1"/>
        <v>0.67809222643077516</v>
      </c>
      <c r="AH594" s="2" t="str">
        <f ca="1"/>
        <v>Bad</v>
      </c>
    </row>
    <row r="595" spans="2:34">
      <c r="B595" s="2">
        <f ca="1"/>
        <v>0.88402253991745061</v>
      </c>
      <c r="O595" s="2">
        <f ca="1"/>
        <v>7.9744274350169245E-3</v>
      </c>
      <c r="X595" s="2">
        <f ca="1"/>
        <v>31.608037162174881</v>
      </c>
      <c r="AG595" s="2">
        <f ca="1"/>
        <v>0.31691056422984998</v>
      </c>
      <c r="AH595" s="2" t="str">
        <f ca="1"/>
        <v>OK</v>
      </c>
    </row>
    <row r="596" spans="2:34">
      <c r="B596" s="2">
        <f ca="1"/>
        <v>0.57573603974608401</v>
      </c>
      <c r="O596" s="2">
        <f ca="1"/>
        <v>-0.85890066919606478</v>
      </c>
      <c r="X596" s="2">
        <f ca="1"/>
        <v>52.546390126729669</v>
      </c>
      <c r="AG596" s="2">
        <f ca="1"/>
        <v>3.7564494109526558E-2</v>
      </c>
      <c r="AH596" s="2" t="str">
        <f ca="1"/>
        <v>Good</v>
      </c>
    </row>
    <row r="597" spans="2:34">
      <c r="B597" s="2">
        <f ca="1"/>
        <v>0.128705392236244</v>
      </c>
      <c r="O597" s="2">
        <f ca="1"/>
        <v>-0.47766568771104206</v>
      </c>
      <c r="X597" s="2">
        <f ca="1"/>
        <v>70.598173135728914</v>
      </c>
      <c r="AG597" s="2">
        <f ca="1"/>
        <v>0.8019822640986185</v>
      </c>
      <c r="AH597" s="2" t="str">
        <f ca="1"/>
        <v>Bad</v>
      </c>
    </row>
    <row r="598" spans="2:34">
      <c r="B598" s="2">
        <f ca="1"/>
        <v>0.46619880602365726</v>
      </c>
      <c r="O598" s="2">
        <f ca="1"/>
        <v>2.013024910183427</v>
      </c>
      <c r="X598" s="2">
        <f ca="1"/>
        <v>74.082147798718324</v>
      </c>
      <c r="AG598" s="2">
        <f ca="1"/>
        <v>0.27377932390078863</v>
      </c>
      <c r="AH598" s="2" t="str">
        <f ca="1"/>
        <v>OK</v>
      </c>
    </row>
    <row r="599" spans="2:34">
      <c r="B599" s="2">
        <f ca="1"/>
        <v>0.2422184817797739</v>
      </c>
      <c r="O599" s="2">
        <f ca="1"/>
        <v>-0.54227585079395113</v>
      </c>
      <c r="X599" s="2">
        <f ca="1"/>
        <v>39.415674445335029</v>
      </c>
      <c r="AG599" s="2">
        <f ca="1"/>
        <v>0.17461665660025294</v>
      </c>
      <c r="AH599" s="2" t="str">
        <f ca="1"/>
        <v>OK</v>
      </c>
    </row>
    <row r="600" spans="2:34">
      <c r="B600" s="2">
        <f ca="1"/>
        <v>4.1220009276020653E-2</v>
      </c>
      <c r="O600" s="2">
        <f ca="1"/>
        <v>0.33140124965933559</v>
      </c>
      <c r="X600" s="2">
        <f ca="1"/>
        <v>49.344726268092515</v>
      </c>
      <c r="AG600" s="2">
        <f ca="1"/>
        <v>0.84224894612331691</v>
      </c>
      <c r="AH600" s="2" t="str">
        <f ca="1"/>
        <v>Bad</v>
      </c>
    </row>
    <row r="601" spans="2:34">
      <c r="B601" s="2">
        <f ca="1"/>
        <v>0.4147785321877302</v>
      </c>
      <c r="O601" s="2">
        <f ca="1"/>
        <v>-0.91022248646219495</v>
      </c>
      <c r="X601" s="2">
        <f ca="1"/>
        <v>69.356010249262511</v>
      </c>
      <c r="AG601" s="2">
        <f ca="1"/>
        <v>0.24926839782815025</v>
      </c>
      <c r="AH601" s="2" t="str">
        <f ca="1"/>
        <v>OK</v>
      </c>
    </row>
    <row r="602" spans="2:34">
      <c r="B602" s="2">
        <f ca="1"/>
        <v>0.489434466483883</v>
      </c>
      <c r="O602" s="2">
        <f ca="1"/>
        <v>-0.4607267347662814</v>
      </c>
      <c r="X602" s="2">
        <f ca="1"/>
        <v>47.040565743317835</v>
      </c>
      <c r="AG602" s="2">
        <f ca="1"/>
        <v>0.28008708472680865</v>
      </c>
      <c r="AH602" s="2" t="str">
        <f ca="1"/>
        <v>OK</v>
      </c>
    </row>
    <row r="603" spans="2:34">
      <c r="B603" s="2">
        <f ca="1"/>
        <v>0.63202676358417409</v>
      </c>
      <c r="O603" s="2">
        <f ca="1"/>
        <v>0.51994466727274236</v>
      </c>
      <c r="X603" s="2">
        <f ca="1"/>
        <v>30.070386226395776</v>
      </c>
      <c r="AG603" s="2">
        <f ca="1"/>
        <v>0.70067716825261561</v>
      </c>
      <c r="AH603" s="2" t="str">
        <f ca="1"/>
        <v>Bad</v>
      </c>
    </row>
    <row r="604" spans="2:34">
      <c r="B604" s="2">
        <f ca="1"/>
        <v>0.76761211497283077</v>
      </c>
      <c r="O604" s="2">
        <f ca="1"/>
        <v>-0.22418521080630927</v>
      </c>
      <c r="X604" s="2">
        <f ca="1"/>
        <v>40.14604335463077</v>
      </c>
      <c r="AG604" s="2">
        <f ca="1"/>
        <v>0.57953055244159124</v>
      </c>
      <c r="AH604" s="2" t="str">
        <f ca="1"/>
        <v>Bad</v>
      </c>
    </row>
    <row r="605" spans="2:34">
      <c r="B605" s="2">
        <f ca="1"/>
        <v>6.746969991519558E-2</v>
      </c>
      <c r="O605" s="2">
        <f ca="1"/>
        <v>-0.39555747887861853</v>
      </c>
      <c r="X605" s="2">
        <f ca="1"/>
        <v>56.309387115680707</v>
      </c>
      <c r="AG605" s="2">
        <f ca="1"/>
        <v>0.94328215824619321</v>
      </c>
      <c r="AH605" s="2" t="str">
        <f ca="1"/>
        <v>Bad</v>
      </c>
    </row>
    <row r="606" spans="2:34">
      <c r="B606" s="2">
        <f ca="1"/>
        <v>0.67854015936998691</v>
      </c>
      <c r="O606" s="2">
        <f ca="1"/>
        <v>-0.79756352422601551</v>
      </c>
      <c r="X606" s="2">
        <f ca="1"/>
        <v>63.702744136988173</v>
      </c>
      <c r="AG606" s="2">
        <f ca="1"/>
        <v>0.60551466213225957</v>
      </c>
      <c r="AH606" s="2" t="str">
        <f ca="1"/>
        <v>Bad</v>
      </c>
    </row>
    <row r="607" spans="2:34">
      <c r="B607" s="2">
        <f ca="1"/>
        <v>0.56729585026917961</v>
      </c>
      <c r="O607" s="2">
        <f ca="1"/>
        <v>1.2126794497608806</v>
      </c>
      <c r="X607" s="2">
        <f ca="1"/>
        <v>22.110481261428077</v>
      </c>
      <c r="AG607" s="2">
        <f ca="1"/>
        <v>9.6381404798480563E-2</v>
      </c>
      <c r="AH607" s="2" t="str">
        <f ca="1"/>
        <v>OK</v>
      </c>
    </row>
    <row r="608" spans="2:34">
      <c r="B608" s="2">
        <f ca="1"/>
        <v>0.89211561112784299</v>
      </c>
      <c r="O608" s="2">
        <f ca="1"/>
        <v>0.84877225750263818</v>
      </c>
      <c r="X608" s="2">
        <f ca="1"/>
        <v>47.594627446614972</v>
      </c>
      <c r="AG608" s="2">
        <f ca="1"/>
        <v>0.40971446099714681</v>
      </c>
      <c r="AH608" s="2" t="str">
        <f ca="1"/>
        <v>Bad</v>
      </c>
    </row>
    <row r="609" spans="2:34">
      <c r="B609" s="2">
        <f ca="1"/>
        <v>0.98408043828535186</v>
      </c>
      <c r="O609" s="2">
        <f ca="1"/>
        <v>-0.23722816453958803</v>
      </c>
      <c r="X609" s="2">
        <f ca="1"/>
        <v>75.23957979973386</v>
      </c>
      <c r="AG609" s="2">
        <f ca="1"/>
        <v>0.29185406330853625</v>
      </c>
      <c r="AH609" s="2" t="str">
        <f ca="1"/>
        <v>OK</v>
      </c>
    </row>
    <row r="610" spans="2:34">
      <c r="B610" s="2">
        <f ca="1"/>
        <v>0.18891817954939816</v>
      </c>
      <c r="O610" s="2">
        <f ca="1"/>
        <v>0.93975941083189762</v>
      </c>
      <c r="X610" s="2">
        <f ca="1"/>
        <v>42.262207505398592</v>
      </c>
      <c r="AG610" s="2">
        <f ca="1"/>
        <v>0.24668824182125393</v>
      </c>
      <c r="AH610" s="2" t="str">
        <f ca="1"/>
        <v>OK</v>
      </c>
    </row>
    <row r="611" spans="2:34">
      <c r="B611" s="2">
        <f ca="1"/>
        <v>1.6720646760602698E-2</v>
      </c>
      <c r="O611" s="2">
        <f ca="1"/>
        <v>-5.3235363554665585E-2</v>
      </c>
      <c r="X611" s="2">
        <f ca="1"/>
        <v>67.889558188114435</v>
      </c>
      <c r="AG611" s="2">
        <f ca="1"/>
        <v>0.3453477925242816</v>
      </c>
      <c r="AH611" s="2" t="str">
        <f ca="1"/>
        <v>OK</v>
      </c>
    </row>
    <row r="612" spans="2:34">
      <c r="B612" s="2">
        <f ca="1"/>
        <v>0.8485323317440443</v>
      </c>
      <c r="O612" s="2">
        <f ca="1"/>
        <v>0.8483164200940746</v>
      </c>
      <c r="X612" s="2">
        <f ca="1"/>
        <v>63.261615944430503</v>
      </c>
      <c r="AG612" s="2">
        <f ca="1"/>
        <v>0.40257888003157682</v>
      </c>
      <c r="AH612" s="2" t="str">
        <f ca="1"/>
        <v>Bad</v>
      </c>
    </row>
    <row r="613" spans="2:34">
      <c r="B613" s="2">
        <f ca="1"/>
        <v>0.52241630560663199</v>
      </c>
      <c r="O613" s="2">
        <f ca="1"/>
        <v>-0.23976056564357845</v>
      </c>
      <c r="X613" s="2">
        <f ca="1"/>
        <v>34.79848980921885</v>
      </c>
      <c r="AG613" s="2">
        <f ca="1"/>
        <v>0.8140577264755704</v>
      </c>
      <c r="AH613" s="2" t="str">
        <f ca="1"/>
        <v>Bad</v>
      </c>
    </row>
    <row r="614" spans="2:34">
      <c r="B614" s="2">
        <f ca="1"/>
        <v>7.1229566199210614E-2</v>
      </c>
      <c r="O614" s="2">
        <f ca="1"/>
        <v>0.44074227405191652</v>
      </c>
      <c r="X614" s="2">
        <f ca="1"/>
        <v>49.14668233421488</v>
      </c>
      <c r="AG614" s="2">
        <f ca="1"/>
        <v>0.6158088097596377</v>
      </c>
      <c r="AH614" s="2" t="str">
        <f ca="1"/>
        <v>Bad</v>
      </c>
    </row>
    <row r="615" spans="2:34">
      <c r="B615" s="2">
        <f ca="1"/>
        <v>2.2377187228901807E-2</v>
      </c>
      <c r="O615" s="2">
        <f ca="1"/>
        <v>-0.59817136737187937</v>
      </c>
      <c r="X615" s="2">
        <f ca="1"/>
        <v>42.358632710781421</v>
      </c>
      <c r="AG615" s="2">
        <f ca="1"/>
        <v>0.47037456952521106</v>
      </c>
      <c r="AH615" s="2" t="str">
        <f ca="1"/>
        <v>Bad</v>
      </c>
    </row>
    <row r="616" spans="2:34">
      <c r="B616" s="2">
        <f ca="1"/>
        <v>0.95252233657553531</v>
      </c>
      <c r="O616" s="2">
        <f ca="1"/>
        <v>1.3568207369188774</v>
      </c>
      <c r="X616" s="2">
        <f ca="1"/>
        <v>34.841928785463253</v>
      </c>
      <c r="AG616" s="2">
        <f ca="1"/>
        <v>0.82778212970583098</v>
      </c>
      <c r="AH616" s="2" t="str">
        <f ca="1"/>
        <v>Bad</v>
      </c>
    </row>
    <row r="617" spans="2:34">
      <c r="B617" s="2">
        <f ca="1"/>
        <v>0.12030030493698418</v>
      </c>
      <c r="O617" s="2">
        <f ca="1"/>
        <v>4.5048134366819363E-2</v>
      </c>
      <c r="X617" s="2">
        <f ca="1"/>
        <v>39.647668001732171</v>
      </c>
      <c r="AG617" s="2">
        <f ca="1"/>
        <v>0.81764778790368609</v>
      </c>
      <c r="AH617" s="2" t="str">
        <f ca="1"/>
        <v>Bad</v>
      </c>
    </row>
    <row r="618" spans="2:34">
      <c r="B618" s="2">
        <f ca="1"/>
        <v>0.83018959951139415</v>
      </c>
      <c r="O618" s="2">
        <f ca="1"/>
        <v>-0.21986782764764742</v>
      </c>
      <c r="X618" s="2">
        <f ca="1"/>
        <v>94.915199659683594</v>
      </c>
      <c r="AG618" s="2">
        <f ca="1"/>
        <v>0.79691631749128522</v>
      </c>
      <c r="AH618" s="2" t="str">
        <f ca="1"/>
        <v>Bad</v>
      </c>
    </row>
    <row r="619" spans="2:34">
      <c r="B619" s="2">
        <f ca="1"/>
        <v>0.62162970318323119</v>
      </c>
      <c r="O619" s="2">
        <f ca="1"/>
        <v>-0.30018795865302172</v>
      </c>
      <c r="X619" s="2">
        <f ca="1"/>
        <v>58.56774665325468</v>
      </c>
      <c r="AG619" s="2">
        <f ca="1"/>
        <v>0.8282603783512863</v>
      </c>
      <c r="AH619" s="2" t="str">
        <f ca="1"/>
        <v>Bad</v>
      </c>
    </row>
    <row r="620" spans="2:34">
      <c r="B620" s="2">
        <f ca="1"/>
        <v>0.2493390594757432</v>
      </c>
      <c r="O620" s="2">
        <f ca="1"/>
        <v>-2.246623623196411</v>
      </c>
      <c r="X620" s="2">
        <f ca="1"/>
        <v>46.24228857683196</v>
      </c>
      <c r="AG620" s="2">
        <f ca="1"/>
        <v>0.54040052627391266</v>
      </c>
      <c r="AH620" s="2" t="str">
        <f ca="1"/>
        <v>Bad</v>
      </c>
    </row>
    <row r="621" spans="2:34">
      <c r="B621" s="2">
        <f ca="1"/>
        <v>0.83914697399671501</v>
      </c>
      <c r="O621" s="2">
        <f ca="1"/>
        <v>-0.73138678125093493</v>
      </c>
      <c r="X621" s="2">
        <f ca="1"/>
        <v>45.773508678260214</v>
      </c>
      <c r="AG621" s="2">
        <f ca="1"/>
        <v>0.25295207459329938</v>
      </c>
      <c r="AH621" s="2" t="str">
        <f ca="1"/>
        <v>OK</v>
      </c>
    </row>
    <row r="622" spans="2:34">
      <c r="B622" s="2">
        <f ca="1"/>
        <v>0.66226641521348584</v>
      </c>
      <c r="O622" s="2">
        <f ca="1"/>
        <v>-0.63041821083245964</v>
      </c>
      <c r="X622" s="2">
        <f ca="1"/>
        <v>44.406053734450325</v>
      </c>
      <c r="AG622" s="2">
        <f ca="1"/>
        <v>0.35464045328210125</v>
      </c>
      <c r="AH622" s="2" t="str">
        <f ca="1"/>
        <v>OK</v>
      </c>
    </row>
    <row r="623" spans="2:34">
      <c r="B623" s="2">
        <f ca="1"/>
        <v>0.72839271394864546</v>
      </c>
      <c r="O623" s="2">
        <f ca="1"/>
        <v>-0.95878410586640095</v>
      </c>
      <c r="X623" s="2">
        <f ca="1"/>
        <v>24.331800752462222</v>
      </c>
      <c r="AG623" s="2">
        <f ca="1"/>
        <v>0.94043240420146312</v>
      </c>
      <c r="AH623" s="2" t="str">
        <f ca="1"/>
        <v>Bad</v>
      </c>
    </row>
    <row r="624" spans="2:34">
      <c r="B624" s="2">
        <f ca="1"/>
        <v>0.42802714078199755</v>
      </c>
      <c r="O624" s="2">
        <f ca="1"/>
        <v>-1.1610486168421075</v>
      </c>
      <c r="X624" s="2">
        <f ca="1"/>
        <v>58.655865080058057</v>
      </c>
      <c r="AG624" s="2">
        <f ca="1"/>
        <v>0.90949308933762807</v>
      </c>
      <c r="AH624" s="2" t="str">
        <f ca="1"/>
        <v>Bad</v>
      </c>
    </row>
    <row r="625" spans="2:34">
      <c r="B625" s="2">
        <f ca="1"/>
        <v>0.50349778807400947</v>
      </c>
      <c r="O625" s="2">
        <f ca="1"/>
        <v>1.8137947048601173</v>
      </c>
      <c r="X625" s="2">
        <f ca="1"/>
        <v>63.795680770041272</v>
      </c>
      <c r="AG625" s="2">
        <f ca="1"/>
        <v>0.59752367478965396</v>
      </c>
      <c r="AH625" s="2" t="str">
        <f ca="1"/>
        <v>Bad</v>
      </c>
    </row>
    <row r="626" spans="2:34">
      <c r="B626" s="2">
        <f ca="1"/>
        <v>0.9844212816316209</v>
      </c>
      <c r="O626" s="2">
        <f ca="1"/>
        <v>4.4324986764611135E-2</v>
      </c>
      <c r="X626" s="2">
        <f ca="1"/>
        <v>49.279374789667315</v>
      </c>
      <c r="AG626" s="2">
        <f ca="1"/>
        <v>3.9586759089203394E-2</v>
      </c>
      <c r="AH626" s="2" t="str">
        <f ca="1"/>
        <v>Good</v>
      </c>
    </row>
    <row r="627" spans="2:34">
      <c r="B627" s="2">
        <f ca="1"/>
        <v>0.69398290642483462</v>
      </c>
      <c r="O627" s="2">
        <f ca="1"/>
        <v>-9.7768864942832157E-2</v>
      </c>
      <c r="X627" s="2">
        <f ca="1"/>
        <v>54.363110440530448</v>
      </c>
      <c r="AG627" s="2">
        <f ca="1"/>
        <v>0.30387871714558967</v>
      </c>
      <c r="AH627" s="2" t="str">
        <f ca="1"/>
        <v>OK</v>
      </c>
    </row>
    <row r="628" spans="2:34">
      <c r="B628" s="2">
        <f ca="1"/>
        <v>0.35055085133745711</v>
      </c>
      <c r="O628" s="2">
        <f ca="1"/>
        <v>-1.7688921437163008</v>
      </c>
      <c r="X628" s="2">
        <f ca="1"/>
        <v>51.690280790065238</v>
      </c>
      <c r="AG628" s="2">
        <f ca="1"/>
        <v>0.28926413737123147</v>
      </c>
      <c r="AH628" s="2" t="str">
        <f ca="1"/>
        <v>OK</v>
      </c>
    </row>
    <row r="629" spans="2:34">
      <c r="B629" s="2">
        <f ca="1"/>
        <v>0.17401143510463535</v>
      </c>
      <c r="O629" s="2">
        <f ca="1"/>
        <v>2.2732244895111307</v>
      </c>
      <c r="X629" s="2">
        <f ca="1"/>
        <v>73.471723935881016</v>
      </c>
      <c r="AG629" s="2">
        <f ca="1"/>
        <v>0.66475020126160111</v>
      </c>
      <c r="AH629" s="2" t="str">
        <f ca="1"/>
        <v>Bad</v>
      </c>
    </row>
    <row r="630" spans="2:34">
      <c r="B630" s="2">
        <f ca="1"/>
        <v>0.82164569550314304</v>
      </c>
      <c r="O630" s="2">
        <f ca="1"/>
        <v>-0.89065448847423145</v>
      </c>
      <c r="X630" s="2">
        <f ca="1"/>
        <v>62.860931827441178</v>
      </c>
      <c r="AG630" s="2">
        <f ca="1"/>
        <v>0.18415308684932064</v>
      </c>
      <c r="AH630" s="2" t="str">
        <f ca="1"/>
        <v>OK</v>
      </c>
    </row>
    <row r="631" spans="2:34">
      <c r="B631" s="2">
        <f ca="1"/>
        <v>0.26709338836434671</v>
      </c>
      <c r="O631" s="2">
        <f ca="1"/>
        <v>1.0115389447843468</v>
      </c>
      <c r="X631" s="2">
        <f ca="1"/>
        <v>42.059085109099371</v>
      </c>
      <c r="AG631" s="2">
        <f ca="1"/>
        <v>0.39951268065216872</v>
      </c>
      <c r="AH631" s="2" t="str">
        <f ca="1"/>
        <v>OK</v>
      </c>
    </row>
    <row r="632" spans="2:34">
      <c r="B632" s="2">
        <f ca="1"/>
        <v>0.73014891124076597</v>
      </c>
      <c r="O632" s="2">
        <f ca="1"/>
        <v>0.61035810928827483</v>
      </c>
      <c r="X632" s="2">
        <f ca="1"/>
        <v>58.935267636689808</v>
      </c>
      <c r="AG632" s="2">
        <f ca="1"/>
        <v>2.7263675917002406E-2</v>
      </c>
      <c r="AH632" s="2" t="str">
        <f ca="1"/>
        <v>Good</v>
      </c>
    </row>
    <row r="633" spans="2:34">
      <c r="B633" s="2">
        <f ca="1"/>
        <v>0.3896184144318644</v>
      </c>
      <c r="O633" s="2">
        <f ca="1"/>
        <v>0.22300549400574218</v>
      </c>
      <c r="X633" s="2">
        <f ca="1"/>
        <v>77.048637584962833</v>
      </c>
      <c r="AG633" s="2">
        <f ca="1"/>
        <v>0.82394806175700497</v>
      </c>
      <c r="AH633" s="2" t="str">
        <f ca="1"/>
        <v>Bad</v>
      </c>
    </row>
    <row r="634" spans="2:34">
      <c r="B634" s="2">
        <f ca="1"/>
        <v>0.20148864434914882</v>
      </c>
      <c r="O634" s="2">
        <f ca="1"/>
        <v>-0.26247194891050846</v>
      </c>
      <c r="X634" s="2">
        <f ca="1"/>
        <v>58.297963672850315</v>
      </c>
      <c r="AG634" s="2">
        <f ca="1"/>
        <v>0.80836814734711337</v>
      </c>
      <c r="AH634" s="2" t="str">
        <f ca="1"/>
        <v>Bad</v>
      </c>
    </row>
    <row r="635" spans="2:34">
      <c r="B635" s="2">
        <f ca="1"/>
        <v>0.33460547815178909</v>
      </c>
      <c r="O635" s="2">
        <f ca="1"/>
        <v>2.7253870071048621E-2</v>
      </c>
      <c r="X635" s="2">
        <f ca="1"/>
        <v>60.358497076150847</v>
      </c>
      <c r="AG635" s="2">
        <f ca="1"/>
        <v>0.10918455805190885</v>
      </c>
      <c r="AH635" s="2" t="str">
        <f ca="1"/>
        <v>OK</v>
      </c>
    </row>
    <row r="636" spans="2:34">
      <c r="B636" s="2">
        <f ca="1"/>
        <v>0.55215695149324384</v>
      </c>
      <c r="O636" s="2">
        <f ca="1"/>
        <v>1.4112588571047231</v>
      </c>
      <c r="X636" s="2">
        <f ca="1"/>
        <v>28.23409728755184</v>
      </c>
      <c r="AG636" s="2">
        <f ca="1"/>
        <v>0.25095284920594541</v>
      </c>
      <c r="AH636" s="2" t="str">
        <f ca="1"/>
        <v>OK</v>
      </c>
    </row>
    <row r="637" spans="2:34">
      <c r="B637" s="2">
        <f ca="1"/>
        <v>0.33217273197705133</v>
      </c>
      <c r="O637" s="2">
        <f ca="1"/>
        <v>-5.2638076663541429E-2</v>
      </c>
      <c r="X637" s="2">
        <f ca="1"/>
        <v>49.063127626190344</v>
      </c>
      <c r="AG637" s="2">
        <f ca="1"/>
        <v>0.29729811859815203</v>
      </c>
      <c r="AH637" s="2" t="str">
        <f ca="1"/>
        <v>OK</v>
      </c>
    </row>
    <row r="638" spans="2:34">
      <c r="B638" s="2">
        <f ca="1"/>
        <v>0.87451625150397061</v>
      </c>
      <c r="O638" s="2">
        <f ca="1"/>
        <v>0.69900674323739698</v>
      </c>
      <c r="X638" s="2">
        <f ca="1"/>
        <v>72.430126350565132</v>
      </c>
      <c r="AG638" s="2">
        <f ca="1"/>
        <v>0.50726285093562695</v>
      </c>
      <c r="AH638" s="2" t="str">
        <f ca="1"/>
        <v>Bad</v>
      </c>
    </row>
    <row r="639" spans="2:34">
      <c r="B639" s="2">
        <f ca="1"/>
        <v>0.98329810371421633</v>
      </c>
      <c r="O639" s="2">
        <f ca="1"/>
        <v>0.52945203870288693</v>
      </c>
      <c r="X639" s="2">
        <f ca="1"/>
        <v>55.125530019811329</v>
      </c>
      <c r="AG639" s="2">
        <f ca="1"/>
        <v>0.80900688115455233</v>
      </c>
      <c r="AH639" s="2" t="str">
        <f ca="1"/>
        <v>Bad</v>
      </c>
    </row>
    <row r="640" spans="2:34">
      <c r="B640" s="2">
        <f ca="1"/>
        <v>0.80730627781055975</v>
      </c>
      <c r="O640" s="2">
        <f ca="1"/>
        <v>-1.1991042928089996E-2</v>
      </c>
      <c r="X640" s="2">
        <f ca="1"/>
        <v>37.034077978893485</v>
      </c>
      <c r="AG640" s="2">
        <f ca="1"/>
        <v>0.15139194138804424</v>
      </c>
      <c r="AH640" s="2" t="str">
        <f ca="1"/>
        <v>OK</v>
      </c>
    </row>
    <row r="641" spans="2:34">
      <c r="B641" s="2">
        <f ca="1"/>
        <v>0.1101940499781382</v>
      </c>
      <c r="O641" s="2">
        <f ca="1"/>
        <v>-0.44421243726727666</v>
      </c>
      <c r="X641" s="2">
        <f ca="1"/>
        <v>36.522434238889772</v>
      </c>
      <c r="AG641" s="2">
        <f ca="1"/>
        <v>0.92582349957943255</v>
      </c>
      <c r="AH641" s="2" t="str">
        <f ca="1"/>
        <v>Bad</v>
      </c>
    </row>
    <row r="642" spans="2:34">
      <c r="B642" s="2">
        <f ca="1"/>
        <v>0.64863997263991724</v>
      </c>
      <c r="O642" s="2">
        <f ca="1"/>
        <v>0.49305689807854003</v>
      </c>
      <c r="X642" s="2">
        <f ca="1"/>
        <v>39.796839497903647</v>
      </c>
      <c r="AG642" s="2">
        <f ca="1"/>
        <v>0.78953197669915598</v>
      </c>
      <c r="AH642" s="2" t="str">
        <f ca="1"/>
        <v>Bad</v>
      </c>
    </row>
    <row r="643" spans="2:34">
      <c r="B643" s="2">
        <f ca="1"/>
        <v>0.96270483039030363</v>
      </c>
      <c r="O643" s="2">
        <f ca="1"/>
        <v>-1.8727647672245895</v>
      </c>
      <c r="X643" s="2">
        <f ca="1"/>
        <v>63.903080064571697</v>
      </c>
      <c r="AG643" s="2">
        <f ca="1"/>
        <v>8.1199523698477938E-2</v>
      </c>
      <c r="AH643" s="2" t="str">
        <f ca="1"/>
        <v>OK</v>
      </c>
    </row>
    <row r="644" spans="2:34">
      <c r="B644" s="2">
        <f ca="1"/>
        <v>0.83806711494405595</v>
      </c>
      <c r="O644" s="2">
        <f ca="1"/>
        <v>1.359795662515912</v>
      </c>
      <c r="X644" s="2">
        <f ca="1"/>
        <v>57.859850193757232</v>
      </c>
      <c r="AG644" s="2">
        <f ca="1"/>
        <v>8.2925705382555837E-2</v>
      </c>
      <c r="AH644" s="2" t="str">
        <f ca="1"/>
        <v>OK</v>
      </c>
    </row>
    <row r="645" spans="2:34">
      <c r="B645" s="2">
        <f ca="1"/>
        <v>0.48492930046351601</v>
      </c>
      <c r="O645" s="2">
        <f ca="1"/>
        <v>-0.23267320044037915</v>
      </c>
      <c r="X645" s="2">
        <f ca="1"/>
        <v>24.397194357013575</v>
      </c>
      <c r="AG645" s="2">
        <f ca="1"/>
        <v>2.0920435944742355E-2</v>
      </c>
      <c r="AH645" s="2" t="str">
        <f ca="1"/>
        <v>Good</v>
      </c>
    </row>
    <row r="646" spans="2:34">
      <c r="B646" s="2">
        <f ca="1"/>
        <v>0.58339822788642715</v>
      </c>
      <c r="O646" s="2">
        <f ca="1"/>
        <v>-0.33184105929023611</v>
      </c>
      <c r="X646" s="2">
        <f ca="1"/>
        <v>50.060372855860471</v>
      </c>
      <c r="AG646" s="2">
        <f ca="1"/>
        <v>0.11422014241055134</v>
      </c>
      <c r="AH646" s="2" t="str">
        <f ca="1"/>
        <v>OK</v>
      </c>
    </row>
    <row r="647" spans="2:34">
      <c r="B647" s="2">
        <f ca="1"/>
        <v>0.48780286477500878</v>
      </c>
      <c r="O647" s="2">
        <f ca="1"/>
        <v>-0.27559697656657722</v>
      </c>
      <c r="X647" s="2">
        <f ca="1"/>
        <v>60.200314356095291</v>
      </c>
      <c r="AG647" s="2">
        <f ca="1"/>
        <v>0.52145840393549592</v>
      </c>
      <c r="AH647" s="2" t="str">
        <f ca="1"/>
        <v>Bad</v>
      </c>
    </row>
    <row r="648" spans="2:34">
      <c r="B648" s="2">
        <f ca="1"/>
        <v>3.988124065822185E-2</v>
      </c>
      <c r="O648" s="2">
        <f ca="1"/>
        <v>-0.22806523791680094</v>
      </c>
      <c r="X648" s="2">
        <f ca="1"/>
        <v>47.759365225298822</v>
      </c>
      <c r="AG648" s="2">
        <f ca="1"/>
        <v>0.6826868795064327</v>
      </c>
      <c r="AH648" s="2" t="str">
        <f ca="1"/>
        <v>Bad</v>
      </c>
    </row>
    <row r="649" spans="2:34">
      <c r="B649" s="2">
        <f ca="1"/>
        <v>0.35629920118682645</v>
      </c>
      <c r="O649" s="2">
        <f ca="1"/>
        <v>2.541681153084566</v>
      </c>
      <c r="X649" s="2">
        <f ca="1"/>
        <v>52.266806209382082</v>
      </c>
      <c r="AG649" s="2">
        <f ca="1"/>
        <v>0.28575269711421991</v>
      </c>
      <c r="AH649" s="2" t="str">
        <f ca="1"/>
        <v>OK</v>
      </c>
    </row>
    <row r="650" spans="2:34">
      <c r="B650" s="2">
        <f ca="1"/>
        <v>0.10790566339303664</v>
      </c>
      <c r="O650" s="2">
        <f ca="1"/>
        <v>-0.52007947651611119</v>
      </c>
      <c r="X650" s="2">
        <f ca="1"/>
        <v>75.202018030034395</v>
      </c>
      <c r="AG650" s="2">
        <f ca="1"/>
        <v>0.88746981008855674</v>
      </c>
      <c r="AH650" s="2" t="str">
        <f ca="1"/>
        <v>Bad</v>
      </c>
    </row>
    <row r="651" spans="2:34">
      <c r="B651" s="2">
        <f ca="1"/>
        <v>0.19366932355406963</v>
      </c>
      <c r="O651" s="2">
        <f ca="1"/>
        <v>0.26990704180865838</v>
      </c>
      <c r="X651" s="2">
        <f ca="1"/>
        <v>72.09539972903049</v>
      </c>
      <c r="AG651" s="2">
        <f ca="1"/>
        <v>0.99397218680070742</v>
      </c>
      <c r="AH651" s="2" t="str">
        <f ca="1"/>
        <v>Bad</v>
      </c>
    </row>
    <row r="652" spans="2:34">
      <c r="B652" s="2">
        <f ca="1"/>
        <v>0.97173564352585173</v>
      </c>
      <c r="O652" s="2">
        <f ca="1"/>
        <v>0.30554900984250188</v>
      </c>
      <c r="X652" s="2">
        <f ca="1"/>
        <v>43.551590835820349</v>
      </c>
      <c r="AG652" s="2">
        <f ca="1"/>
        <v>0.71324837787207507</v>
      </c>
      <c r="AH652" s="2" t="str">
        <f ca="1"/>
        <v>Bad</v>
      </c>
    </row>
    <row r="653" spans="2:34">
      <c r="B653" s="2">
        <f ca="1"/>
        <v>9.5301642154295596E-2</v>
      </c>
      <c r="O653" s="2">
        <f ca="1"/>
        <v>2.0994151185927032</v>
      </c>
      <c r="X653" s="2">
        <f ca="1"/>
        <v>34.809472985217333</v>
      </c>
      <c r="AG653" s="2">
        <f ca="1"/>
        <v>0.96260456781972081</v>
      </c>
      <c r="AH653" s="2" t="str">
        <f ca="1"/>
        <v>Bad</v>
      </c>
    </row>
    <row r="654" spans="2:34">
      <c r="B654" s="2">
        <f ca="1"/>
        <v>5.4952386803548858E-2</v>
      </c>
      <c r="O654" s="2">
        <f ca="1"/>
        <v>-1.3499987950535077</v>
      </c>
      <c r="X654" s="2">
        <f ca="1"/>
        <v>41.109771217823479</v>
      </c>
      <c r="AG654" s="2">
        <f ca="1"/>
        <v>0.38854733865255664</v>
      </c>
      <c r="AH654" s="2" t="str">
        <f ca="1"/>
        <v>OK</v>
      </c>
    </row>
    <row r="655" spans="2:34">
      <c r="B655" s="2">
        <f ca="1"/>
        <v>0.68787128245771378</v>
      </c>
      <c r="O655" s="2">
        <f ca="1"/>
        <v>0.99433138883503414</v>
      </c>
      <c r="X655" s="2">
        <f ca="1"/>
        <v>62.064181532232851</v>
      </c>
      <c r="AG655" s="2">
        <f ca="1"/>
        <v>0.43492814733008034</v>
      </c>
      <c r="AH655" s="2" t="str">
        <f ca="1"/>
        <v>Bad</v>
      </c>
    </row>
    <row r="656" spans="2:34">
      <c r="B656" s="2">
        <f ca="1"/>
        <v>0.73775771427004044</v>
      </c>
      <c r="O656" s="2">
        <f ca="1"/>
        <v>-0.26792233101604679</v>
      </c>
      <c r="X656" s="2">
        <f ca="1"/>
        <v>35.65904225487354</v>
      </c>
      <c r="AG656" s="2">
        <f ca="1"/>
        <v>0.60278834899747369</v>
      </c>
      <c r="AH656" s="2" t="str">
        <f ca="1"/>
        <v>Bad</v>
      </c>
    </row>
    <row r="657" spans="2:34">
      <c r="B657" s="2">
        <f ca="1"/>
        <v>0.36936657456371158</v>
      </c>
      <c r="O657" s="2">
        <f ca="1"/>
        <v>-1.4781298866165349</v>
      </c>
      <c r="X657" s="2">
        <f ca="1"/>
        <v>44.109764306554389</v>
      </c>
      <c r="AG657" s="2">
        <f ca="1"/>
        <v>0.50689962321791349</v>
      </c>
      <c r="AH657" s="2" t="str">
        <f ca="1"/>
        <v>Bad</v>
      </c>
    </row>
    <row r="658" spans="2:34">
      <c r="B658" s="2">
        <f ca="1"/>
        <v>0.1779648200391637</v>
      </c>
      <c r="O658" s="2">
        <f ca="1"/>
        <v>1.58129645389975</v>
      </c>
      <c r="X658" s="2">
        <f ca="1"/>
        <v>64.698223756606822</v>
      </c>
      <c r="AG658" s="2">
        <f ca="1"/>
        <v>0.46965352639179558</v>
      </c>
      <c r="AH658" s="2" t="str">
        <f ca="1"/>
        <v>Bad</v>
      </c>
    </row>
    <row r="659" spans="2:34">
      <c r="B659" s="2">
        <f ca="1"/>
        <v>5.9102555274951118E-2</v>
      </c>
      <c r="O659" s="2">
        <f ca="1"/>
        <v>0.48421036530126887</v>
      </c>
      <c r="X659" s="2">
        <f ca="1"/>
        <v>49.614810516544836</v>
      </c>
      <c r="AG659" s="2">
        <f ca="1"/>
        <v>2.2680159584453019E-2</v>
      </c>
      <c r="AH659" s="2" t="str">
        <f ca="1"/>
        <v>Good</v>
      </c>
    </row>
    <row r="660" spans="2:34">
      <c r="B660" s="2">
        <f ca="1"/>
        <v>0.73939817838543287</v>
      </c>
      <c r="O660" s="2">
        <f ca="1"/>
        <v>-0.42742375818093109</v>
      </c>
      <c r="X660" s="2">
        <f ca="1"/>
        <v>64.475605344479547</v>
      </c>
      <c r="AG660" s="2">
        <f ca="1"/>
        <v>0.24531860140262274</v>
      </c>
      <c r="AH660" s="2" t="str">
        <f ca="1"/>
        <v>OK</v>
      </c>
    </row>
    <row r="661" spans="2:34">
      <c r="B661" s="2">
        <f ca="1"/>
        <v>0.52368874978463764</v>
      </c>
      <c r="O661" s="2">
        <f ca="1"/>
        <v>0.61101416744700332</v>
      </c>
      <c r="X661" s="2">
        <f ca="1"/>
        <v>36.772975935506487</v>
      </c>
      <c r="AG661" s="2">
        <f ca="1"/>
        <v>0.83175573908324063</v>
      </c>
      <c r="AH661" s="2" t="str">
        <f ca="1"/>
        <v>Bad</v>
      </c>
    </row>
    <row r="662" spans="2:34">
      <c r="B662" s="2">
        <f ca="1"/>
        <v>0.81864663572719332</v>
      </c>
      <c r="O662" s="2">
        <f ca="1"/>
        <v>-0.19184599986593395</v>
      </c>
      <c r="X662" s="2">
        <f ca="1"/>
        <v>77.075582458004121</v>
      </c>
      <c r="AG662" s="2">
        <f ca="1"/>
        <v>0.55767795226436756</v>
      </c>
      <c r="AH662" s="2" t="str">
        <f ca="1"/>
        <v>Bad</v>
      </c>
    </row>
    <row r="663" spans="2:34">
      <c r="B663" s="2">
        <f ca="1"/>
        <v>0.96445908655884427</v>
      </c>
      <c r="O663" s="2">
        <f ca="1"/>
        <v>-1.3605303497904389</v>
      </c>
      <c r="X663" s="2">
        <f ca="1"/>
        <v>45.612944207610859</v>
      </c>
      <c r="AG663" s="2">
        <f ca="1"/>
        <v>0.31255718702045554</v>
      </c>
      <c r="AH663" s="2" t="str">
        <f ca="1"/>
        <v>OK</v>
      </c>
    </row>
    <row r="664" spans="2:34">
      <c r="B664" s="2">
        <f ca="1"/>
        <v>0.86765243661568237</v>
      </c>
      <c r="O664" s="2">
        <f ca="1"/>
        <v>0.7754175623942049</v>
      </c>
      <c r="X664" s="2">
        <f ca="1"/>
        <v>53.699237960909578</v>
      </c>
      <c r="AG664" s="2">
        <f ca="1"/>
        <v>0.82607860316146975</v>
      </c>
      <c r="AH664" s="2" t="str">
        <f ca="1"/>
        <v>Bad</v>
      </c>
    </row>
    <row r="665" spans="2:34">
      <c r="B665" s="2">
        <f ca="1"/>
        <v>0.26817859068141781</v>
      </c>
      <c r="O665" s="2">
        <f ca="1"/>
        <v>0.64016133913307083</v>
      </c>
      <c r="X665" s="2">
        <f ca="1"/>
        <v>21.934490141105979</v>
      </c>
      <c r="AG665" s="2">
        <f ca="1"/>
        <v>0.14904382181404507</v>
      </c>
      <c r="AH665" s="2" t="str">
        <f ca="1"/>
        <v>OK</v>
      </c>
    </row>
    <row r="666" spans="2:34">
      <c r="B666" s="2">
        <f ca="1"/>
        <v>0.31750338746294959</v>
      </c>
      <c r="O666" s="2">
        <f ca="1"/>
        <v>-1.1422814457955257</v>
      </c>
      <c r="X666" s="2">
        <f ca="1"/>
        <v>66.377985238623495</v>
      </c>
      <c r="AG666" s="2">
        <f ca="1"/>
        <v>0.71748769406174873</v>
      </c>
      <c r="AH666" s="2" t="str">
        <f ca="1"/>
        <v>Bad</v>
      </c>
    </row>
    <row r="667" spans="2:34">
      <c r="B667" s="2">
        <f ca="1"/>
        <v>0.30697057359574087</v>
      </c>
      <c r="O667" s="2">
        <f ca="1"/>
        <v>0.90513141676692777</v>
      </c>
      <c r="X667" s="2">
        <f ca="1"/>
        <v>47.367690952280768</v>
      </c>
      <c r="AG667" s="2">
        <f ca="1"/>
        <v>5.3020928331121597E-2</v>
      </c>
      <c r="AH667" s="2" t="str">
        <f ca="1"/>
        <v>OK</v>
      </c>
    </row>
    <row r="668" spans="2:34">
      <c r="B668" s="2">
        <f ca="1"/>
        <v>0.7462713071244329</v>
      </c>
      <c r="O668" s="2">
        <f ca="1"/>
        <v>0.57454546181920829</v>
      </c>
      <c r="X668" s="2">
        <f ca="1"/>
        <v>54.068465371343905</v>
      </c>
      <c r="AG668" s="2">
        <f ca="1"/>
        <v>0.81604642172920805</v>
      </c>
      <c r="AH668" s="2" t="str">
        <f ca="1"/>
        <v>Bad</v>
      </c>
    </row>
    <row r="669" spans="2:34">
      <c r="B669" s="2">
        <f ca="1"/>
        <v>0.68339598361039022</v>
      </c>
      <c r="O669" s="2">
        <f ca="1"/>
        <v>1.9686012544314491</v>
      </c>
      <c r="X669" s="2">
        <f ca="1"/>
        <v>56.737705479021734</v>
      </c>
      <c r="AG669" s="2">
        <f ca="1"/>
        <v>3.6591735068509212E-2</v>
      </c>
      <c r="AH669" s="2" t="str">
        <f ca="1"/>
        <v>Good</v>
      </c>
    </row>
    <row r="670" spans="2:34">
      <c r="B670" s="2">
        <f ca="1"/>
        <v>0.94773904705592305</v>
      </c>
      <c r="O670" s="2">
        <f ca="1"/>
        <v>-0.63465230372479797</v>
      </c>
      <c r="X670" s="2">
        <f ca="1"/>
        <v>40.819673199389428</v>
      </c>
      <c r="AG670" s="2">
        <f ca="1"/>
        <v>4.3852553199564603E-2</v>
      </c>
      <c r="AH670" s="2" t="str">
        <f ca="1"/>
        <v>Good</v>
      </c>
    </row>
    <row r="671" spans="2:34">
      <c r="B671" s="2">
        <f ca="1"/>
        <v>0.50963001814526931</v>
      </c>
      <c r="O671" s="2">
        <f ca="1"/>
        <v>0.61117183754581494</v>
      </c>
      <c r="X671" s="2">
        <f ca="1"/>
        <v>40.988190545634012</v>
      </c>
      <c r="AG671" s="2">
        <f ca="1"/>
        <v>0.97399445141317154</v>
      </c>
      <c r="AH671" s="2" t="str">
        <f ca="1"/>
        <v>Bad</v>
      </c>
    </row>
    <row r="672" spans="2:34">
      <c r="B672" s="2">
        <f ca="1"/>
        <v>0.16357473027156733</v>
      </c>
      <c r="O672" s="2">
        <f ca="1"/>
        <v>-0.25167135340514912</v>
      </c>
      <c r="X672" s="2">
        <f ca="1"/>
        <v>71.63859862896949</v>
      </c>
      <c r="AG672" s="2">
        <f ca="1"/>
        <v>8.1245030962761478E-2</v>
      </c>
      <c r="AH672" s="2" t="str">
        <f ca="1"/>
        <v>OK</v>
      </c>
    </row>
    <row r="673" spans="2:34">
      <c r="B673" s="2">
        <f ca="1"/>
        <v>0.29421299973696757</v>
      </c>
      <c r="O673" s="2">
        <f ca="1"/>
        <v>-1.805991227895585</v>
      </c>
      <c r="X673" s="2">
        <f ca="1"/>
        <v>65.591343393432624</v>
      </c>
      <c r="AG673" s="2">
        <f ca="1"/>
        <v>0.25912288701680142</v>
      </c>
      <c r="AH673" s="2" t="str">
        <f ca="1"/>
        <v>OK</v>
      </c>
    </row>
    <row r="674" spans="2:34">
      <c r="B674" s="2">
        <f ca="1"/>
        <v>0.98096049139472452</v>
      </c>
      <c r="O674" s="2">
        <f ca="1"/>
        <v>0.46327799049904606</v>
      </c>
      <c r="X674" s="2">
        <f ca="1"/>
        <v>29.190129842924691</v>
      </c>
      <c r="AG674" s="2">
        <f ca="1"/>
        <v>0.63324359263492136</v>
      </c>
      <c r="AH674" s="2" t="str">
        <f ca="1"/>
        <v>Bad</v>
      </c>
    </row>
    <row r="675" spans="2:34">
      <c r="B675" s="2">
        <f ca="1"/>
        <v>0.9320942070419973</v>
      </c>
      <c r="O675" s="2">
        <f ca="1"/>
        <v>-1.759870063165895</v>
      </c>
      <c r="X675" s="2">
        <f ca="1"/>
        <v>31.931891257088356</v>
      </c>
      <c r="AG675" s="2">
        <f ca="1"/>
        <v>0.90959895101518229</v>
      </c>
      <c r="AH675" s="2" t="str">
        <f ca="1"/>
        <v>Bad</v>
      </c>
    </row>
    <row r="676" spans="2:34">
      <c r="B676" s="2">
        <f ca="1"/>
        <v>0.63902544077203483</v>
      </c>
      <c r="O676" s="2">
        <f ca="1"/>
        <v>0.74624396837374685</v>
      </c>
      <c r="X676" s="2">
        <f ca="1"/>
        <v>34.127489381406455</v>
      </c>
      <c r="AG676" s="2">
        <f ca="1"/>
        <v>0.51590947160559364</v>
      </c>
      <c r="AH676" s="2" t="str">
        <f ca="1"/>
        <v>Bad</v>
      </c>
    </row>
    <row r="677" spans="2:34">
      <c r="B677" s="2">
        <f ca="1"/>
        <v>0.64398720886947669</v>
      </c>
      <c r="O677" s="2">
        <f ca="1"/>
        <v>0.43269299776482972</v>
      </c>
      <c r="X677" s="2">
        <f ca="1"/>
        <v>46.085917901766621</v>
      </c>
      <c r="AG677" s="2">
        <f ca="1"/>
        <v>0.77668981109418378</v>
      </c>
      <c r="AH677" s="2" t="str">
        <f ca="1"/>
        <v>Bad</v>
      </c>
    </row>
    <row r="678" spans="2:34">
      <c r="B678" s="2">
        <f ca="1"/>
        <v>0.95025955418924601</v>
      </c>
      <c r="O678" s="2">
        <f ca="1"/>
        <v>0.78063524309640986</v>
      </c>
      <c r="X678" s="2">
        <f ca="1"/>
        <v>49.0942529440401</v>
      </c>
      <c r="AG678" s="2">
        <f ca="1"/>
        <v>0.21881006407078196</v>
      </c>
      <c r="AH678" s="2" t="str">
        <f ca="1"/>
        <v>OK</v>
      </c>
    </row>
    <row r="679" spans="2:34">
      <c r="B679" s="2">
        <f ca="1"/>
        <v>0.87688457810019815</v>
      </c>
      <c r="O679" s="2">
        <f ca="1"/>
        <v>-1.001213946624167</v>
      </c>
      <c r="X679" s="2">
        <f ca="1"/>
        <v>71.150722423742039</v>
      </c>
      <c r="AG679" s="2">
        <f ca="1"/>
        <v>0.47744830046912634</v>
      </c>
      <c r="AH679" s="2" t="str">
        <f ca="1"/>
        <v>Bad</v>
      </c>
    </row>
    <row r="680" spans="2:34">
      <c r="B680" s="2">
        <f ca="1"/>
        <v>6.5373458104223126E-2</v>
      </c>
      <c r="O680" s="2">
        <f ca="1"/>
        <v>0.114657584148064</v>
      </c>
      <c r="X680" s="2">
        <f ca="1"/>
        <v>33.531995389425603</v>
      </c>
      <c r="AG680" s="2">
        <f ca="1"/>
        <v>0.83186625543817749</v>
      </c>
      <c r="AH680" s="2" t="str">
        <f ca="1"/>
        <v>Bad</v>
      </c>
    </row>
    <row r="681" spans="2:34">
      <c r="B681" s="2">
        <f ca="1"/>
        <v>0.21249520059908433</v>
      </c>
      <c r="O681" s="2">
        <f ca="1"/>
        <v>-1.8942725716630737</v>
      </c>
      <c r="X681" s="2">
        <f ca="1"/>
        <v>61.372691643559762</v>
      </c>
      <c r="AG681" s="2">
        <f ca="1"/>
        <v>0.98477788489632312</v>
      </c>
      <c r="AH681" s="2" t="str">
        <f ca="1"/>
        <v>Bad</v>
      </c>
    </row>
    <row r="682" spans="2:34">
      <c r="B682" s="2">
        <f ca="1"/>
        <v>3.8533386247760815E-2</v>
      </c>
      <c r="O682" s="2">
        <f ca="1"/>
        <v>0.79654930097706944</v>
      </c>
      <c r="X682" s="2">
        <f ca="1"/>
        <v>65.21849413176723</v>
      </c>
      <c r="AG682" s="2">
        <f ca="1"/>
        <v>0.80677424968879952</v>
      </c>
      <c r="AH682" s="2" t="str">
        <f ca="1"/>
        <v>Bad</v>
      </c>
    </row>
    <row r="683" spans="2:34">
      <c r="B683" s="2">
        <f ca="1"/>
        <v>0.44392803189690744</v>
      </c>
      <c r="O683" s="2">
        <f ca="1"/>
        <v>-0.60198423204288587</v>
      </c>
      <c r="X683" s="2">
        <f ca="1"/>
        <v>18.328640068032087</v>
      </c>
      <c r="AG683" s="2">
        <f ca="1"/>
        <v>0.54521442451539248</v>
      </c>
      <c r="AH683" s="2" t="str">
        <f ca="1"/>
        <v>Bad</v>
      </c>
    </row>
    <row r="684" spans="2:34">
      <c r="B684" s="2">
        <f ca="1"/>
        <v>0.46515155832434907</v>
      </c>
      <c r="O684" s="2">
        <f ca="1"/>
        <v>0.29265153843181996</v>
      </c>
      <c r="X684" s="2">
        <f ca="1"/>
        <v>65.947437295075702</v>
      </c>
      <c r="AG684" s="2">
        <f ca="1"/>
        <v>2.4339324404114349E-2</v>
      </c>
      <c r="AH684" s="2" t="str">
        <f ca="1"/>
        <v>Good</v>
      </c>
    </row>
    <row r="685" spans="2:34">
      <c r="B685" s="2">
        <f ca="1"/>
        <v>0.7635501319166349</v>
      </c>
      <c r="O685" s="2">
        <f ca="1"/>
        <v>-2.1602071733441335</v>
      </c>
      <c r="X685" s="2">
        <f ca="1"/>
        <v>36.138582311111904</v>
      </c>
      <c r="AG685" s="2">
        <f ca="1"/>
        <v>0.5511577769171816</v>
      </c>
      <c r="AH685" s="2" t="str">
        <f ca="1"/>
        <v>Bad</v>
      </c>
    </row>
    <row r="686" spans="2:34">
      <c r="B686" s="2">
        <f ca="1"/>
        <v>0.55110880027934295</v>
      </c>
      <c r="O686" s="2">
        <f ca="1"/>
        <v>-1.9826965020913252</v>
      </c>
      <c r="X686" s="2">
        <f ca="1"/>
        <v>69.383510669673456</v>
      </c>
      <c r="AG686" s="2">
        <f ca="1"/>
        <v>0.33197068560067855</v>
      </c>
      <c r="AH686" s="2" t="str">
        <f ca="1"/>
        <v>OK</v>
      </c>
    </row>
    <row r="687" spans="2:34">
      <c r="B687" s="2">
        <f ca="1"/>
        <v>0.48036751709652559</v>
      </c>
      <c r="O687" s="2">
        <f ca="1"/>
        <v>-0.23345909926416031</v>
      </c>
      <c r="X687" s="2">
        <f ca="1"/>
        <v>41.898315458902111</v>
      </c>
      <c r="AG687" s="2">
        <f ca="1"/>
        <v>0.21523387885203138</v>
      </c>
      <c r="AH687" s="2" t="str">
        <f ca="1"/>
        <v>OK</v>
      </c>
    </row>
    <row r="688" spans="2:34">
      <c r="B688" s="2">
        <f ca="1"/>
        <v>0.99880178664460506</v>
      </c>
      <c r="O688" s="2">
        <f ca="1"/>
        <v>1.07122518355718</v>
      </c>
      <c r="X688" s="2">
        <f ca="1"/>
        <v>45.164549727204282</v>
      </c>
      <c r="AG688" s="2">
        <f ca="1"/>
        <v>0.84693912978517916</v>
      </c>
      <c r="AH688" s="2" t="str">
        <f ca="1"/>
        <v>Bad</v>
      </c>
    </row>
    <row r="689" spans="2:34">
      <c r="B689" s="2">
        <f ca="1"/>
        <v>1.9047107676710473E-2</v>
      </c>
      <c r="O689" s="2">
        <f ca="1"/>
        <v>0.18371025623368684</v>
      </c>
      <c r="X689" s="2">
        <f ca="1"/>
        <v>63.321873841827461</v>
      </c>
      <c r="AG689" s="2">
        <f ca="1"/>
        <v>0.73126824741209639</v>
      </c>
      <c r="AH689" s="2" t="str">
        <f ca="1"/>
        <v>Bad</v>
      </c>
    </row>
    <row r="690" spans="2:34">
      <c r="B690" s="2">
        <f ca="1"/>
        <v>0.22780264920774762</v>
      </c>
      <c r="O690" s="2">
        <f ca="1"/>
        <v>0.75111216907410405</v>
      </c>
      <c r="X690" s="2">
        <f ca="1"/>
        <v>45.2646028423895</v>
      </c>
      <c r="AG690" s="2">
        <f ca="1"/>
        <v>0.77441173035299093</v>
      </c>
      <c r="AH690" s="2" t="str">
        <f ca="1"/>
        <v>Bad</v>
      </c>
    </row>
    <row r="691" spans="2:34">
      <c r="B691" s="2">
        <f ca="1"/>
        <v>0.88674715413240368</v>
      </c>
      <c r="O691" s="2">
        <f ca="1"/>
        <v>-0.76810532323173164</v>
      </c>
      <c r="X691" s="2">
        <f ca="1"/>
        <v>42.915952128233918</v>
      </c>
      <c r="AG691" s="2">
        <f ca="1"/>
        <v>0.93137955026837327</v>
      </c>
      <c r="AH691" s="2" t="str">
        <f ca="1"/>
        <v>Bad</v>
      </c>
    </row>
    <row r="692" spans="2:34">
      <c r="B692" s="2">
        <f ca="1"/>
        <v>1.9102598635900137E-2</v>
      </c>
      <c r="O692" s="2">
        <f ca="1"/>
        <v>1.4754088954173052</v>
      </c>
      <c r="X692" s="2">
        <f ca="1"/>
        <v>37.509476453576163</v>
      </c>
      <c r="AG692" s="2">
        <f ca="1"/>
        <v>4.5750883069380244E-2</v>
      </c>
      <c r="AH692" s="2" t="str">
        <f ca="1"/>
        <v>Good</v>
      </c>
    </row>
    <row r="693" spans="2:34">
      <c r="B693" s="2">
        <f ca="1"/>
        <v>0.80053451538066445</v>
      </c>
      <c r="O693" s="2">
        <f ca="1"/>
        <v>1.0802730558980269</v>
      </c>
      <c r="X693" s="2">
        <f ca="1"/>
        <v>45.697350375307565</v>
      </c>
      <c r="AG693" s="2">
        <f ca="1"/>
        <v>0.52151939504943123</v>
      </c>
      <c r="AH693" s="2" t="str">
        <f ca="1"/>
        <v>Bad</v>
      </c>
    </row>
    <row r="694" spans="2:34">
      <c r="B694" s="2">
        <f ca="1"/>
        <v>0.70537217528605911</v>
      </c>
      <c r="O694" s="2">
        <f ca="1"/>
        <v>0.60045933822156172</v>
      </c>
      <c r="X694" s="2">
        <f ca="1"/>
        <v>65.626847614558997</v>
      </c>
      <c r="AG694" s="2">
        <f ca="1"/>
        <v>0.66767637123321566</v>
      </c>
      <c r="AH694" s="2" t="str">
        <f ca="1"/>
        <v>Bad</v>
      </c>
    </row>
    <row r="695" spans="2:34">
      <c r="B695" s="2">
        <f ca="1"/>
        <v>0.17406294528754884</v>
      </c>
      <c r="O695" s="2">
        <f ca="1"/>
        <v>0.33410496854196331</v>
      </c>
      <c r="X695" s="2">
        <f ca="1"/>
        <v>60.309699228844536</v>
      </c>
      <c r="AG695" s="2">
        <f ca="1"/>
        <v>0.12714128177662665</v>
      </c>
      <c r="AH695" s="2" t="str">
        <f ca="1"/>
        <v>OK</v>
      </c>
    </row>
    <row r="696" spans="2:34">
      <c r="B696" s="2">
        <f ca="1"/>
        <v>0.44819182009833969</v>
      </c>
      <c r="O696" s="2">
        <f ca="1"/>
        <v>0.58700198658719738</v>
      </c>
      <c r="X696" s="2">
        <f ca="1"/>
        <v>43.484917988156361</v>
      </c>
      <c r="AG696" s="2">
        <f ca="1"/>
        <v>0.35559852140537318</v>
      </c>
      <c r="AH696" s="2" t="str">
        <f ca="1"/>
        <v>OK</v>
      </c>
    </row>
    <row r="697" spans="2:34">
      <c r="B697" s="2">
        <f ca="1"/>
        <v>0.41782908301724286</v>
      </c>
      <c r="O697" s="2">
        <f ca="1"/>
        <v>-0.41843460746344779</v>
      </c>
      <c r="X697" s="2">
        <f ca="1"/>
        <v>54.203393672475642</v>
      </c>
      <c r="AG697" s="2">
        <f ca="1"/>
        <v>0.71792975137559178</v>
      </c>
      <c r="AH697" s="2" t="str">
        <f ca="1"/>
        <v>Bad</v>
      </c>
    </row>
    <row r="698" spans="2:34">
      <c r="B698" s="2">
        <f ca="1"/>
        <v>0.62766684546745677</v>
      </c>
      <c r="O698" s="2">
        <f ca="1"/>
        <v>0.67746622814748703</v>
      </c>
      <c r="X698" s="2">
        <f ca="1"/>
        <v>43.438329948756703</v>
      </c>
      <c r="AG698" s="2">
        <f ca="1"/>
        <v>0.91601952187392666</v>
      </c>
      <c r="AH698" s="2" t="str">
        <f ca="1"/>
        <v>Bad</v>
      </c>
    </row>
    <row r="699" spans="2:34">
      <c r="B699" s="2">
        <f ca="1"/>
        <v>0.22430413121491366</v>
      </c>
      <c r="O699" s="2">
        <f ca="1"/>
        <v>-0.54759290504256442</v>
      </c>
      <c r="X699" s="2">
        <f ca="1"/>
        <v>51.387902664352119</v>
      </c>
      <c r="AG699" s="2">
        <f ca="1"/>
        <v>0.41088587032148283</v>
      </c>
      <c r="AH699" s="2" t="str">
        <f ca="1"/>
        <v>Bad</v>
      </c>
    </row>
    <row r="700" spans="2:34">
      <c r="B700" s="2">
        <f ca="1"/>
        <v>3.9055577505426875E-3</v>
      </c>
      <c r="O700" s="2">
        <f ca="1"/>
        <v>0.46048102517415979</v>
      </c>
      <c r="X700" s="2">
        <f ca="1"/>
        <v>42.517033988894475</v>
      </c>
      <c r="AG700" s="2">
        <f ca="1"/>
        <v>0.10323567746739326</v>
      </c>
      <c r="AH700" s="2" t="str">
        <f ca="1"/>
        <v>OK</v>
      </c>
    </row>
    <row r="701" spans="2:34">
      <c r="B701" s="2">
        <f ca="1"/>
        <v>0.21626407963397787</v>
      </c>
      <c r="O701" s="2">
        <f ca="1"/>
        <v>-1.2529953041927508</v>
      </c>
      <c r="X701" s="2">
        <f ca="1"/>
        <v>43.053196991081599</v>
      </c>
      <c r="AG701" s="2">
        <f ca="1"/>
        <v>0.95975712227978804</v>
      </c>
      <c r="AH701" s="2" t="str">
        <f ca="1"/>
        <v>Bad</v>
      </c>
    </row>
    <row r="702" spans="2:34">
      <c r="B702" s="2">
        <f ca="1"/>
        <v>0.24241250405570969</v>
      </c>
      <c r="O702" s="2">
        <f ca="1"/>
        <v>1.5087076973184512</v>
      </c>
      <c r="X702" s="2">
        <f ca="1"/>
        <v>57.960601198799424</v>
      </c>
      <c r="AG702" s="2">
        <f ca="1"/>
        <v>0.31642096320406066</v>
      </c>
      <c r="AH702" s="2" t="str">
        <f ca="1"/>
        <v>OK</v>
      </c>
    </row>
    <row r="703" spans="2:34">
      <c r="B703" s="2">
        <f ca="1"/>
        <v>0.4317126812202523</v>
      </c>
      <c r="O703" s="2">
        <f ca="1"/>
        <v>0.52460450134351544</v>
      </c>
      <c r="X703" s="2">
        <f ca="1"/>
        <v>39.775059859780839</v>
      </c>
      <c r="AG703" s="2">
        <f ca="1"/>
        <v>3.7384672314047407E-2</v>
      </c>
      <c r="AH703" s="2" t="str">
        <f ca="1"/>
        <v>Good</v>
      </c>
    </row>
    <row r="704" spans="2:34">
      <c r="B704" s="2">
        <f ca="1"/>
        <v>0.66025497977635483</v>
      </c>
      <c r="O704" s="2">
        <f ca="1"/>
        <v>-0.39525018224774217</v>
      </c>
      <c r="X704" s="2">
        <f ca="1"/>
        <v>51.187675030199877</v>
      </c>
      <c r="AG704" s="2">
        <f ca="1"/>
        <v>0.75085466904687093</v>
      </c>
      <c r="AH704" s="2" t="str">
        <f ca="1"/>
        <v>Bad</v>
      </c>
    </row>
    <row r="705" spans="2:34">
      <c r="B705" s="2">
        <f ca="1"/>
        <v>0.79681413078356922</v>
      </c>
      <c r="O705" s="2">
        <f ca="1"/>
        <v>0.75815734783963828</v>
      </c>
      <c r="X705" s="2">
        <f ca="1"/>
        <v>55.210037463058228</v>
      </c>
      <c r="AG705" s="2">
        <f ca="1"/>
        <v>0.56145215464312614</v>
      </c>
      <c r="AH705" s="2" t="str">
        <f ca="1"/>
        <v>Bad</v>
      </c>
    </row>
    <row r="706" spans="2:34">
      <c r="B706" s="2">
        <f ca="1"/>
        <v>0.76482622806648171</v>
      </c>
      <c r="O706" s="2">
        <f ca="1"/>
        <v>2.5468827647943089</v>
      </c>
      <c r="X706" s="2">
        <f ca="1"/>
        <v>58.639377087247155</v>
      </c>
      <c r="AG706" s="2">
        <f ca="1"/>
        <v>0.41874327988837501</v>
      </c>
      <c r="AH706" s="2" t="str">
        <f ca="1"/>
        <v>Bad</v>
      </c>
    </row>
    <row r="707" spans="2:34">
      <c r="B707" s="2">
        <f ca="1"/>
        <v>0.31772481036856748</v>
      </c>
      <c r="O707" s="2">
        <f ca="1"/>
        <v>1.471463312402806</v>
      </c>
      <c r="X707" s="2">
        <f ca="1"/>
        <v>44.526518509537027</v>
      </c>
      <c r="AG707" s="2">
        <f ca="1"/>
        <v>5.2086688311263174E-2</v>
      </c>
      <c r="AH707" s="2" t="str">
        <f ca="1"/>
        <v>OK</v>
      </c>
    </row>
    <row r="708" spans="2:34">
      <c r="B708" s="2">
        <f ca="1"/>
        <v>0.97466307241104122</v>
      </c>
      <c r="O708" s="2">
        <f ca="1"/>
        <v>-0.32713440028101154</v>
      </c>
      <c r="X708" s="2">
        <f ca="1"/>
        <v>40.282353677740332</v>
      </c>
      <c r="AG708" s="2">
        <f ca="1"/>
        <v>0.29669463319681788</v>
      </c>
      <c r="AH708" s="2" t="str">
        <f ca="1"/>
        <v>OK</v>
      </c>
    </row>
    <row r="709" spans="2:34">
      <c r="B709" s="2">
        <f ca="1"/>
        <v>0.82334538978483462</v>
      </c>
      <c r="O709" s="2">
        <f ca="1"/>
        <v>0.23158057294816042</v>
      </c>
      <c r="X709" s="2">
        <f ca="1"/>
        <v>44.77285855298117</v>
      </c>
      <c r="AG709" s="2">
        <f ca="1"/>
        <v>0.43217654978264419</v>
      </c>
      <c r="AH709" s="2" t="str">
        <f ca="1"/>
        <v>Bad</v>
      </c>
    </row>
    <row r="710" spans="2:34">
      <c r="B710" s="2">
        <f ca="1"/>
        <v>9.0015021061204736E-2</v>
      </c>
      <c r="O710" s="2">
        <f ca="1"/>
        <v>0.37359140027322002</v>
      </c>
      <c r="X710" s="2">
        <f ca="1"/>
        <v>69.528921926919935</v>
      </c>
      <c r="AG710" s="2">
        <f ca="1"/>
        <v>0.52376568612806995</v>
      </c>
      <c r="AH710" s="2" t="str">
        <f ca="1"/>
        <v>Bad</v>
      </c>
    </row>
    <row r="711" spans="2:34">
      <c r="B711" s="2">
        <f ca="1"/>
        <v>0.46761636826251518</v>
      </c>
      <c r="O711" s="2">
        <f ca="1"/>
        <v>-0.56162447006573113</v>
      </c>
      <c r="X711" s="2">
        <f ca="1"/>
        <v>52.88999229988142</v>
      </c>
      <c r="AG711" s="2">
        <f ca="1"/>
        <v>9.1439918659622865E-2</v>
      </c>
      <c r="AH711" s="2" t="str">
        <f ca="1"/>
        <v>OK</v>
      </c>
    </row>
    <row r="712" spans="2:34">
      <c r="B712" s="2">
        <f ca="1"/>
        <v>0.7492244743386316</v>
      </c>
      <c r="O712" s="2">
        <f ca="1"/>
        <v>0.82289374473458232</v>
      </c>
      <c r="X712" s="2">
        <f ca="1"/>
        <v>64.559119668365355</v>
      </c>
      <c r="AG712" s="2">
        <f ca="1"/>
        <v>0.14963004766438015</v>
      </c>
      <c r="AH712" s="2" t="str">
        <f ca="1"/>
        <v>OK</v>
      </c>
    </row>
    <row r="713" spans="2:34">
      <c r="B713" s="2">
        <f ca="1"/>
        <v>1.7549125976045632E-2</v>
      </c>
      <c r="O713" s="2">
        <f ca="1"/>
        <v>-1.8511660974570434</v>
      </c>
      <c r="X713" s="2">
        <f ca="1"/>
        <v>58.446743111782965</v>
      </c>
      <c r="AG713" s="2">
        <f ca="1"/>
        <v>0.20794143801815879</v>
      </c>
      <c r="AH713" s="2" t="str">
        <f ca="1"/>
        <v>OK</v>
      </c>
    </row>
    <row r="714" spans="2:34">
      <c r="B714" s="2">
        <f ca="1"/>
        <v>0.99218368570770221</v>
      </c>
      <c r="O714" s="2">
        <f ca="1"/>
        <v>-1.5028069178293919</v>
      </c>
      <c r="X714" s="2">
        <f ca="1"/>
        <v>68.381358099239492</v>
      </c>
      <c r="AG714" s="2">
        <f ca="1"/>
        <v>1.9119549187386564E-2</v>
      </c>
      <c r="AH714" s="2" t="str">
        <f ca="1"/>
        <v>Good</v>
      </c>
    </row>
    <row r="715" spans="2:34">
      <c r="B715" s="2">
        <f ca="1"/>
        <v>2.0595796679194756E-2</v>
      </c>
      <c r="O715" s="2">
        <f ca="1"/>
        <v>-3.1025800600662352E-2</v>
      </c>
      <c r="X715" s="2">
        <f ca="1"/>
        <v>49.41961047311311</v>
      </c>
      <c r="AG715" s="2">
        <f ca="1"/>
        <v>0.31863096988427486</v>
      </c>
      <c r="AH715" s="2" t="str">
        <f ca="1"/>
        <v>OK</v>
      </c>
    </row>
    <row r="716" spans="2:34">
      <c r="B716" s="2">
        <f ca="1"/>
        <v>0.54219623858098642</v>
      </c>
      <c r="O716" s="2">
        <f ca="1"/>
        <v>0.25311224350965161</v>
      </c>
      <c r="X716" s="2">
        <f ca="1"/>
        <v>30.699529832657998</v>
      </c>
      <c r="AG716" s="2">
        <f ca="1"/>
        <v>3.7395681337043962E-2</v>
      </c>
      <c r="AH716" s="2" t="str">
        <f ca="1"/>
        <v>Good</v>
      </c>
    </row>
    <row r="717" spans="2:34">
      <c r="B717" s="2">
        <f ca="1"/>
        <v>0.54958423537028001</v>
      </c>
      <c r="O717" s="2">
        <f ca="1"/>
        <v>-0.22266779507520343</v>
      </c>
      <c r="X717" s="2">
        <f ca="1"/>
        <v>36.455171781243607</v>
      </c>
      <c r="AG717" s="2">
        <f ca="1"/>
        <v>0.46752843262138088</v>
      </c>
      <c r="AH717" s="2" t="str">
        <f ca="1"/>
        <v>Bad</v>
      </c>
    </row>
    <row r="718" spans="2:34">
      <c r="B718" s="2">
        <f ca="1"/>
        <v>0.68551310889525174</v>
      </c>
      <c r="O718" s="2">
        <f ca="1"/>
        <v>-0.90391786958281051</v>
      </c>
      <c r="X718" s="2">
        <f ca="1"/>
        <v>46.523996486914577</v>
      </c>
      <c r="AG718" s="2">
        <f ca="1"/>
        <v>0.62045097189185339</v>
      </c>
      <c r="AH718" s="2" t="str">
        <f ca="1"/>
        <v>Bad</v>
      </c>
    </row>
    <row r="719" spans="2:34">
      <c r="B719" s="2">
        <f ca="1"/>
        <v>0.8898629458212135</v>
      </c>
      <c r="O719" s="2">
        <f ca="1"/>
        <v>0.23803875181490786</v>
      </c>
      <c r="X719" s="2">
        <f ca="1"/>
        <v>64.990893899191818</v>
      </c>
      <c r="AG719" s="2">
        <f ca="1"/>
        <v>0.1807505560717062</v>
      </c>
      <c r="AH719" s="2" t="str">
        <f ca="1"/>
        <v>OK</v>
      </c>
    </row>
    <row r="720" spans="2:34">
      <c r="B720" s="2">
        <f ca="1"/>
        <v>0.80443299865445539</v>
      </c>
      <c r="O720" s="2">
        <f ca="1"/>
        <v>-0.55456805360003336</v>
      </c>
      <c r="X720" s="2">
        <f ca="1"/>
        <v>35.35515910595155</v>
      </c>
      <c r="AG720" s="2">
        <f ca="1"/>
        <v>5.2837737432299692E-2</v>
      </c>
      <c r="AH720" s="2" t="str">
        <f ca="1"/>
        <v>OK</v>
      </c>
    </row>
    <row r="721" spans="2:34">
      <c r="B721" s="2">
        <f ca="1"/>
        <v>0.61531179465058794</v>
      </c>
      <c r="O721" s="2">
        <f ca="1"/>
        <v>0.21387277712857328</v>
      </c>
      <c r="X721" s="2">
        <f ca="1"/>
        <v>40.585836737896429</v>
      </c>
      <c r="AG721" s="2">
        <f ca="1"/>
        <v>0.69124448660104787</v>
      </c>
      <c r="AH721" s="2" t="str">
        <f ca="1"/>
        <v>Bad</v>
      </c>
    </row>
    <row r="722" spans="2:34">
      <c r="B722" s="2">
        <f ca="1"/>
        <v>0.39973566834493823</v>
      </c>
      <c r="O722" s="2">
        <f ca="1"/>
        <v>5.2321480130495646E-2</v>
      </c>
      <c r="X722" s="2">
        <f ca="1"/>
        <v>32.677888048123023</v>
      </c>
      <c r="AG722" s="2">
        <f ca="1"/>
        <v>0.73481211197649166</v>
      </c>
      <c r="AH722" s="2" t="str">
        <f ca="1"/>
        <v>Bad</v>
      </c>
    </row>
    <row r="723" spans="2:34">
      <c r="B723" s="2">
        <f ca="1"/>
        <v>0.36124725677169733</v>
      </c>
      <c r="O723" s="2">
        <f ca="1"/>
        <v>0.39757898786538326</v>
      </c>
      <c r="X723" s="2">
        <f ca="1"/>
        <v>46.692579459424678</v>
      </c>
      <c r="AG723" s="2">
        <f ca="1"/>
        <v>0.30759868458701067</v>
      </c>
      <c r="AH723" s="2" t="str">
        <f ca="1"/>
        <v>OK</v>
      </c>
    </row>
    <row r="724" spans="2:34">
      <c r="B724" s="2">
        <f ca="1"/>
        <v>0.84195723444923454</v>
      </c>
      <c r="O724" s="2">
        <f ca="1"/>
        <v>-0.78797811744209556</v>
      </c>
      <c r="X724" s="2">
        <f ca="1"/>
        <v>60.96434704068993</v>
      </c>
      <c r="AG724" s="2">
        <f ca="1"/>
        <v>0.60062431576972397</v>
      </c>
      <c r="AH724" s="2" t="str">
        <f ca="1"/>
        <v>Bad</v>
      </c>
    </row>
    <row r="725" spans="2:34">
      <c r="B725" s="2">
        <f ca="1"/>
        <v>0.66164285259280442</v>
      </c>
      <c r="O725" s="2">
        <f ca="1"/>
        <v>2.6105781211413404</v>
      </c>
      <c r="X725" s="2">
        <f ca="1"/>
        <v>90.151287447141783</v>
      </c>
      <c r="AG725" s="2">
        <f ca="1"/>
        <v>0.14710906494314346</v>
      </c>
      <c r="AH725" s="2" t="str">
        <f ca="1"/>
        <v>OK</v>
      </c>
    </row>
    <row r="726" spans="2:34">
      <c r="B726" s="2">
        <f ca="1"/>
        <v>0.71002440072788264</v>
      </c>
      <c r="O726" s="2">
        <f ca="1"/>
        <v>0.21589097363696608</v>
      </c>
      <c r="X726" s="2">
        <f ca="1"/>
        <v>63.156413618005843</v>
      </c>
      <c r="AG726" s="2">
        <f ca="1"/>
        <v>0.49022533063246221</v>
      </c>
      <c r="AH726" s="2" t="str">
        <f ca="1"/>
        <v>Bad</v>
      </c>
    </row>
    <row r="727" spans="2:34">
      <c r="B727" s="2">
        <f ca="1"/>
        <v>0.84337520944956856</v>
      </c>
      <c r="O727" s="2">
        <f ca="1"/>
        <v>-0.57471491611051007</v>
      </c>
      <c r="X727" s="2">
        <f ca="1"/>
        <v>78.446652388368975</v>
      </c>
      <c r="AG727" s="2">
        <f ca="1"/>
        <v>0.52982536388718837</v>
      </c>
      <c r="AH727" s="2" t="str">
        <f ca="1"/>
        <v>Bad</v>
      </c>
    </row>
    <row r="728" spans="2:34">
      <c r="B728" s="2">
        <f ca="1"/>
        <v>0.74528891123240282</v>
      </c>
      <c r="O728" s="2">
        <f ca="1"/>
        <v>0.44502742120455685</v>
      </c>
      <c r="X728" s="2">
        <f ca="1"/>
        <v>48.180719957342689</v>
      </c>
      <c r="AG728" s="2">
        <f ca="1"/>
        <v>0.35419487327117816</v>
      </c>
      <c r="AH728" s="2" t="str">
        <f ca="1"/>
        <v>OK</v>
      </c>
    </row>
    <row r="729" spans="2:34">
      <c r="B729" s="2">
        <f ca="1"/>
        <v>4.2155856813211656E-2</v>
      </c>
      <c r="O729" s="2">
        <f ca="1"/>
        <v>1.0039799544260732</v>
      </c>
      <c r="X729" s="2">
        <f ca="1"/>
        <v>45.159930441505686</v>
      </c>
      <c r="AG729" s="2">
        <f ca="1"/>
        <v>0.90015263002890622</v>
      </c>
      <c r="AH729" s="2" t="str">
        <f ca="1"/>
        <v>Bad</v>
      </c>
    </row>
    <row r="730" spans="2:34">
      <c r="B730" s="2">
        <f ca="1"/>
        <v>0.58078628035128221</v>
      </c>
      <c r="O730" s="2">
        <f ca="1"/>
        <v>-1.4669575843801033</v>
      </c>
      <c r="X730" s="2">
        <f ca="1"/>
        <v>49.147064162017848</v>
      </c>
      <c r="AG730" s="2">
        <f ca="1"/>
        <v>0.33018843110917517</v>
      </c>
      <c r="AH730" s="2" t="str">
        <f ca="1"/>
        <v>OK</v>
      </c>
    </row>
    <row r="731" spans="2:34">
      <c r="B731" s="2">
        <f ca="1"/>
        <v>0.5862534858080799</v>
      </c>
      <c r="O731" s="2">
        <f ca="1"/>
        <v>1.5597843054225295</v>
      </c>
      <c r="X731" s="2">
        <f ca="1"/>
        <v>57.656774621411856</v>
      </c>
      <c r="AG731" s="2">
        <f ca="1"/>
        <v>0.34314934352517024</v>
      </c>
      <c r="AH731" s="2" t="str">
        <f ca="1"/>
        <v>OK</v>
      </c>
    </row>
    <row r="732" spans="2:34">
      <c r="B732" s="2">
        <f ca="1"/>
        <v>0.36964398371929641</v>
      </c>
      <c r="O732" s="2">
        <f ca="1"/>
        <v>0.49202594731997873</v>
      </c>
      <c r="X732" s="2">
        <f ca="1"/>
        <v>72.657632255770054</v>
      </c>
      <c r="AG732" s="2">
        <f ca="1"/>
        <v>0.14591616485020986</v>
      </c>
      <c r="AH732" s="2" t="str">
        <f ca="1"/>
        <v>OK</v>
      </c>
    </row>
    <row r="733" spans="2:34">
      <c r="B733" s="2">
        <f ca="1"/>
        <v>0.94960478609386301</v>
      </c>
      <c r="O733" s="2">
        <f ca="1"/>
        <v>2.2690704794603098E-2</v>
      </c>
      <c r="X733" s="2">
        <f ca="1"/>
        <v>77.204450966809731</v>
      </c>
      <c r="AG733" s="2">
        <f ca="1"/>
        <v>2.8786426453828007E-2</v>
      </c>
      <c r="AH733" s="2" t="str">
        <f ca="1"/>
        <v>Good</v>
      </c>
    </row>
    <row r="734" spans="2:34">
      <c r="B734" s="2">
        <f ca="1"/>
        <v>0.76043007285478481</v>
      </c>
      <c r="O734" s="2">
        <f ca="1"/>
        <v>-1.1003847247850829</v>
      </c>
      <c r="X734" s="2">
        <f ca="1"/>
        <v>75.17166908614611</v>
      </c>
      <c r="AG734" s="2">
        <f ca="1"/>
        <v>6.391109040688181E-2</v>
      </c>
      <c r="AH734" s="2" t="str">
        <f ca="1"/>
        <v>OK</v>
      </c>
    </row>
    <row r="735" spans="2:34">
      <c r="B735" s="2">
        <f ca="1"/>
        <v>0.90148109696036793</v>
      </c>
      <c r="O735" s="2">
        <f ca="1"/>
        <v>-1.2916390362238606</v>
      </c>
      <c r="X735" s="2">
        <f ca="1"/>
        <v>31.87169644560473</v>
      </c>
      <c r="AG735" s="2">
        <f ca="1"/>
        <v>0.60075491446765561</v>
      </c>
      <c r="AH735" s="2" t="str">
        <f ca="1"/>
        <v>Bad</v>
      </c>
    </row>
    <row r="736" spans="2:34">
      <c r="B736" s="2">
        <f ca="1"/>
        <v>0.91304585236143709</v>
      </c>
      <c r="O736" s="2">
        <f ca="1"/>
        <v>-0.80946700795643489</v>
      </c>
      <c r="X736" s="2">
        <f ca="1"/>
        <v>33.062633655729407</v>
      </c>
      <c r="AG736" s="2">
        <f ca="1"/>
        <v>0.83588577464647673</v>
      </c>
      <c r="AH736" s="2" t="str">
        <f ca="1"/>
        <v>Bad</v>
      </c>
    </row>
    <row r="737" spans="2:34">
      <c r="B737" s="2">
        <f ca="1"/>
        <v>0.21256933384096821</v>
      </c>
      <c r="O737" s="2">
        <f ca="1"/>
        <v>-0.97392656586538418</v>
      </c>
      <c r="X737" s="2">
        <f ca="1"/>
        <v>36.773925630675663</v>
      </c>
      <c r="AG737" s="2">
        <f ca="1"/>
        <v>0.3733851267790258</v>
      </c>
      <c r="AH737" s="2" t="str">
        <f ca="1"/>
        <v>OK</v>
      </c>
    </row>
    <row r="738" spans="2:34">
      <c r="B738" s="2">
        <f ca="1"/>
        <v>0.88105716571120407</v>
      </c>
      <c r="O738" s="2">
        <f ca="1"/>
        <v>0.63254027218618658</v>
      </c>
      <c r="X738" s="2">
        <f ca="1"/>
        <v>26.326351460383709</v>
      </c>
      <c r="AG738" s="2">
        <f ca="1"/>
        <v>0.2300607830418917</v>
      </c>
      <c r="AH738" s="2" t="str">
        <f ca="1"/>
        <v>OK</v>
      </c>
    </row>
    <row r="739" spans="2:34">
      <c r="B739" s="2">
        <f ca="1"/>
        <v>0.29988458906818005</v>
      </c>
      <c r="O739" s="2">
        <f ca="1"/>
        <v>0.74358943864693616</v>
      </c>
      <c r="X739" s="2">
        <f ca="1"/>
        <v>49.780970989159563</v>
      </c>
      <c r="AG739" s="2">
        <f ca="1"/>
        <v>0.38783543652227759</v>
      </c>
      <c r="AH739" s="2" t="str">
        <f ca="1"/>
        <v>OK</v>
      </c>
    </row>
    <row r="740" spans="2:34">
      <c r="B740" s="2">
        <f ca="1"/>
        <v>0.37383277553460448</v>
      </c>
      <c r="O740" s="2">
        <f ca="1"/>
        <v>0.93509538280267734</v>
      </c>
      <c r="X740" s="2">
        <f ca="1"/>
        <v>47.319891977027339</v>
      </c>
      <c r="AG740" s="2">
        <f ca="1"/>
        <v>0.640902589605856</v>
      </c>
      <c r="AH740" s="2" t="str">
        <f ca="1"/>
        <v>Bad</v>
      </c>
    </row>
    <row r="741" spans="2:34">
      <c r="B741" s="2">
        <f ca="1"/>
        <v>0.80247928587615247</v>
      </c>
      <c r="O741" s="2">
        <f ca="1"/>
        <v>1.0492125798354643</v>
      </c>
      <c r="X741" s="2">
        <f ca="1"/>
        <v>58.542220993381029</v>
      </c>
      <c r="AG741" s="2">
        <f ca="1"/>
        <v>0.90151849510958293</v>
      </c>
      <c r="AH741" s="2" t="str">
        <f ca="1"/>
        <v>Bad</v>
      </c>
    </row>
    <row r="742" spans="2:34">
      <c r="B742" s="2">
        <f ca="1"/>
        <v>0.82339497527468142</v>
      </c>
      <c r="O742" s="2">
        <f ca="1"/>
        <v>1.6008760347210336</v>
      </c>
      <c r="X742" s="2">
        <f ca="1"/>
        <v>57.531342021002452</v>
      </c>
      <c r="AG742" s="2">
        <f ca="1"/>
        <v>7.4636516987245827E-2</v>
      </c>
      <c r="AH742" s="2" t="str">
        <f ca="1"/>
        <v>OK</v>
      </c>
    </row>
    <row r="743" spans="2:34">
      <c r="B743" s="2">
        <f ca="1"/>
        <v>8.0355629314286414E-2</v>
      </c>
      <c r="O743" s="2">
        <f ca="1"/>
        <v>-0.21006633302015792</v>
      </c>
      <c r="X743" s="2">
        <f ca="1"/>
        <v>31.264990488901173</v>
      </c>
      <c r="AG743" s="2">
        <f ca="1"/>
        <v>0.82009530637371286</v>
      </c>
      <c r="AH743" s="2" t="str">
        <f ca="1"/>
        <v>Bad</v>
      </c>
    </row>
    <row r="744" spans="2:34">
      <c r="B744" s="2">
        <f ca="1"/>
        <v>0.7122059420419502</v>
      </c>
      <c r="O744" s="2">
        <f ca="1"/>
        <v>-0.39814876486237932</v>
      </c>
      <c r="X744" s="2">
        <f ca="1"/>
        <v>36.753717282524939</v>
      </c>
      <c r="AG744" s="2">
        <f ca="1"/>
        <v>0.7618008951434454</v>
      </c>
      <c r="AH744" s="2" t="str">
        <f ca="1"/>
        <v>Bad</v>
      </c>
    </row>
    <row r="745" spans="2:34">
      <c r="B745" s="2">
        <f ca="1"/>
        <v>0.42157048487904425</v>
      </c>
      <c r="O745" s="2">
        <f ca="1"/>
        <v>0.40026259666697278</v>
      </c>
      <c r="X745" s="2">
        <f ca="1"/>
        <v>35.675821937760631</v>
      </c>
      <c r="AG745" s="2">
        <f ca="1"/>
        <v>0.80364041215110915</v>
      </c>
      <c r="AH745" s="2" t="str">
        <f ca="1"/>
        <v>Bad</v>
      </c>
    </row>
    <row r="746" spans="2:34">
      <c r="B746" s="2">
        <f ca="1"/>
        <v>0.40555133900570173</v>
      </c>
      <c r="O746" s="2">
        <f ca="1"/>
        <v>2.8998947422377404</v>
      </c>
      <c r="X746" s="2">
        <f ca="1"/>
        <v>74.790267925898618</v>
      </c>
      <c r="AG746" s="2">
        <f ca="1"/>
        <v>0.90130718536665966</v>
      </c>
      <c r="AH746" s="2" t="str">
        <f ca="1"/>
        <v>Bad</v>
      </c>
    </row>
    <row r="747" spans="2:34">
      <c r="B747" s="2">
        <f ca="1"/>
        <v>0.28861639768558289</v>
      </c>
      <c r="O747" s="2">
        <f ca="1"/>
        <v>0.86209538991172063</v>
      </c>
      <c r="X747" s="2">
        <f ca="1"/>
        <v>72.452717218549097</v>
      </c>
      <c r="AG747" s="2">
        <f ca="1"/>
        <v>0.18383092193200001</v>
      </c>
      <c r="AH747" s="2" t="str">
        <f ca="1"/>
        <v>OK</v>
      </c>
    </row>
    <row r="748" spans="2:34">
      <c r="B748" s="2">
        <f ca="1"/>
        <v>0.71120529351622586</v>
      </c>
      <c r="O748" s="2">
        <f ca="1"/>
        <v>0.99271551599122165</v>
      </c>
      <c r="X748" s="2">
        <f ca="1"/>
        <v>23.855561619596578</v>
      </c>
      <c r="AG748" s="2">
        <f ca="1"/>
        <v>0.29761989871050587</v>
      </c>
      <c r="AH748" s="2" t="str">
        <f ca="1"/>
        <v>OK</v>
      </c>
    </row>
    <row r="749" spans="2:34">
      <c r="B749" s="2">
        <f ca="1"/>
        <v>0.85682922346176826</v>
      </c>
      <c r="O749" s="2">
        <f ca="1"/>
        <v>-2.7527635272364912</v>
      </c>
      <c r="X749" s="2">
        <f ca="1"/>
        <v>43.509593785082586</v>
      </c>
      <c r="AG749" s="2">
        <f ca="1"/>
        <v>0.34905880008913703</v>
      </c>
      <c r="AH749" s="2" t="str">
        <f ca="1"/>
        <v>OK</v>
      </c>
    </row>
    <row r="750" spans="2:34">
      <c r="B750" s="2">
        <f ca="1"/>
        <v>0.11842789904620865</v>
      </c>
      <c r="O750" s="2">
        <f ca="1"/>
        <v>0.39806297630073428</v>
      </c>
      <c r="X750" s="2">
        <f ca="1"/>
        <v>47.748469574076502</v>
      </c>
      <c r="AG750" s="2">
        <f ca="1"/>
        <v>0.70172161139394706</v>
      </c>
      <c r="AH750" s="2" t="str">
        <f ca="1"/>
        <v>Bad</v>
      </c>
    </row>
    <row r="751" spans="2:34">
      <c r="B751" s="2">
        <f ca="1"/>
        <v>0.19770989760408098</v>
      </c>
      <c r="O751" s="2">
        <f ca="1"/>
        <v>0.8631159168357122</v>
      </c>
      <c r="X751" s="2">
        <f ca="1"/>
        <v>53.611040721018185</v>
      </c>
      <c r="AG751" s="2">
        <f ca="1"/>
        <v>0.31835164070215494</v>
      </c>
      <c r="AH751" s="2" t="str">
        <f ca="1"/>
        <v>OK</v>
      </c>
    </row>
    <row r="752" spans="2:34">
      <c r="B752" s="2">
        <f ca="1"/>
        <v>0.33555371970250181</v>
      </c>
      <c r="O752" s="2">
        <f ca="1"/>
        <v>-0.91144415348343766</v>
      </c>
      <c r="X752" s="2">
        <f ca="1"/>
        <v>60.436395683073734</v>
      </c>
      <c r="AG752" s="2">
        <f ca="1"/>
        <v>0.40554430745871106</v>
      </c>
      <c r="AH752" s="2" t="str">
        <f ca="1"/>
        <v>Bad</v>
      </c>
    </row>
    <row r="753" spans="2:34">
      <c r="B753" s="2">
        <f ca="1"/>
        <v>0.82248978155647268</v>
      </c>
      <c r="O753" s="2">
        <f ca="1"/>
        <v>-2.0703295653176212</v>
      </c>
      <c r="X753" s="2">
        <f ca="1"/>
        <v>44.044280441409427</v>
      </c>
      <c r="AG753" s="2">
        <f ca="1"/>
        <v>0.47475900022131667</v>
      </c>
      <c r="AH753" s="2" t="str">
        <f ca="1"/>
        <v>Bad</v>
      </c>
    </row>
    <row r="754" spans="2:34">
      <c r="B754" s="2">
        <f ca="1"/>
        <v>0.88823699186648697</v>
      </c>
      <c r="O754" s="2">
        <f ca="1"/>
        <v>-0.60319848651475505</v>
      </c>
      <c r="X754" s="2">
        <f ca="1"/>
        <v>49.735419690022475</v>
      </c>
      <c r="AG754" s="2">
        <f ca="1"/>
        <v>0.21109940123640114</v>
      </c>
      <c r="AH754" s="2" t="str">
        <f ca="1"/>
        <v>OK</v>
      </c>
    </row>
    <row r="755" spans="2:34">
      <c r="B755" s="2">
        <f ca="1"/>
        <v>0.63593016627441212</v>
      </c>
      <c r="O755" s="2">
        <f ca="1"/>
        <v>0.5677267663637614</v>
      </c>
      <c r="X755" s="2">
        <f ca="1"/>
        <v>61.630591338511266</v>
      </c>
      <c r="AG755" s="2">
        <f ca="1"/>
        <v>0.46507583251865126</v>
      </c>
      <c r="AH755" s="2" t="str">
        <f ca="1"/>
        <v>Bad</v>
      </c>
    </row>
    <row r="756" spans="2:34">
      <c r="B756" s="2">
        <f ca="1"/>
        <v>0.5384102168595033</v>
      </c>
      <c r="O756" s="2">
        <f ca="1"/>
        <v>-6.4467369861645279E-2</v>
      </c>
      <c r="X756" s="2">
        <f ca="1"/>
        <v>55.270222427253358</v>
      </c>
      <c r="AG756" s="2">
        <f ca="1"/>
        <v>0.19362203492046781</v>
      </c>
      <c r="AH756" s="2" t="str">
        <f ca="1"/>
        <v>OK</v>
      </c>
    </row>
    <row r="757" spans="2:34">
      <c r="B757" s="2">
        <f ca="1"/>
        <v>0.59862595597957657</v>
      </c>
      <c r="O757" s="2">
        <f ca="1"/>
        <v>-2.6663132610407834</v>
      </c>
      <c r="X757" s="2">
        <f ca="1"/>
        <v>34.428596405009372</v>
      </c>
      <c r="AG757" s="2">
        <f ca="1"/>
        <v>0.21030445319293456</v>
      </c>
      <c r="AH757" s="2" t="str">
        <f ca="1"/>
        <v>OK</v>
      </c>
    </row>
    <row r="758" spans="2:34">
      <c r="B758" s="2">
        <f ca="1"/>
        <v>0.9578505984027692</v>
      </c>
      <c r="O758" s="2">
        <f ca="1"/>
        <v>-1.1211926588182588</v>
      </c>
      <c r="X758" s="2">
        <f ca="1"/>
        <v>35.322347749533911</v>
      </c>
      <c r="AG758" s="2">
        <f ca="1"/>
        <v>0.90002538477454008</v>
      </c>
      <c r="AH758" s="2" t="str">
        <f ca="1"/>
        <v>Bad</v>
      </c>
    </row>
    <row r="759" spans="2:34">
      <c r="B759" s="2">
        <f ca="1"/>
        <v>0.44873947959771465</v>
      </c>
      <c r="O759" s="2">
        <f ca="1"/>
        <v>0.9779950684076858</v>
      </c>
      <c r="X759" s="2">
        <f ca="1"/>
        <v>40.680450124498826</v>
      </c>
      <c r="AG759" s="2">
        <f ca="1"/>
        <v>0.6954070936403407</v>
      </c>
      <c r="AH759" s="2" t="str">
        <f ca="1"/>
        <v>Bad</v>
      </c>
    </row>
    <row r="760" spans="2:34">
      <c r="B760" s="2">
        <f ca="1"/>
        <v>0.85100882289161595</v>
      </c>
      <c r="O760" s="2">
        <f ca="1"/>
        <v>-1.3275616507386927</v>
      </c>
      <c r="X760" s="2">
        <f ca="1"/>
        <v>27.636954509718095</v>
      </c>
      <c r="AG760" s="2">
        <f ca="1"/>
        <v>0.80631909965082782</v>
      </c>
      <c r="AH760" s="2" t="str">
        <f ca="1"/>
        <v>Bad</v>
      </c>
    </row>
    <row r="761" spans="2:34">
      <c r="B761" s="2">
        <f ca="1"/>
        <v>0.87345292454645684</v>
      </c>
      <c r="O761" s="2">
        <f ca="1"/>
        <v>-1.1413593245435321</v>
      </c>
      <c r="X761" s="2">
        <f ca="1"/>
        <v>40.290861487556064</v>
      </c>
      <c r="AG761" s="2">
        <f ca="1"/>
        <v>0.10028312862615318</v>
      </c>
      <c r="AH761" s="2" t="str">
        <f ca="1"/>
        <v>OK</v>
      </c>
    </row>
    <row r="762" spans="2:34">
      <c r="B762" s="2">
        <f ca="1"/>
        <v>0.44613166340575061</v>
      </c>
      <c r="O762" s="2">
        <f ca="1"/>
        <v>-0.59803506953274066</v>
      </c>
      <c r="X762" s="2">
        <f ca="1"/>
        <v>58.342943884163994</v>
      </c>
      <c r="AG762" s="2">
        <f ca="1"/>
        <v>0.95533147677955488</v>
      </c>
      <c r="AH762" s="2" t="str">
        <f ca="1"/>
        <v>Bad</v>
      </c>
    </row>
    <row r="763" spans="2:34">
      <c r="B763" s="2">
        <f ca="1"/>
        <v>0.18752494382178297</v>
      </c>
      <c r="O763" s="2">
        <f ca="1"/>
        <v>0.71445152519597432</v>
      </c>
      <c r="X763" s="2">
        <f ca="1"/>
        <v>44.415410942707467</v>
      </c>
      <c r="AG763" s="2">
        <f ca="1"/>
        <v>6.1540864669595186E-2</v>
      </c>
      <c r="AH763" s="2" t="str">
        <f ca="1"/>
        <v>OK</v>
      </c>
    </row>
    <row r="764" spans="2:34">
      <c r="B764" s="2">
        <f ca="1"/>
        <v>0.40124456511380702</v>
      </c>
      <c r="O764" s="2">
        <f ca="1"/>
        <v>-0.54781122921154224</v>
      </c>
      <c r="X764" s="2">
        <f ca="1"/>
        <v>24.283222825359022</v>
      </c>
      <c r="AG764" s="2">
        <f ca="1"/>
        <v>0.61995779109298654</v>
      </c>
      <c r="AH764" s="2" t="str">
        <f ca="1"/>
        <v>Bad</v>
      </c>
    </row>
    <row r="765" spans="2:34">
      <c r="B765" s="2">
        <f ca="1"/>
        <v>0.28667887118649915</v>
      </c>
      <c r="O765" s="2">
        <f ca="1"/>
        <v>0.90186718976332747</v>
      </c>
      <c r="X765" s="2">
        <f ca="1"/>
        <v>54.915780930043219</v>
      </c>
      <c r="AG765" s="2">
        <f ca="1"/>
        <v>0.32512270295574952</v>
      </c>
      <c r="AH765" s="2" t="str">
        <f ca="1"/>
        <v>OK</v>
      </c>
    </row>
    <row r="766" spans="2:34">
      <c r="B766" s="2">
        <f ca="1"/>
        <v>0.70698129132264143</v>
      </c>
      <c r="O766" s="2">
        <f ca="1"/>
        <v>1.5126590936443438</v>
      </c>
      <c r="X766" s="2">
        <f ca="1"/>
        <v>63.726634601704575</v>
      </c>
      <c r="AG766" s="2">
        <f ca="1"/>
        <v>0.31722497243823589</v>
      </c>
      <c r="AH766" s="2" t="str">
        <f ca="1"/>
        <v>OK</v>
      </c>
    </row>
    <row r="767" spans="2:34">
      <c r="B767" s="2">
        <f ca="1"/>
        <v>0.81207149768332743</v>
      </c>
      <c r="O767" s="2">
        <f ca="1"/>
        <v>1.8514658420562486</v>
      </c>
      <c r="X767" s="2">
        <f ca="1"/>
        <v>52.74648854910734</v>
      </c>
      <c r="AG767" s="2">
        <f ca="1"/>
        <v>0.67940727631722364</v>
      </c>
      <c r="AH767" s="2" t="str">
        <f ca="1"/>
        <v>Bad</v>
      </c>
    </row>
    <row r="768" spans="2:34">
      <c r="B768" s="2">
        <f ca="1"/>
        <v>6.9161618714018935E-2</v>
      </c>
      <c r="O768" s="2">
        <f ca="1"/>
        <v>-1.5124114799752226</v>
      </c>
      <c r="X768" s="2">
        <f ca="1"/>
        <v>34.46810300023148</v>
      </c>
      <c r="AG768" s="2">
        <f ca="1"/>
        <v>0.66929728727513016</v>
      </c>
      <c r="AH768" s="2" t="str">
        <f ca="1"/>
        <v>Bad</v>
      </c>
    </row>
    <row r="769" spans="2:34">
      <c r="B769" s="2">
        <f ca="1"/>
        <v>4.883502966148634E-2</v>
      </c>
      <c r="O769" s="2">
        <f ca="1"/>
        <v>1.8566494477358473</v>
      </c>
      <c r="X769" s="2">
        <f ca="1"/>
        <v>45.80099197205837</v>
      </c>
      <c r="AG769" s="2">
        <f ca="1"/>
        <v>0.38880521858910599</v>
      </c>
      <c r="AH769" s="2" t="str">
        <f ca="1"/>
        <v>OK</v>
      </c>
    </row>
    <row r="770" spans="2:34">
      <c r="B770" s="2">
        <f ca="1"/>
        <v>0.6687303456942908</v>
      </c>
      <c r="O770" s="2">
        <f ca="1"/>
        <v>1.7945507844458191</v>
      </c>
      <c r="X770" s="2">
        <f ca="1"/>
        <v>30.842826916291219</v>
      </c>
      <c r="AG770" s="2">
        <f ca="1"/>
        <v>5.6044702097458821E-2</v>
      </c>
      <c r="AH770" s="2" t="str">
        <f ca="1"/>
        <v>OK</v>
      </c>
    </row>
    <row r="771" spans="2:34">
      <c r="B771" s="2">
        <f ca="1"/>
        <v>0.23097777081929016</v>
      </c>
      <c r="O771" s="2">
        <f ca="1"/>
        <v>7.0917118806379367E-2</v>
      </c>
      <c r="X771" s="2">
        <f ca="1"/>
        <v>63.119809871263726</v>
      </c>
      <c r="AG771" s="2">
        <f ca="1"/>
        <v>0.55926640907664726</v>
      </c>
      <c r="AH771" s="2" t="str">
        <f ca="1"/>
        <v>Bad</v>
      </c>
    </row>
    <row r="772" spans="2:34">
      <c r="B772" s="2">
        <f ca="1"/>
        <v>0.52837341485840827</v>
      </c>
      <c r="O772" s="2">
        <f ca="1"/>
        <v>1.1836986381890451</v>
      </c>
      <c r="X772" s="2">
        <f ca="1"/>
        <v>43.933948375763293</v>
      </c>
      <c r="AG772" s="2">
        <f ca="1"/>
        <v>0.38025426415362418</v>
      </c>
      <c r="AH772" s="2" t="str">
        <f ca="1"/>
        <v>OK</v>
      </c>
    </row>
    <row r="773" spans="2:34">
      <c r="B773" s="2">
        <f ca="1"/>
        <v>6.789232889012542E-2</v>
      </c>
      <c r="O773" s="2">
        <f ca="1"/>
        <v>-0.97701375191557593</v>
      </c>
      <c r="X773" s="2">
        <f ca="1"/>
        <v>48.990399554409606</v>
      </c>
      <c r="AG773" s="2">
        <f ca="1"/>
        <v>0.60109227196694981</v>
      </c>
      <c r="AH773" s="2" t="str">
        <f ca="1"/>
        <v>Bad</v>
      </c>
    </row>
    <row r="774" spans="2:34">
      <c r="B774" s="2">
        <f ca="1"/>
        <v>0.52626015103038859</v>
      </c>
      <c r="O774" s="2">
        <f ca="1"/>
        <v>1.5384426975063685</v>
      </c>
      <c r="X774" s="2">
        <f ca="1"/>
        <v>47.53786251459249</v>
      </c>
      <c r="AG774" s="2">
        <f ca="1"/>
        <v>7.5388928188735216E-2</v>
      </c>
      <c r="AH774" s="2" t="str">
        <f ca="1"/>
        <v>OK</v>
      </c>
    </row>
    <row r="775" spans="2:34">
      <c r="B775" s="2">
        <f ca="1"/>
        <v>0.46587659849042784</v>
      </c>
      <c r="O775" s="2">
        <f ca="1"/>
        <v>-1.116218627453774</v>
      </c>
      <c r="X775" s="2">
        <f ca="1"/>
        <v>70.635565503989881</v>
      </c>
      <c r="AG775" s="2">
        <f ca="1"/>
        <v>0.19543965043843214</v>
      </c>
      <c r="AH775" s="2" t="str">
        <f ca="1"/>
        <v>OK</v>
      </c>
    </row>
    <row r="776" spans="2:34">
      <c r="B776" s="2">
        <f ca="1"/>
        <v>1.518613888629794E-2</v>
      </c>
      <c r="O776" s="2">
        <f ca="1"/>
        <v>-1.398100224902239</v>
      </c>
      <c r="X776" s="2">
        <f ca="1"/>
        <v>60.899787520141871</v>
      </c>
      <c r="AG776" s="2">
        <f ca="1"/>
        <v>0.53094615875221529</v>
      </c>
      <c r="AH776" s="2" t="str">
        <f ca="1"/>
        <v>Bad</v>
      </c>
    </row>
    <row r="777" spans="2:34">
      <c r="B777" s="2">
        <f ca="1"/>
        <v>0.86320452823393667</v>
      </c>
      <c r="O777" s="2">
        <f ca="1"/>
        <v>-1.1404396654410505</v>
      </c>
      <c r="X777" s="2">
        <f ca="1"/>
        <v>40.7925905446778</v>
      </c>
      <c r="AG777" s="2">
        <f ca="1"/>
        <v>0.64424608363483804</v>
      </c>
      <c r="AH777" s="2" t="str">
        <f ca="1"/>
        <v>Bad</v>
      </c>
    </row>
    <row r="778" spans="2:34">
      <c r="B778" s="2">
        <f ca="1"/>
        <v>0.78274365447365035</v>
      </c>
      <c r="O778" s="2">
        <f ca="1"/>
        <v>-0.27039706100201444</v>
      </c>
      <c r="X778" s="2">
        <f ca="1"/>
        <v>59.089844390931141</v>
      </c>
      <c r="AG778" s="2">
        <f ca="1"/>
        <v>0.32287718436210855</v>
      </c>
      <c r="AH778" s="2" t="str">
        <f ca="1"/>
        <v>OK</v>
      </c>
    </row>
    <row r="779" spans="2:34">
      <c r="B779" s="2">
        <f ca="1"/>
        <v>0.63610457130427545</v>
      </c>
      <c r="O779" s="2">
        <f ca="1"/>
        <v>0.71920214432104368</v>
      </c>
      <c r="X779" s="2">
        <f ca="1"/>
        <v>59.09274130229938</v>
      </c>
      <c r="AG779" s="2">
        <f ca="1"/>
        <v>0.66318325681608004</v>
      </c>
      <c r="AH779" s="2" t="str">
        <f ca="1"/>
        <v>Bad</v>
      </c>
    </row>
    <row r="780" spans="2:34">
      <c r="B780" s="2">
        <f ca="1"/>
        <v>0.72461800107096885</v>
      </c>
      <c r="O780" s="2">
        <f ca="1"/>
        <v>-1.6709629513370752</v>
      </c>
      <c r="X780" s="2">
        <f ca="1"/>
        <v>46.071981519890159</v>
      </c>
      <c r="AG780" s="2">
        <f ca="1"/>
        <v>0.8337311206800615</v>
      </c>
      <c r="AH780" s="2" t="str">
        <f ca="1"/>
        <v>Bad</v>
      </c>
    </row>
    <row r="781" spans="2:34">
      <c r="B781" s="2">
        <f ca="1"/>
        <v>0.53973725796723748</v>
      </c>
      <c r="O781" s="2">
        <f ca="1"/>
        <v>0.3855804800383768</v>
      </c>
      <c r="X781" s="2">
        <f ca="1"/>
        <v>40.14990319689214</v>
      </c>
      <c r="AG781" s="2">
        <f ca="1"/>
        <v>0.58417728487780063</v>
      </c>
      <c r="AH781" s="2" t="str">
        <f ca="1"/>
        <v>Bad</v>
      </c>
    </row>
    <row r="782" spans="2:34">
      <c r="B782" s="2">
        <f ca="1"/>
        <v>0.45497013417443566</v>
      </c>
      <c r="O782" s="2">
        <f ca="1"/>
        <v>1.12502296620051</v>
      </c>
      <c r="X782" s="2">
        <f ca="1"/>
        <v>22.226233094812962</v>
      </c>
      <c r="AG782" s="2">
        <f ca="1"/>
        <v>0.75782169908207453</v>
      </c>
      <c r="AH782" s="2" t="str">
        <f ca="1"/>
        <v>Bad</v>
      </c>
    </row>
    <row r="783" spans="2:34">
      <c r="B783" s="2">
        <f ca="1"/>
        <v>0.65291220446456877</v>
      </c>
      <c r="O783" s="2">
        <f ca="1"/>
        <v>0.72624282493710279</v>
      </c>
      <c r="X783" s="2">
        <f ca="1"/>
        <v>60.269540703599006</v>
      </c>
      <c r="AG783" s="2">
        <f ca="1"/>
        <v>0.31042699817927266</v>
      </c>
      <c r="AH783" s="2" t="str">
        <f ca="1"/>
        <v>OK</v>
      </c>
    </row>
    <row r="784" spans="2:34">
      <c r="B784" s="2">
        <f ca="1"/>
        <v>8.4732059485491229E-2</v>
      </c>
      <c r="O784" s="2">
        <f ca="1"/>
        <v>0.76479234309320698</v>
      </c>
      <c r="X784" s="2">
        <f ca="1"/>
        <v>49.73588016833255</v>
      </c>
      <c r="AG784" s="2">
        <f ca="1"/>
        <v>0.24211679693188626</v>
      </c>
      <c r="AH784" s="2" t="str">
        <f ca="1"/>
        <v>OK</v>
      </c>
    </row>
    <row r="785" spans="2:34">
      <c r="B785" s="2">
        <f ca="1"/>
        <v>5.5621135003387501E-2</v>
      </c>
      <c r="O785" s="2">
        <f ca="1"/>
        <v>3.5080916626220073</v>
      </c>
      <c r="X785" s="2">
        <f ca="1"/>
        <v>111.79506850334363</v>
      </c>
      <c r="AG785" s="2">
        <f ca="1"/>
        <v>0.11025845000405488</v>
      </c>
      <c r="AH785" s="2" t="str">
        <f ca="1"/>
        <v>OK</v>
      </c>
    </row>
    <row r="786" spans="2:34">
      <c r="B786" s="2">
        <f ca="1"/>
        <v>0.79539611713642433</v>
      </c>
      <c r="O786" s="2">
        <f ca="1"/>
        <v>0.31668204578851339</v>
      </c>
      <c r="X786" s="2">
        <f ca="1"/>
        <v>37.920683542738729</v>
      </c>
      <c r="AG786" s="2">
        <f ca="1"/>
        <v>0.23763830316635448</v>
      </c>
      <c r="AH786" s="2" t="str">
        <f ca="1"/>
        <v>OK</v>
      </c>
    </row>
    <row r="787" spans="2:34">
      <c r="B787" s="2">
        <f ca="1"/>
        <v>0.91501219332864525</v>
      </c>
      <c r="O787" s="2">
        <f ca="1"/>
        <v>0.24707950845158727</v>
      </c>
      <c r="X787" s="2">
        <f ca="1"/>
        <v>62.019244180208176</v>
      </c>
      <c r="AG787" s="2">
        <f ca="1"/>
        <v>0.10099181575694405</v>
      </c>
      <c r="AH787" s="2" t="str">
        <f ca="1"/>
        <v>OK</v>
      </c>
    </row>
    <row r="788" spans="2:34">
      <c r="B788" s="2">
        <f ca="1"/>
        <v>0.25461868822264311</v>
      </c>
      <c r="O788" s="2">
        <f ca="1"/>
        <v>0.50609415095971866</v>
      </c>
      <c r="X788" s="2">
        <f ca="1"/>
        <v>45.86389882161712</v>
      </c>
      <c r="AG788" s="2">
        <f ca="1"/>
        <v>0.32351408360023659</v>
      </c>
      <c r="AH788" s="2" t="str">
        <f ca="1"/>
        <v>OK</v>
      </c>
    </row>
    <row r="789" spans="2:34">
      <c r="B789" s="2">
        <f ca="1"/>
        <v>4.3699916653331394E-2</v>
      </c>
      <c r="O789" s="2">
        <f ca="1"/>
        <v>-0.35342360420757968</v>
      </c>
      <c r="X789" s="2">
        <f ca="1"/>
        <v>39.134671209147392</v>
      </c>
      <c r="AG789" s="2">
        <f ca="1"/>
        <v>0.99058652052136797</v>
      </c>
      <c r="AH789" s="2" t="str">
        <f ca="1"/>
        <v>Bad</v>
      </c>
    </row>
    <row r="790" spans="2:34">
      <c r="B790" s="2">
        <f ca="1"/>
        <v>0.12238927562127144</v>
      </c>
      <c r="O790" s="2">
        <f ca="1"/>
        <v>0.86314822111471035</v>
      </c>
      <c r="X790" s="2">
        <f ca="1"/>
        <v>44.080819176859663</v>
      </c>
      <c r="AG790" s="2">
        <f ca="1"/>
        <v>3.0973571113068976E-2</v>
      </c>
      <c r="AH790" s="2" t="str">
        <f ca="1"/>
        <v>Good</v>
      </c>
    </row>
    <row r="791" spans="2:34">
      <c r="B791" s="2">
        <f ca="1"/>
        <v>0.68393178701847934</v>
      </c>
      <c r="O791" s="2">
        <f ca="1"/>
        <v>0.55718294512996003</v>
      </c>
      <c r="X791" s="2">
        <f ca="1"/>
        <v>42.291126544287138</v>
      </c>
      <c r="AG791" s="2">
        <f ca="1"/>
        <v>0.72764852566183813</v>
      </c>
      <c r="AH791" s="2" t="str">
        <f ca="1"/>
        <v>Bad</v>
      </c>
    </row>
    <row r="792" spans="2:34">
      <c r="B792" s="2">
        <f ca="1"/>
        <v>0.90647159536447575</v>
      </c>
      <c r="O792" s="2">
        <f ca="1"/>
        <v>-0.12920308895754004</v>
      </c>
      <c r="X792" s="2">
        <f ca="1"/>
        <v>77.568968748233075</v>
      </c>
      <c r="AG792" s="2">
        <f ca="1"/>
        <v>0.32898676995049292</v>
      </c>
      <c r="AH792" s="2" t="str">
        <f ca="1"/>
        <v>OK</v>
      </c>
    </row>
    <row r="793" spans="2:34">
      <c r="B793" s="2">
        <f ca="1"/>
        <v>0.27516235601908234</v>
      </c>
      <c r="O793" s="2">
        <f ca="1"/>
        <v>-0.45771561394963617</v>
      </c>
      <c r="X793" s="2">
        <f ca="1"/>
        <v>60.82969824761043</v>
      </c>
      <c r="AG793" s="2">
        <f ca="1"/>
        <v>0.25649920178002006</v>
      </c>
      <c r="AH793" s="2" t="str">
        <f ca="1"/>
        <v>OK</v>
      </c>
    </row>
    <row r="794" spans="2:34">
      <c r="B794" s="2">
        <f ca="1"/>
        <v>0.89869700325940682</v>
      </c>
      <c r="O794" s="2">
        <f ca="1"/>
        <v>-0.57784711704595393</v>
      </c>
      <c r="X794" s="2">
        <f ca="1"/>
        <v>62.170925869337914</v>
      </c>
      <c r="AG794" s="2">
        <f ca="1"/>
        <v>0.31363905776164391</v>
      </c>
      <c r="AH794" s="2" t="str">
        <f ca="1"/>
        <v>OK</v>
      </c>
    </row>
    <row r="795" spans="2:34">
      <c r="B795" s="2">
        <f ca="1"/>
        <v>0.55370701076047157</v>
      </c>
      <c r="O795" s="2">
        <f ca="1"/>
        <v>0.59027393043718035</v>
      </c>
      <c r="X795" s="2">
        <f ca="1"/>
        <v>45.400899889585901</v>
      </c>
      <c r="AG795" s="2">
        <f ca="1"/>
        <v>0.40465374477752492</v>
      </c>
      <c r="AH795" s="2" t="str">
        <f ca="1"/>
        <v>Bad</v>
      </c>
    </row>
    <row r="796" spans="2:34">
      <c r="B796" s="2">
        <f ca="1"/>
        <v>0.90928023167875627</v>
      </c>
      <c r="O796" s="2">
        <f ca="1"/>
        <v>-0.21725533524244822</v>
      </c>
      <c r="X796" s="2">
        <f ca="1"/>
        <v>29.332463584148751</v>
      </c>
      <c r="AG796" s="2">
        <f ca="1"/>
        <v>0.42736818971956381</v>
      </c>
      <c r="AH796" s="2" t="str">
        <f ca="1"/>
        <v>Bad</v>
      </c>
    </row>
    <row r="797" spans="2:34">
      <c r="B797" s="2">
        <f ca="1"/>
        <v>1.0185944326190244E-2</v>
      </c>
      <c r="O797" s="2">
        <f ca="1"/>
        <v>1.1449226160014763</v>
      </c>
      <c r="X797" s="2">
        <f ca="1"/>
        <v>72.956852896861932</v>
      </c>
      <c r="AG797" s="2">
        <f ca="1"/>
        <v>0.91825909458857757</v>
      </c>
      <c r="AH797" s="2" t="str">
        <f ca="1"/>
        <v>Bad</v>
      </c>
    </row>
    <row r="798" spans="2:34">
      <c r="B798" s="2">
        <f ca="1"/>
        <v>0.38270029535366357</v>
      </c>
      <c r="O798" s="2">
        <f ca="1"/>
        <v>1.3866207511035742</v>
      </c>
      <c r="X798" s="2">
        <f ca="1"/>
        <v>46.03460418128325</v>
      </c>
      <c r="AG798" s="2">
        <f ca="1"/>
        <v>0.49351268482844168</v>
      </c>
      <c r="AH798" s="2" t="str">
        <f ca="1"/>
        <v>Bad</v>
      </c>
    </row>
    <row r="799" spans="2:34">
      <c r="B799" s="2">
        <f ca="1"/>
        <v>0.27127373549751121</v>
      </c>
      <c r="O799" s="2">
        <f ca="1"/>
        <v>0.32030814598582502</v>
      </c>
      <c r="X799" s="2">
        <f ca="1"/>
        <v>32.38630887711151</v>
      </c>
      <c r="AG799" s="2">
        <f ca="1"/>
        <v>0.71657607832760206</v>
      </c>
      <c r="AH799" s="2" t="str">
        <f ca="1"/>
        <v>Bad</v>
      </c>
    </row>
    <row r="800" spans="2:34">
      <c r="B800" s="2">
        <f ca="1"/>
        <v>0.60548433303825866</v>
      </c>
      <c r="O800" s="2">
        <f ca="1"/>
        <v>-1.4409552845468223</v>
      </c>
      <c r="X800" s="2">
        <f ca="1"/>
        <v>58.667219260721424</v>
      </c>
      <c r="AG800" s="2">
        <f ca="1"/>
        <v>0.22035861304698678</v>
      </c>
      <c r="AH800" s="2" t="str">
        <f ca="1"/>
        <v>OK</v>
      </c>
    </row>
    <row r="801" spans="2:34">
      <c r="B801" s="2">
        <f ca="1"/>
        <v>0.46606547552551736</v>
      </c>
      <c r="O801" s="2">
        <f ca="1"/>
        <v>4.5672239270396479E-2</v>
      </c>
      <c r="X801" s="2">
        <f ca="1"/>
        <v>59.794092796275834</v>
      </c>
      <c r="AG801" s="2">
        <f ca="1"/>
        <v>0.33720071561424425</v>
      </c>
      <c r="AH801" s="2" t="str">
        <f ca="1"/>
        <v>OK</v>
      </c>
    </row>
    <row r="802" spans="2:34">
      <c r="B802" s="2">
        <f ca="1"/>
        <v>0.41890299962880051</v>
      </c>
      <c r="O802" s="2">
        <f ca="1"/>
        <v>1.1436291761212525</v>
      </c>
      <c r="X802" s="2">
        <f ca="1"/>
        <v>60.875565704487073</v>
      </c>
      <c r="AG802" s="2">
        <f ca="1"/>
        <v>0.34342556529321255</v>
      </c>
      <c r="AH802" s="2" t="str">
        <f ca="1"/>
        <v>OK</v>
      </c>
    </row>
    <row r="803" spans="2:34">
      <c r="B803" s="2">
        <f ca="1"/>
        <v>0.16189364412447138</v>
      </c>
      <c r="O803" s="2">
        <f ca="1"/>
        <v>0.86981961681233944</v>
      </c>
      <c r="X803" s="2">
        <f ca="1"/>
        <v>30.853364465861311</v>
      </c>
      <c r="AG803" s="2">
        <f ca="1"/>
        <v>0.91444111152091767</v>
      </c>
      <c r="AH803" s="2" t="str">
        <f ca="1"/>
        <v>Bad</v>
      </c>
    </row>
    <row r="804" spans="2:34">
      <c r="B804" s="2">
        <f ca="1"/>
        <v>0.44179811435793814</v>
      </c>
      <c r="O804" s="2">
        <f ca="1"/>
        <v>0.47964596043198371</v>
      </c>
      <c r="X804" s="2">
        <f ca="1"/>
        <v>24.595708849827155</v>
      </c>
      <c r="AG804" s="2">
        <f ca="1"/>
        <v>0.72342900757569062</v>
      </c>
      <c r="AH804" s="2" t="str">
        <f ca="1"/>
        <v>Bad</v>
      </c>
    </row>
    <row r="805" spans="2:34">
      <c r="B805" s="2">
        <f ca="1"/>
        <v>0.80233685206476557</v>
      </c>
      <c r="O805" s="2">
        <f ca="1"/>
        <v>0.94032854042183656</v>
      </c>
      <c r="X805" s="2">
        <f ca="1"/>
        <v>39.056415984592242</v>
      </c>
      <c r="AG805" s="2">
        <f ca="1"/>
        <v>0.95083706997594764</v>
      </c>
      <c r="AH805" s="2" t="str">
        <f ca="1"/>
        <v>Bad</v>
      </c>
    </row>
    <row r="806" spans="2:34">
      <c r="B806" s="2">
        <f ca="1"/>
        <v>0.6321949143605321</v>
      </c>
      <c r="O806" s="2">
        <f ca="1"/>
        <v>-1.0014123957628529</v>
      </c>
      <c r="X806" s="2">
        <f ca="1"/>
        <v>44.734358708693335</v>
      </c>
      <c r="AG806" s="2">
        <f ca="1"/>
        <v>9.9001945287945814E-2</v>
      </c>
      <c r="AH806" s="2" t="str">
        <f ca="1"/>
        <v>OK</v>
      </c>
    </row>
    <row r="807" spans="2:34">
      <c r="B807" s="2">
        <f ca="1"/>
        <v>0.14721182635482721</v>
      </c>
      <c r="O807" s="2">
        <f ca="1"/>
        <v>-1.1657756156718442</v>
      </c>
      <c r="X807" s="2">
        <f ca="1"/>
        <v>63.177264782678606</v>
      </c>
      <c r="AG807" s="2">
        <f ca="1"/>
        <v>0.95016214237789209</v>
      </c>
      <c r="AH807" s="2" t="str">
        <f ca="1"/>
        <v>Bad</v>
      </c>
    </row>
    <row r="808" spans="2:34">
      <c r="B808" s="2">
        <f ca="1"/>
        <v>0.11570484677432868</v>
      </c>
      <c r="O808" s="2">
        <f ca="1"/>
        <v>0.62406124481566094</v>
      </c>
      <c r="X808" s="2">
        <f ca="1"/>
        <v>83.126038505494478</v>
      </c>
      <c r="AG808" s="2">
        <f ca="1"/>
        <v>0.45748475011195722</v>
      </c>
      <c r="AH808" s="2" t="str">
        <f ca="1"/>
        <v>Bad</v>
      </c>
    </row>
    <row r="809" spans="2:34">
      <c r="B809" s="2">
        <f ca="1"/>
        <v>0.26729741290510534</v>
      </c>
      <c r="O809" s="2">
        <f ca="1"/>
        <v>0.14180865693226763</v>
      </c>
      <c r="X809" s="2">
        <f ca="1"/>
        <v>35.330202390230014</v>
      </c>
      <c r="AG809" s="2">
        <f ca="1"/>
        <v>0.99633044856008435</v>
      </c>
      <c r="AH809" s="2" t="str">
        <f ca="1"/>
        <v>Bad</v>
      </c>
    </row>
    <row r="810" spans="2:34">
      <c r="B810" s="2">
        <f ca="1"/>
        <v>0.44835835632928323</v>
      </c>
      <c r="O810" s="2">
        <f ca="1"/>
        <v>0.9898932382866219</v>
      </c>
      <c r="X810" s="2">
        <f ca="1"/>
        <v>53.931249219375687</v>
      </c>
      <c r="AG810" s="2">
        <f ca="1"/>
        <v>0.17832998702067959</v>
      </c>
      <c r="AH810" s="2" t="str">
        <f ca="1"/>
        <v>OK</v>
      </c>
    </row>
    <row r="811" spans="2:34">
      <c r="B811" s="2">
        <f ca="1"/>
        <v>0.95326335949453878</v>
      </c>
      <c r="O811" s="2">
        <f ca="1"/>
        <v>-0.64106155120833175</v>
      </c>
      <c r="X811" s="2">
        <f ca="1"/>
        <v>25.760487437594662</v>
      </c>
      <c r="AG811" s="2">
        <f ca="1"/>
        <v>0.81126337315293662</v>
      </c>
      <c r="AH811" s="2" t="str">
        <f ca="1"/>
        <v>Bad</v>
      </c>
    </row>
    <row r="812" spans="2:34">
      <c r="B812" s="2">
        <f ca="1"/>
        <v>0.86313788633416211</v>
      </c>
      <c r="O812" s="2">
        <f ca="1"/>
        <v>0.51049750713583031</v>
      </c>
      <c r="X812" s="2">
        <f ca="1"/>
        <v>63.366780964033637</v>
      </c>
      <c r="AG812" s="2">
        <f ca="1"/>
        <v>0.13832066468889281</v>
      </c>
      <c r="AH812" s="2" t="str">
        <f ca="1"/>
        <v>OK</v>
      </c>
    </row>
    <row r="813" spans="2:34">
      <c r="B813" s="2">
        <f ca="1"/>
        <v>0.78982917151750387</v>
      </c>
      <c r="O813" s="2">
        <f ca="1"/>
        <v>-0.31412917205735214</v>
      </c>
      <c r="X813" s="2">
        <f ca="1"/>
        <v>44.021374381563717</v>
      </c>
      <c r="AG813" s="2">
        <f ca="1"/>
        <v>0.27592330366251616</v>
      </c>
      <c r="AH813" s="2" t="str">
        <f ca="1"/>
        <v>OK</v>
      </c>
    </row>
    <row r="814" spans="2:34">
      <c r="B814" s="2">
        <f ca="1"/>
        <v>0.80082516964968509</v>
      </c>
      <c r="O814" s="2">
        <f ca="1"/>
        <v>-5.4536722485118608E-2</v>
      </c>
      <c r="X814" s="2">
        <f ca="1"/>
        <v>37.829366351110792</v>
      </c>
      <c r="AG814" s="2">
        <f ca="1"/>
        <v>0.51193664654714599</v>
      </c>
      <c r="AH814" s="2" t="str">
        <f ca="1"/>
        <v>Bad</v>
      </c>
    </row>
    <row r="815" spans="2:34">
      <c r="B815" s="2">
        <f ca="1"/>
        <v>0.55968848985413855</v>
      </c>
      <c r="O815" s="2">
        <f ca="1"/>
        <v>1.2098789531409557</v>
      </c>
      <c r="X815" s="2">
        <f ca="1"/>
        <v>37.356233388441218</v>
      </c>
      <c r="AG815" s="2">
        <f ca="1"/>
        <v>0.34769679246184504</v>
      </c>
      <c r="AH815" s="2" t="str">
        <f ca="1"/>
        <v>OK</v>
      </c>
    </row>
    <row r="816" spans="2:34">
      <c r="B816" s="2">
        <f ca="1"/>
        <v>0.74676314794431242</v>
      </c>
      <c r="O816" s="2">
        <f ca="1"/>
        <v>0.21913776658592785</v>
      </c>
      <c r="X816" s="2">
        <f ca="1"/>
        <v>36.739231497424839</v>
      </c>
      <c r="AG816" s="2">
        <f ca="1"/>
        <v>0.61317092093455106</v>
      </c>
      <c r="AH816" s="2" t="str">
        <f ca="1"/>
        <v>Bad</v>
      </c>
    </row>
    <row r="817" spans="2:34">
      <c r="B817" s="2">
        <f ca="1"/>
        <v>0.1421390306449879</v>
      </c>
      <c r="O817" s="2">
        <f ca="1"/>
        <v>-0.10690772079045185</v>
      </c>
      <c r="X817" s="2">
        <f ca="1"/>
        <v>27.278057699362908</v>
      </c>
      <c r="AG817" s="2">
        <f ca="1"/>
        <v>0.54121844345310599</v>
      </c>
      <c r="AH817" s="2" t="str">
        <f ca="1"/>
        <v>Bad</v>
      </c>
    </row>
    <row r="818" spans="2:34">
      <c r="B818" s="2">
        <f ca="1"/>
        <v>0.44958718563365352</v>
      </c>
      <c r="O818" s="2">
        <f ca="1"/>
        <v>-0.52928698555007014</v>
      </c>
      <c r="X818" s="2">
        <f ca="1"/>
        <v>55.911857081203074</v>
      </c>
      <c r="AG818" s="2">
        <f ca="1"/>
        <v>0.65618019839377273</v>
      </c>
      <c r="AH818" s="2" t="str">
        <f ca="1"/>
        <v>Bad</v>
      </c>
    </row>
    <row r="819" spans="2:34">
      <c r="B819" s="2">
        <f ca="1"/>
        <v>0.33797013044032709</v>
      </c>
      <c r="O819" s="2">
        <f ca="1"/>
        <v>1.3717675038761785</v>
      </c>
      <c r="X819" s="2">
        <f ca="1"/>
        <v>57.491621227082668</v>
      </c>
      <c r="AG819" s="2">
        <f ca="1"/>
        <v>0.36409916729100789</v>
      </c>
      <c r="AH819" s="2" t="str">
        <f ca="1"/>
        <v>OK</v>
      </c>
    </row>
    <row r="820" spans="2:34">
      <c r="B820" s="2">
        <f ca="1"/>
        <v>5.0059891491419206E-2</v>
      </c>
      <c r="O820" s="2">
        <f ca="1"/>
        <v>1.0368990110980578</v>
      </c>
      <c r="X820" s="2">
        <f ca="1"/>
        <v>50.14641099080567</v>
      </c>
      <c r="AG820" s="2">
        <f ca="1"/>
        <v>0.90651952779962408</v>
      </c>
      <c r="AH820" s="2" t="str">
        <f ca="1"/>
        <v>Bad</v>
      </c>
    </row>
    <row r="821" spans="2:34">
      <c r="B821" s="2">
        <f ca="1"/>
        <v>0.29366930111081424</v>
      </c>
      <c r="O821" s="2">
        <f ca="1"/>
        <v>-1.2599837807416419</v>
      </c>
      <c r="X821" s="2">
        <f ca="1"/>
        <v>24.367379397055021</v>
      </c>
      <c r="AG821" s="2">
        <f ca="1"/>
        <v>0.93525822797831282</v>
      </c>
      <c r="AH821" s="2" t="str">
        <f ca="1"/>
        <v>Bad</v>
      </c>
    </row>
    <row r="822" spans="2:34">
      <c r="B822" s="2">
        <f ca="1"/>
        <v>0.12205126474487926</v>
      </c>
      <c r="O822" s="2">
        <f ca="1"/>
        <v>0.27734754676284745</v>
      </c>
      <c r="X822" s="2">
        <f ca="1"/>
        <v>58.737345299436384</v>
      </c>
      <c r="AG822" s="2">
        <f ca="1"/>
        <v>0.62875846012230041</v>
      </c>
      <c r="AH822" s="2" t="str">
        <f ca="1"/>
        <v>Bad</v>
      </c>
    </row>
    <row r="823" spans="2:34">
      <c r="B823" s="2">
        <f ca="1"/>
        <v>0.83570227575009226</v>
      </c>
      <c r="O823" s="2">
        <f ca="1"/>
        <v>-0.45641623995485164</v>
      </c>
      <c r="X823" s="2">
        <f ca="1"/>
        <v>44.035950623457516</v>
      </c>
      <c r="AG823" s="2">
        <f ca="1"/>
        <v>0.72042025135421373</v>
      </c>
      <c r="AH823" s="2" t="str">
        <f ca="1"/>
        <v>Bad</v>
      </c>
    </row>
    <row r="824" spans="2:34">
      <c r="B824" s="2">
        <f ca="1"/>
        <v>0.72654826082082868</v>
      </c>
      <c r="O824" s="2">
        <f ca="1"/>
        <v>-6.4196068190026809E-2</v>
      </c>
      <c r="X824" s="2">
        <f ca="1"/>
        <v>25.230709116034291</v>
      </c>
      <c r="AG824" s="2">
        <f ca="1"/>
        <v>0.54090275137889221</v>
      </c>
      <c r="AH824" s="2" t="str">
        <f ca="1"/>
        <v>Bad</v>
      </c>
    </row>
    <row r="825" spans="2:34">
      <c r="B825" s="2">
        <f ca="1"/>
        <v>0.96553391429867363</v>
      </c>
      <c r="O825" s="2">
        <f ca="1"/>
        <v>5.6480355201549093E-2</v>
      </c>
      <c r="X825" s="2">
        <f ca="1"/>
        <v>63.340199713502123</v>
      </c>
      <c r="AG825" s="2">
        <f ca="1"/>
        <v>0.5535409801054727</v>
      </c>
      <c r="AH825" s="2" t="str">
        <f ca="1"/>
        <v>Bad</v>
      </c>
    </row>
    <row r="826" spans="2:34">
      <c r="B826" s="2">
        <f ca="1"/>
        <v>0.17526419286841444</v>
      </c>
      <c r="O826" s="2">
        <f ca="1"/>
        <v>-2.4951784817424731</v>
      </c>
      <c r="X826" s="2">
        <f ca="1"/>
        <v>46.155641712208563</v>
      </c>
      <c r="AG826" s="2">
        <f ca="1"/>
        <v>0.89110897531408328</v>
      </c>
      <c r="AH826" s="2" t="str">
        <f ca="1"/>
        <v>Bad</v>
      </c>
    </row>
    <row r="827" spans="2:34">
      <c r="B827" s="2">
        <f ca="1"/>
        <v>0.83997666564860762</v>
      </c>
      <c r="O827" s="2">
        <f ca="1"/>
        <v>-2.7392454869555296</v>
      </c>
      <c r="X827" s="2">
        <f ca="1"/>
        <v>23.259015361668606</v>
      </c>
      <c r="AG827" s="2">
        <f ca="1"/>
        <v>4.6945472802442989E-2</v>
      </c>
      <c r="AH827" s="2" t="str">
        <f ca="1"/>
        <v>Good</v>
      </c>
    </row>
    <row r="828" spans="2:34">
      <c r="B828" s="2">
        <f ca="1"/>
        <v>0.38868638706415082</v>
      </c>
      <c r="O828" s="2">
        <f ca="1"/>
        <v>-1.9604463248917741</v>
      </c>
      <c r="X828" s="2">
        <f ca="1"/>
        <v>70.155848335771879</v>
      </c>
      <c r="AG828" s="2">
        <f ca="1"/>
        <v>0.33166182230030294</v>
      </c>
      <c r="AH828" s="2" t="str">
        <f ca="1"/>
        <v>OK</v>
      </c>
    </row>
    <row r="829" spans="2:34">
      <c r="B829" s="2">
        <f ca="1"/>
        <v>0.36375918382033556</v>
      </c>
      <c r="O829" s="2">
        <f ca="1"/>
        <v>-0.22049071623954342</v>
      </c>
      <c r="X829" s="2">
        <f ca="1"/>
        <v>36.747403129667703</v>
      </c>
      <c r="AG829" s="2">
        <f ca="1"/>
        <v>0.14809815347300903</v>
      </c>
      <c r="AH829" s="2" t="str">
        <f ca="1"/>
        <v>OK</v>
      </c>
    </row>
    <row r="830" spans="2:34">
      <c r="B830" s="2">
        <f ca="1"/>
        <v>0.86021031813091842</v>
      </c>
      <c r="O830" s="2">
        <f ca="1"/>
        <v>6.5868112582117486E-3</v>
      </c>
      <c r="X830" s="2">
        <f ca="1"/>
        <v>61.152408232257898</v>
      </c>
      <c r="AG830" s="2">
        <f ca="1"/>
        <v>0.8339297342176144</v>
      </c>
      <c r="AH830" s="2" t="str">
        <f ca="1"/>
        <v>Bad</v>
      </c>
    </row>
    <row r="831" spans="2:34">
      <c r="B831" s="2">
        <f ca="1"/>
        <v>0.73701410746541662</v>
      </c>
      <c r="O831" s="2">
        <f ca="1"/>
        <v>0.41225774404458387</v>
      </c>
      <c r="X831" s="2">
        <f ca="1"/>
        <v>46.09690928540541</v>
      </c>
      <c r="AG831" s="2">
        <f ca="1"/>
        <v>0.52016555988397073</v>
      </c>
      <c r="AH831" s="2" t="str">
        <f ca="1"/>
        <v>Bad</v>
      </c>
    </row>
    <row r="832" spans="2:34">
      <c r="B832" s="2">
        <f ca="1"/>
        <v>0.22088018947859633</v>
      </c>
      <c r="O832" s="2">
        <f ca="1"/>
        <v>-2.2381892760453899</v>
      </c>
      <c r="X832" s="2">
        <f ca="1"/>
        <v>57.650429151798164</v>
      </c>
      <c r="AG832" s="2">
        <f ca="1"/>
        <v>0.51156290905892376</v>
      </c>
      <c r="AH832" s="2" t="str">
        <f ca="1"/>
        <v>Bad</v>
      </c>
    </row>
    <row r="833" spans="2:34">
      <c r="B833" s="2">
        <f ca="1"/>
        <v>0.68816523075932379</v>
      </c>
      <c r="O833" s="2">
        <f ca="1"/>
        <v>-0.39985920696468108</v>
      </c>
      <c r="X833" s="2">
        <f ca="1"/>
        <v>46.266231214623716</v>
      </c>
      <c r="AG833" s="2">
        <f ca="1"/>
        <v>0.30879783892128199</v>
      </c>
      <c r="AH833" s="2" t="str">
        <f ca="1"/>
        <v>OK</v>
      </c>
    </row>
    <row r="834" spans="2:34">
      <c r="B834" s="2">
        <f ca="1"/>
        <v>0.34585470752800873</v>
      </c>
      <c r="O834" s="2">
        <f ca="1"/>
        <v>-1.020333659643694</v>
      </c>
      <c r="X834" s="2">
        <f ca="1"/>
        <v>37.823734814797994</v>
      </c>
      <c r="AG834" s="2">
        <f ca="1"/>
        <v>0.7256951312754456</v>
      </c>
      <c r="AH834" s="2" t="str">
        <f ca="1"/>
        <v>Bad</v>
      </c>
    </row>
    <row r="835" spans="2:34">
      <c r="B835" s="2">
        <f ca="1"/>
        <v>0.65086706722383592</v>
      </c>
      <c r="O835" s="2">
        <f ca="1"/>
        <v>0.59684718642276657</v>
      </c>
      <c r="X835" s="2">
        <f ca="1"/>
        <v>63.060903259808406</v>
      </c>
      <c r="AG835" s="2">
        <f ca="1"/>
        <v>0.69870594074854209</v>
      </c>
      <c r="AH835" s="2" t="str">
        <f ca="1"/>
        <v>Bad</v>
      </c>
    </row>
    <row r="836" spans="2:34">
      <c r="B836" s="2">
        <f ca="1"/>
        <v>8.7920006495558756E-2</v>
      </c>
      <c r="O836" s="2">
        <f ca="1"/>
        <v>0.41674587455154205</v>
      </c>
      <c r="X836" s="2">
        <f ca="1"/>
        <v>70.594204071576399</v>
      </c>
      <c r="AG836" s="2">
        <f ca="1"/>
        <v>0.89156029912643531</v>
      </c>
      <c r="AH836" s="2" t="str">
        <f ca="1"/>
        <v>Bad</v>
      </c>
    </row>
    <row r="837" spans="2:34">
      <c r="B837" s="2">
        <f ca="1"/>
        <v>0.44702920647874289</v>
      </c>
      <c r="O837" s="2">
        <f ca="1"/>
        <v>-1.4821182798061874</v>
      </c>
      <c r="X837" s="2">
        <f ca="1"/>
        <v>55.590119360026939</v>
      </c>
      <c r="AG837" s="2">
        <f ca="1"/>
        <v>0.65485147860730208</v>
      </c>
      <c r="AH837" s="2" t="str">
        <f ca="1"/>
        <v>Bad</v>
      </c>
    </row>
    <row r="838" spans="2:34">
      <c r="B838" s="2">
        <f ca="1"/>
        <v>0.79223297043580043</v>
      </c>
      <c r="O838" s="2">
        <f ca="1"/>
        <v>-3.471477973703288E-2</v>
      </c>
      <c r="X838" s="2">
        <f ca="1"/>
        <v>38.721808271670739</v>
      </c>
      <c r="AG838" s="2">
        <f ca="1"/>
        <v>0.8585797828405366</v>
      </c>
      <c r="AH838" s="2" t="str">
        <f ca="1"/>
        <v>Bad</v>
      </c>
    </row>
    <row r="839" spans="2:34">
      <c r="B839" s="2">
        <f ca="1"/>
        <v>0.48467013200325848</v>
      </c>
      <c r="O839" s="2">
        <f ca="1"/>
        <v>1.3904689953358018</v>
      </c>
      <c r="X839" s="2">
        <f ca="1"/>
        <v>72.066224109829221</v>
      </c>
      <c r="AG839" s="2">
        <f ca="1"/>
        <v>0.23881820338431492</v>
      </c>
      <c r="AH839" s="2" t="str">
        <f ca="1"/>
        <v>OK</v>
      </c>
    </row>
    <row r="840" spans="2:34">
      <c r="B840" s="2">
        <f ca="1"/>
        <v>0.1889415046002858</v>
      </c>
      <c r="O840" s="2">
        <f ca="1"/>
        <v>0.5095881441555119</v>
      </c>
      <c r="X840" s="2">
        <f ca="1"/>
        <v>51.490474868902361</v>
      </c>
      <c r="AG840" s="2">
        <f ca="1"/>
        <v>0.21789439502979202</v>
      </c>
      <c r="AH840" s="2" t="str">
        <f ca="1"/>
        <v>OK</v>
      </c>
    </row>
    <row r="841" spans="2:34">
      <c r="B841" s="2">
        <f ca="1"/>
        <v>0.90020606180655771</v>
      </c>
      <c r="O841" s="2">
        <f ca="1"/>
        <v>0.65941522186499346</v>
      </c>
      <c r="X841" s="2">
        <f ca="1"/>
        <v>32.85903369201943</v>
      </c>
      <c r="AG841" s="2">
        <f ca="1"/>
        <v>5.708018927359193E-2</v>
      </c>
      <c r="AH841" s="2" t="str">
        <f ca="1"/>
        <v>OK</v>
      </c>
    </row>
    <row r="842" spans="2:34">
      <c r="B842" s="2">
        <f ca="1"/>
        <v>0.79532193611126067</v>
      </c>
      <c r="O842" s="2">
        <f ca="1"/>
        <v>3.834149791501912E-3</v>
      </c>
      <c r="X842" s="2">
        <f ca="1"/>
        <v>87.510798580405122</v>
      </c>
      <c r="AG842" s="2">
        <f ca="1"/>
        <v>0.30884354673440306</v>
      </c>
      <c r="AH842" s="2" t="str">
        <f ca="1"/>
        <v>OK</v>
      </c>
    </row>
    <row r="843" spans="2:34">
      <c r="B843" s="2">
        <f ca="1"/>
        <v>0.46674361325674862</v>
      </c>
      <c r="O843" s="2">
        <f ca="1"/>
        <v>0.43640696111278193</v>
      </c>
      <c r="X843" s="2">
        <f ca="1"/>
        <v>58.310678134369638</v>
      </c>
      <c r="AG843" s="2">
        <f ca="1"/>
        <v>4.149584662388639E-2</v>
      </c>
      <c r="AH843" s="2" t="str">
        <f ca="1"/>
        <v>Good</v>
      </c>
    </row>
    <row r="844" spans="2:34">
      <c r="B844" s="2">
        <f ca="1"/>
        <v>6.698546645180059E-2</v>
      </c>
      <c r="O844" s="2">
        <f ca="1"/>
        <v>0.74303663119395535</v>
      </c>
      <c r="X844" s="2">
        <f ca="1"/>
        <v>29.225774356327499</v>
      </c>
      <c r="AG844" s="2">
        <f ca="1"/>
        <v>0.68282068271200247</v>
      </c>
      <c r="AH844" s="2" t="str">
        <f ca="1"/>
        <v>Bad</v>
      </c>
    </row>
    <row r="845" spans="2:34">
      <c r="B845" s="2">
        <f ca="1"/>
        <v>0.59296628477601532</v>
      </c>
      <c r="O845" s="2">
        <f ca="1"/>
        <v>-0.67221062508019958</v>
      </c>
      <c r="X845" s="2">
        <f ca="1"/>
        <v>62.238910437769533</v>
      </c>
      <c r="AG845" s="2">
        <f ca="1"/>
        <v>0.5790577521530873</v>
      </c>
      <c r="AH845" s="2" t="str">
        <f ca="1"/>
        <v>Bad</v>
      </c>
    </row>
    <row r="846" spans="2:34">
      <c r="B846" s="2">
        <f ca="1"/>
        <v>7.8914163360317424E-3</v>
      </c>
      <c r="O846" s="2">
        <f ca="1"/>
        <v>0.93031462435628209</v>
      </c>
      <c r="X846" s="2">
        <f ca="1"/>
        <v>58.218849367051853</v>
      </c>
      <c r="AG846" s="2">
        <f ca="1"/>
        <v>0.74937755876470669</v>
      </c>
      <c r="AH846" s="2" t="str">
        <f ca="1"/>
        <v>Bad</v>
      </c>
    </row>
    <row r="847" spans="2:34">
      <c r="B847" s="2">
        <f ca="1"/>
        <v>9.3367076667524307E-2</v>
      </c>
      <c r="O847" s="2">
        <f ca="1"/>
        <v>0.33233572057032768</v>
      </c>
      <c r="X847" s="2">
        <f ca="1"/>
        <v>31.478375232913123</v>
      </c>
      <c r="AG847" s="2">
        <f ca="1"/>
        <v>0.94637425785484486</v>
      </c>
      <c r="AH847" s="2" t="str">
        <f ca="1"/>
        <v>Bad</v>
      </c>
    </row>
    <row r="848" spans="2:34">
      <c r="B848" s="2">
        <f ca="1"/>
        <v>4.4106574877518234E-3</v>
      </c>
      <c r="O848" s="2">
        <f ca="1"/>
        <v>1.0607442502780897</v>
      </c>
      <c r="X848" s="2">
        <f ca="1"/>
        <v>52.621041786812484</v>
      </c>
      <c r="AG848" s="2">
        <f ca="1"/>
        <v>6.0353749117274091E-2</v>
      </c>
      <c r="AH848" s="2" t="str">
        <f ca="1"/>
        <v>OK</v>
      </c>
    </row>
    <row r="849" spans="2:34">
      <c r="B849" s="2">
        <f ca="1"/>
        <v>0.99749636181914503</v>
      </c>
      <c r="O849" s="2">
        <f ca="1"/>
        <v>0.62889547706098647</v>
      </c>
      <c r="X849" s="2">
        <f ca="1"/>
        <v>60.627898466927576</v>
      </c>
      <c r="AG849" s="2">
        <f ca="1"/>
        <v>0.27997124172255439</v>
      </c>
      <c r="AH849" s="2" t="str">
        <f ca="1"/>
        <v>OK</v>
      </c>
    </row>
    <row r="850" spans="2:34">
      <c r="B850" s="2">
        <f ca="1"/>
        <v>0.97731852950752685</v>
      </c>
      <c r="O850" s="2">
        <f ca="1"/>
        <v>-1.2824338739753591</v>
      </c>
      <c r="X850" s="2">
        <f ca="1"/>
        <v>66.714355348924983</v>
      </c>
      <c r="AG850" s="2">
        <f ca="1"/>
        <v>0.97562710913342476</v>
      </c>
      <c r="AH850" s="2" t="str">
        <f ca="1"/>
        <v>Bad</v>
      </c>
    </row>
    <row r="851" spans="2:34">
      <c r="B851" s="2">
        <f ca="1"/>
        <v>3.8380919503246069E-2</v>
      </c>
      <c r="O851" s="2">
        <f ca="1"/>
        <v>-1.3769987037663831</v>
      </c>
      <c r="X851" s="2">
        <f ca="1"/>
        <v>45.784397982738597</v>
      </c>
      <c r="AG851" s="2">
        <f ca="1"/>
        <v>0.41838374283311697</v>
      </c>
      <c r="AH851" s="2" t="str">
        <f ca="1"/>
        <v>Bad</v>
      </c>
    </row>
    <row r="852" spans="2:34">
      <c r="B852" s="2">
        <f ca="1"/>
        <v>0.27117161962493475</v>
      </c>
      <c r="O852" s="2">
        <f ca="1"/>
        <v>0.31961091869240094</v>
      </c>
      <c r="X852" s="2">
        <f ca="1"/>
        <v>45.649766751625535</v>
      </c>
      <c r="AG852" s="2">
        <f ca="1"/>
        <v>0.34192660008826348</v>
      </c>
      <c r="AH852" s="2" t="str">
        <f ca="1"/>
        <v>OK</v>
      </c>
    </row>
    <row r="853" spans="2:34">
      <c r="B853" s="2">
        <f ca="1"/>
        <v>0.25022108827110312</v>
      </c>
      <c r="O853" s="2">
        <f ca="1"/>
        <v>0.58858715250626026</v>
      </c>
      <c r="X853" s="2">
        <f ca="1"/>
        <v>69.701567215967543</v>
      </c>
      <c r="AG853" s="2">
        <f ca="1"/>
        <v>0.89451969811077037</v>
      </c>
      <c r="AH853" s="2" t="str">
        <f ca="1"/>
        <v>Bad</v>
      </c>
    </row>
    <row r="854" spans="2:34">
      <c r="B854" s="2">
        <f ca="1"/>
        <v>0.73618192428152573</v>
      </c>
      <c r="O854" s="2">
        <f ca="1"/>
        <v>1.8409524741540122</v>
      </c>
      <c r="X854" s="2">
        <f ca="1"/>
        <v>63.656624223326155</v>
      </c>
      <c r="AG854" s="2">
        <f ca="1"/>
        <v>0.36888539583076363</v>
      </c>
      <c r="AH854" s="2" t="str">
        <f ca="1"/>
        <v>OK</v>
      </c>
    </row>
    <row r="855" spans="2:34">
      <c r="B855" s="2">
        <f ca="1"/>
        <v>0.12053246963462261</v>
      </c>
      <c r="O855" s="2">
        <f ca="1"/>
        <v>1.2570781145407126</v>
      </c>
      <c r="X855" s="2">
        <f ca="1"/>
        <v>51.526335651950824</v>
      </c>
      <c r="AG855" s="2">
        <f ca="1"/>
        <v>0.9687995503919471</v>
      </c>
      <c r="AH855" s="2" t="str">
        <f ca="1"/>
        <v>Bad</v>
      </c>
    </row>
    <row r="856" spans="2:34">
      <c r="B856" s="2">
        <f ca="1"/>
        <v>0.92770641410355648</v>
      </c>
      <c r="O856" s="2">
        <f ca="1"/>
        <v>-1.2390485850796293</v>
      </c>
      <c r="X856" s="2">
        <f ca="1"/>
        <v>50.303711979241932</v>
      </c>
      <c r="AG856" s="2">
        <f ca="1"/>
        <v>8.2102217164095714E-2</v>
      </c>
      <c r="AH856" s="2" t="str">
        <f ca="1"/>
        <v>OK</v>
      </c>
    </row>
    <row r="857" spans="2:34">
      <c r="B857" s="2">
        <f ca="1"/>
        <v>0.42897211232776433</v>
      </c>
      <c r="O857" s="2">
        <f ca="1"/>
        <v>0.23667991462657678</v>
      </c>
      <c r="X857" s="2">
        <f ca="1"/>
        <v>42.321860018142345</v>
      </c>
      <c r="AG857" s="2">
        <f ca="1"/>
        <v>0.9488715308861293</v>
      </c>
      <c r="AH857" s="2" t="str">
        <f ca="1"/>
        <v>Bad</v>
      </c>
    </row>
    <row r="858" spans="2:34">
      <c r="B858" s="2">
        <f ca="1"/>
        <v>0.17385297976745817</v>
      </c>
      <c r="O858" s="2">
        <f ca="1"/>
        <v>-0.5797769848778207</v>
      </c>
      <c r="X858" s="2">
        <f ca="1"/>
        <v>54.322900537411883</v>
      </c>
      <c r="AG858" s="2">
        <f ca="1"/>
        <v>0.61911241308250364</v>
      </c>
      <c r="AH858" s="2" t="str">
        <f ca="1"/>
        <v>Bad</v>
      </c>
    </row>
    <row r="859" spans="2:34">
      <c r="B859" s="2">
        <f ca="1"/>
        <v>0.76732468622003602</v>
      </c>
      <c r="O859" s="2">
        <f ca="1"/>
        <v>0.4213091941543558</v>
      </c>
      <c r="X859" s="2">
        <f ca="1"/>
        <v>38.671104019318165</v>
      </c>
      <c r="AG859" s="2">
        <f ca="1"/>
        <v>0.14645786460536558</v>
      </c>
      <c r="AH859" s="2" t="str">
        <f ca="1"/>
        <v>OK</v>
      </c>
    </row>
    <row r="860" spans="2:34">
      <c r="B860" s="2">
        <f ca="1"/>
        <v>4.1442644154019437E-3</v>
      </c>
      <c r="O860" s="2">
        <f ca="1"/>
        <v>-0.50581647745638403</v>
      </c>
      <c r="X860" s="2">
        <f ca="1"/>
        <v>31.891745025900935</v>
      </c>
      <c r="AG860" s="2">
        <f ca="1"/>
        <v>0.19760302197539281</v>
      </c>
      <c r="AH860" s="2" t="str">
        <f ca="1"/>
        <v>OK</v>
      </c>
    </row>
    <row r="861" spans="2:34">
      <c r="B861" s="2">
        <f ca="1"/>
        <v>7.127588672488705E-2</v>
      </c>
      <c r="O861" s="2">
        <f ca="1"/>
        <v>-1.0776085282478296</v>
      </c>
      <c r="X861" s="2">
        <f ca="1"/>
        <v>31.691228487512003</v>
      </c>
      <c r="AG861" s="2">
        <f ca="1"/>
        <v>0.15460905982143358</v>
      </c>
      <c r="AH861" s="2" t="str">
        <f ca="1"/>
        <v>OK</v>
      </c>
    </row>
    <row r="862" spans="2:34">
      <c r="B862" s="2">
        <f ca="1"/>
        <v>0.77294594515855541</v>
      </c>
      <c r="O862" s="2">
        <f ca="1"/>
        <v>-0.46677874007189341</v>
      </c>
      <c r="X862" s="2">
        <f ca="1"/>
        <v>45.220768752392388</v>
      </c>
      <c r="AG862" s="2">
        <f ca="1"/>
        <v>0.41014728081663843</v>
      </c>
      <c r="AH862" s="2" t="str">
        <f ca="1"/>
        <v>Bad</v>
      </c>
    </row>
    <row r="863" spans="2:34">
      <c r="B863" s="2">
        <f ca="1"/>
        <v>0.51838844670606288</v>
      </c>
      <c r="O863" s="2">
        <f ca="1"/>
        <v>3.669164954879027E-2</v>
      </c>
      <c r="X863" s="2">
        <f ca="1"/>
        <v>20.202189077946386</v>
      </c>
      <c r="AG863" s="2">
        <f ca="1"/>
        <v>0.47192657273850447</v>
      </c>
      <c r="AH863" s="2" t="str">
        <f ca="1"/>
        <v>Bad</v>
      </c>
    </row>
    <row r="864" spans="2:34">
      <c r="B864" s="2">
        <f ca="1"/>
        <v>0.9254339969517571</v>
      </c>
      <c r="O864" s="2">
        <f ca="1"/>
        <v>1.3202374207472189</v>
      </c>
      <c r="X864" s="2">
        <f ca="1"/>
        <v>62.95086670347645</v>
      </c>
      <c r="AG864" s="2">
        <f ca="1"/>
        <v>0.10019878772056923</v>
      </c>
      <c r="AH864" s="2" t="str">
        <f ca="1"/>
        <v>OK</v>
      </c>
    </row>
    <row r="865" spans="2:34">
      <c r="B865" s="2">
        <f ca="1"/>
        <v>0.27798111757543853</v>
      </c>
      <c r="O865" s="2">
        <f ca="1"/>
        <v>-0.26543349954242473</v>
      </c>
      <c r="X865" s="2">
        <f ca="1"/>
        <v>69.30703043420506</v>
      </c>
      <c r="AG865" s="2">
        <f ca="1"/>
        <v>0.41473155407402662</v>
      </c>
      <c r="AH865" s="2" t="str">
        <f ca="1"/>
        <v>Bad</v>
      </c>
    </row>
    <row r="866" spans="2:34">
      <c r="B866" s="2">
        <f ca="1"/>
        <v>9.7587634765849307E-2</v>
      </c>
      <c r="O866" s="2">
        <f ca="1"/>
        <v>-1.0269477135526375</v>
      </c>
      <c r="X866" s="2">
        <f ca="1"/>
        <v>31.003916349878754</v>
      </c>
      <c r="AG866" s="2">
        <f ca="1"/>
        <v>4.6599339174517196E-2</v>
      </c>
      <c r="AH866" s="2" t="str">
        <f ca="1"/>
        <v>Good</v>
      </c>
    </row>
    <row r="867" spans="2:34">
      <c r="B867" s="2">
        <f ca="1"/>
        <v>0.18818611898142978</v>
      </c>
      <c r="O867" s="2">
        <f ca="1"/>
        <v>0.11454250411912514</v>
      </c>
      <c r="X867" s="2">
        <f ca="1"/>
        <v>33.744433509370964</v>
      </c>
      <c r="AG867" s="2">
        <f ca="1"/>
        <v>0.17962866796118249</v>
      </c>
      <c r="AH867" s="2" t="str">
        <f ca="1"/>
        <v>OK</v>
      </c>
    </row>
    <row r="868" spans="2:34">
      <c r="B868" s="2">
        <f ca="1"/>
        <v>0.26342760744116545</v>
      </c>
      <c r="O868" s="2">
        <f ca="1"/>
        <v>0.63195561817022727</v>
      </c>
      <c r="X868" s="2">
        <f ca="1"/>
        <v>35.268734301512772</v>
      </c>
      <c r="AG868" s="2">
        <f ca="1"/>
        <v>7.6083795598537396E-2</v>
      </c>
      <c r="AH868" s="2" t="str">
        <f ca="1"/>
        <v>OK</v>
      </c>
    </row>
    <row r="869" spans="2:34">
      <c r="B869" s="2">
        <f ca="1"/>
        <v>0.56946887775498944</v>
      </c>
      <c r="O869" s="2">
        <f ca="1"/>
        <v>1.0680044419476963E-2</v>
      </c>
      <c r="X869" s="2">
        <f ca="1"/>
        <v>50.556511125737948</v>
      </c>
      <c r="AG869" s="2">
        <f ca="1"/>
        <v>0.69520805850208611</v>
      </c>
      <c r="AH869" s="2" t="str">
        <f ca="1"/>
        <v>Bad</v>
      </c>
    </row>
    <row r="870" spans="2:34">
      <c r="B870" s="2">
        <f ca="1"/>
        <v>0.14150279457915982</v>
      </c>
      <c r="O870" s="2">
        <f ca="1"/>
        <v>0.54705499831753845</v>
      </c>
      <c r="X870" s="2">
        <f ca="1"/>
        <v>50.747263389265449</v>
      </c>
      <c r="AG870" s="2">
        <f ca="1"/>
        <v>0.57371259534428343</v>
      </c>
      <c r="AH870" s="2" t="str">
        <f ca="1"/>
        <v>Bad</v>
      </c>
    </row>
    <row r="871" spans="2:34">
      <c r="B871" s="2">
        <f ca="1"/>
        <v>0.10099829251984671</v>
      </c>
      <c r="O871" s="2">
        <f ca="1"/>
        <v>-0.215824481305741</v>
      </c>
      <c r="X871" s="2">
        <f ca="1"/>
        <v>42.776774014848982</v>
      </c>
      <c r="AG871" s="2">
        <f ca="1"/>
        <v>0.34598219310764722</v>
      </c>
      <c r="AH871" s="2" t="str">
        <f ca="1"/>
        <v>OK</v>
      </c>
    </row>
    <row r="872" spans="2:34">
      <c r="B872" s="2">
        <f ca="1"/>
        <v>0.55947014025942421</v>
      </c>
      <c r="O872" s="2">
        <f ca="1"/>
        <v>1.2813809378673509</v>
      </c>
      <c r="X872" s="2">
        <f ca="1"/>
        <v>46.734373904944277</v>
      </c>
      <c r="AG872" s="2">
        <f ca="1"/>
        <v>0.76897810754805329</v>
      </c>
      <c r="AH872" s="2" t="str">
        <f ca="1"/>
        <v>Bad</v>
      </c>
    </row>
    <row r="873" spans="2:34">
      <c r="B873" s="2">
        <f ca="1"/>
        <v>0.79493591907969119</v>
      </c>
      <c r="O873" s="2">
        <f ca="1"/>
        <v>-0.34518899563338823</v>
      </c>
      <c r="X873" s="2">
        <f ca="1"/>
        <v>35.352328301151886</v>
      </c>
      <c r="AG873" s="2">
        <f ca="1"/>
        <v>3.8060975039269307E-2</v>
      </c>
      <c r="AH873" s="2" t="str">
        <f ca="1"/>
        <v>Good</v>
      </c>
    </row>
    <row r="874" spans="2:34">
      <c r="B874" s="2">
        <f ca="1"/>
        <v>0.67590113575097233</v>
      </c>
      <c r="O874" s="2">
        <f ca="1"/>
        <v>0.15643484803374483</v>
      </c>
      <c r="X874" s="2">
        <f ca="1"/>
        <v>51.609566545436032</v>
      </c>
      <c r="AG874" s="2">
        <f ca="1"/>
        <v>0.83585202711152928</v>
      </c>
      <c r="AH874" s="2" t="str">
        <f ca="1"/>
        <v>Bad</v>
      </c>
    </row>
    <row r="875" spans="2:34">
      <c r="B875" s="2">
        <f ca="1"/>
        <v>0.57852229298099944</v>
      </c>
      <c r="O875" s="2">
        <f ca="1"/>
        <v>-0.49062143616965886</v>
      </c>
      <c r="X875" s="2">
        <f ca="1"/>
        <v>49.132182331779489</v>
      </c>
      <c r="AG875" s="2">
        <f ca="1"/>
        <v>0.5015062315701404</v>
      </c>
      <c r="AH875" s="2" t="str">
        <f ca="1"/>
        <v>Bad</v>
      </c>
    </row>
    <row r="876" spans="2:34">
      <c r="B876" s="2">
        <f ca="1"/>
        <v>0.82658366842621112</v>
      </c>
      <c r="O876" s="2">
        <f ca="1"/>
        <v>-0.27790455406774695</v>
      </c>
      <c r="X876" s="2">
        <f ca="1"/>
        <v>39.666409950444525</v>
      </c>
      <c r="AG876" s="2">
        <f ca="1"/>
        <v>0.12306840615484171</v>
      </c>
      <c r="AH876" s="2" t="str">
        <f ca="1"/>
        <v>OK</v>
      </c>
    </row>
    <row r="877" spans="2:34">
      <c r="B877" s="2">
        <f ca="1"/>
        <v>9.5312217017787138E-2</v>
      </c>
      <c r="O877" s="2">
        <f ca="1"/>
        <v>1.5786817150627559</v>
      </c>
      <c r="X877" s="2">
        <f ca="1"/>
        <v>75.47700246560737</v>
      </c>
      <c r="AG877" s="2">
        <f ca="1"/>
        <v>7.8846611177631809E-2</v>
      </c>
      <c r="AH877" s="2" t="str">
        <f ca="1"/>
        <v>OK</v>
      </c>
    </row>
    <row r="878" spans="2:34">
      <c r="B878" s="2">
        <f ca="1"/>
        <v>0.89115229443483379</v>
      </c>
      <c r="O878" s="2">
        <f ca="1"/>
        <v>0.39415591355458679</v>
      </c>
      <c r="X878" s="2">
        <f ca="1"/>
        <v>58.547293654654922</v>
      </c>
      <c r="AG878" s="2">
        <f ca="1"/>
        <v>2.5701083005391645E-4</v>
      </c>
      <c r="AH878" s="2" t="str">
        <f ca="1"/>
        <v>Good</v>
      </c>
    </row>
    <row r="879" spans="2:34">
      <c r="B879" s="2">
        <f ca="1"/>
        <v>0.14990183022750969</v>
      </c>
      <c r="O879" s="2">
        <f ca="1"/>
        <v>1.5074972097106731</v>
      </c>
      <c r="X879" s="2">
        <f ca="1"/>
        <v>45.629924100886797</v>
      </c>
      <c r="AG879" s="2">
        <f ca="1"/>
        <v>0.64952726655754001</v>
      </c>
      <c r="AH879" s="2" t="str">
        <f ca="1"/>
        <v>Bad</v>
      </c>
    </row>
    <row r="880" spans="2:34">
      <c r="B880" s="2">
        <f ca="1"/>
        <v>0.67687721800707679</v>
      </c>
      <c r="O880" s="2">
        <f ca="1"/>
        <v>0.21679387746909318</v>
      </c>
      <c r="X880" s="2">
        <f ca="1"/>
        <v>30.039394332352138</v>
      </c>
      <c r="AG880" s="2">
        <f ca="1"/>
        <v>0.81034945722656326</v>
      </c>
      <c r="AH880" s="2" t="str">
        <f ca="1"/>
        <v>Bad</v>
      </c>
    </row>
    <row r="881" spans="2:34">
      <c r="B881" s="2">
        <f ca="1"/>
        <v>0.25575930714699702</v>
      </c>
      <c r="O881" s="2">
        <f ca="1"/>
        <v>0.40264277164723467</v>
      </c>
      <c r="X881" s="2">
        <f ca="1"/>
        <v>37.668073855379362</v>
      </c>
      <c r="AG881" s="2">
        <f ca="1"/>
        <v>0.24989728854345272</v>
      </c>
      <c r="AH881" s="2" t="str">
        <f ca="1"/>
        <v>OK</v>
      </c>
    </row>
    <row r="882" spans="2:34">
      <c r="B882" s="2">
        <f ca="1"/>
        <v>7.9164674304352811E-2</v>
      </c>
      <c r="O882" s="2">
        <f ca="1"/>
        <v>-0.78565875213885339</v>
      </c>
      <c r="X882" s="2">
        <f ca="1"/>
        <v>44.509232350830217</v>
      </c>
      <c r="AG882" s="2">
        <f ca="1"/>
        <v>0.83740705337200061</v>
      </c>
      <c r="AH882" s="2" t="str">
        <f ca="1"/>
        <v>Bad</v>
      </c>
    </row>
    <row r="883" spans="2:34">
      <c r="B883" s="2">
        <f ca="1"/>
        <v>0.27293439440730705</v>
      </c>
      <c r="O883" s="2">
        <f ca="1"/>
        <v>1.0068588522533712</v>
      </c>
      <c r="X883" s="2">
        <f ca="1"/>
        <v>63.884220801630825</v>
      </c>
      <c r="AG883" s="2">
        <f ca="1"/>
        <v>3.5332153505456265E-3</v>
      </c>
      <c r="AH883" s="2" t="str">
        <f ca="1"/>
        <v>Good</v>
      </c>
    </row>
    <row r="884" spans="2:34">
      <c r="B884" s="2">
        <f ca="1"/>
        <v>0.26259207712444965</v>
      </c>
      <c r="O884" s="2">
        <f ca="1"/>
        <v>-1.2870977346567227</v>
      </c>
      <c r="X884" s="2">
        <f ca="1"/>
        <v>66.833987936764956</v>
      </c>
      <c r="AG884" s="2">
        <f ca="1"/>
        <v>0.86692887507793115</v>
      </c>
      <c r="AH884" s="2" t="str">
        <f ca="1"/>
        <v>Bad</v>
      </c>
    </row>
    <row r="885" spans="2:34">
      <c r="B885" s="2">
        <f ca="1"/>
        <v>0.27711658506845582</v>
      </c>
      <c r="O885" s="2">
        <f ca="1"/>
        <v>-2.2060337317886276</v>
      </c>
      <c r="X885" s="2">
        <f ca="1"/>
        <v>52.803300301365404</v>
      </c>
      <c r="AG885" s="2">
        <f ca="1"/>
        <v>0.57581615158060728</v>
      </c>
      <c r="AH885" s="2" t="str">
        <f ca="1"/>
        <v>Bad</v>
      </c>
    </row>
    <row r="886" spans="2:34">
      <c r="B886" s="2">
        <f ca="1"/>
        <v>0.12684211906683251</v>
      </c>
      <c r="O886" s="2">
        <f ca="1"/>
        <v>-0.1495514963027223</v>
      </c>
      <c r="X886" s="2">
        <f ca="1"/>
        <v>55.70604101854488</v>
      </c>
      <c r="AG886" s="2">
        <f ca="1"/>
        <v>0.79774300989257529</v>
      </c>
      <c r="AH886" s="2" t="str">
        <f ca="1"/>
        <v>Bad</v>
      </c>
    </row>
    <row r="887" spans="2:34">
      <c r="B887" s="2">
        <f ca="1"/>
        <v>0.40652056223954181</v>
      </c>
      <c r="O887" s="2">
        <f ca="1"/>
        <v>0.98546579203733531</v>
      </c>
      <c r="X887" s="2">
        <f ca="1"/>
        <v>30.572480531131809</v>
      </c>
      <c r="AG887" s="2">
        <f ca="1"/>
        <v>0.71235958510603359</v>
      </c>
      <c r="AH887" s="2" t="str">
        <f ca="1"/>
        <v>Bad</v>
      </c>
    </row>
    <row r="888" spans="2:34">
      <c r="B888" s="2">
        <f ca="1"/>
        <v>0.61889582476954264</v>
      </c>
      <c r="O888" s="2">
        <f ca="1"/>
        <v>0.33887901967141548</v>
      </c>
      <c r="X888" s="2">
        <f ca="1"/>
        <v>76.334279105678235</v>
      </c>
      <c r="AG888" s="2">
        <f ca="1"/>
        <v>8.3611081436865797E-2</v>
      </c>
      <c r="AH888" s="2" t="str">
        <f ca="1"/>
        <v>OK</v>
      </c>
    </row>
    <row r="889" spans="2:34">
      <c r="B889" s="2">
        <f ca="1"/>
        <v>0.46787123717419865</v>
      </c>
      <c r="O889" s="2">
        <f ca="1"/>
        <v>1.0712522767558188</v>
      </c>
      <c r="X889" s="2">
        <f ca="1"/>
        <v>43.510768848641888</v>
      </c>
      <c r="AG889" s="2">
        <f ca="1"/>
        <v>0.92235696647886312</v>
      </c>
      <c r="AH889" s="2" t="str">
        <f ca="1"/>
        <v>Bad</v>
      </c>
    </row>
    <row r="890" spans="2:34">
      <c r="B890" s="2">
        <f ca="1"/>
        <v>0.67568778808299701</v>
      </c>
      <c r="O890" s="2">
        <f ca="1"/>
        <v>-1.0489498701449067</v>
      </c>
      <c r="X890" s="2">
        <f ca="1"/>
        <v>38.83249701957358</v>
      </c>
      <c r="AG890" s="2">
        <f ca="1"/>
        <v>0.53190536004568023</v>
      </c>
      <c r="AH890" s="2" t="str">
        <f ca="1"/>
        <v>Bad</v>
      </c>
    </row>
    <row r="891" spans="2:34">
      <c r="B891" s="2">
        <f ca="1"/>
        <v>4.1212133136572682E-2</v>
      </c>
      <c r="O891" s="2">
        <f ca="1"/>
        <v>0.45047103612687572</v>
      </c>
      <c r="X891" s="2">
        <f ca="1"/>
        <v>35.562550834536907</v>
      </c>
      <c r="AG891" s="2">
        <f ca="1"/>
        <v>0.99447966057410997</v>
      </c>
      <c r="AH891" s="2" t="str">
        <f ca="1"/>
        <v>Bad</v>
      </c>
    </row>
    <row r="892" spans="2:34">
      <c r="B892" s="2">
        <f ca="1"/>
        <v>0.65159555609525488</v>
      </c>
      <c r="O892" s="2">
        <f ca="1"/>
        <v>-1.5270051703783829</v>
      </c>
      <c r="X892" s="2">
        <f ca="1"/>
        <v>32.197134009181667</v>
      </c>
      <c r="AG892" s="2">
        <f ca="1"/>
        <v>0.28719153160593303</v>
      </c>
      <c r="AH892" s="2" t="str">
        <f ca="1"/>
        <v>OK</v>
      </c>
    </row>
    <row r="893" spans="2:34">
      <c r="B893" s="2">
        <f ca="1"/>
        <v>4.1472665101834671E-2</v>
      </c>
      <c r="O893" s="2">
        <f ca="1"/>
        <v>-1.8695316471230394</v>
      </c>
      <c r="X893" s="2">
        <f ca="1"/>
        <v>56.748468614650051</v>
      </c>
      <c r="AG893" s="2">
        <f ca="1"/>
        <v>0.54364705472829566</v>
      </c>
      <c r="AH893" s="2" t="str">
        <f ca="1"/>
        <v>Bad</v>
      </c>
    </row>
    <row r="894" spans="2:34">
      <c r="B894" s="2">
        <f ca="1"/>
        <v>0.91404267024049957</v>
      </c>
      <c r="O894" s="2">
        <f ca="1"/>
        <v>1.1707798083988497</v>
      </c>
      <c r="X894" s="2">
        <f ca="1"/>
        <v>61.707465117593884</v>
      </c>
      <c r="AG894" s="2">
        <f ca="1"/>
        <v>0.77493989953821907</v>
      </c>
      <c r="AH894" s="2" t="str">
        <f ca="1"/>
        <v>Bad</v>
      </c>
    </row>
    <row r="895" spans="2:34">
      <c r="B895" s="2">
        <f ca="1"/>
        <v>0.71442507942901412</v>
      </c>
      <c r="O895" s="2">
        <f ca="1"/>
        <v>-1.1795725019396792</v>
      </c>
      <c r="X895" s="2">
        <f ca="1"/>
        <v>31.326071621563521</v>
      </c>
      <c r="AG895" s="2">
        <f ca="1"/>
        <v>0.47546031574228409</v>
      </c>
      <c r="AH895" s="2" t="str">
        <f ca="1"/>
        <v>Bad</v>
      </c>
    </row>
    <row r="896" spans="2:34">
      <c r="B896" s="2">
        <f ca="1"/>
        <v>0.50279625381787829</v>
      </c>
      <c r="O896" s="2">
        <f ca="1"/>
        <v>-1.5348049507864179</v>
      </c>
      <c r="X896" s="2">
        <f ca="1"/>
        <v>45.303061631872481</v>
      </c>
      <c r="AG896" s="2">
        <f ca="1"/>
        <v>0.18204710252836054</v>
      </c>
      <c r="AH896" s="2" t="str">
        <f ca="1"/>
        <v>OK</v>
      </c>
    </row>
    <row r="897" spans="2:34">
      <c r="B897" s="2">
        <f ca="1"/>
        <v>0.65307289036152216</v>
      </c>
      <c r="O897" s="2">
        <f ca="1"/>
        <v>-1.6056467546407711</v>
      </c>
      <c r="X897" s="2">
        <f ca="1"/>
        <v>20.809948904173204</v>
      </c>
      <c r="AG897" s="2">
        <f ca="1"/>
        <v>0.60502204266414084</v>
      </c>
      <c r="AH897" s="2" t="str">
        <f ca="1"/>
        <v>Bad</v>
      </c>
    </row>
    <row r="898" spans="2:34">
      <c r="B898" s="2">
        <f ca="1"/>
        <v>0.17278854464141125</v>
      </c>
      <c r="O898" s="2">
        <f ca="1"/>
        <v>0.27015658502130524</v>
      </c>
      <c r="X898" s="2">
        <f ca="1"/>
        <v>58.01753841627022</v>
      </c>
      <c r="AG898" s="2">
        <f ca="1"/>
        <v>0.41463408028395143</v>
      </c>
      <c r="AH898" s="2" t="str">
        <f ca="1"/>
        <v>Bad</v>
      </c>
    </row>
    <row r="899" spans="2:34">
      <c r="B899" s="2">
        <f ca="1"/>
        <v>0.21628541915893273</v>
      </c>
      <c r="O899" s="2">
        <f ca="1"/>
        <v>0.9479300402063392</v>
      </c>
      <c r="X899" s="2">
        <f ca="1"/>
        <v>44.128506926610804</v>
      </c>
      <c r="AG899" s="2">
        <f ca="1"/>
        <v>4.8335937589075284E-2</v>
      </c>
      <c r="AH899" s="2" t="str">
        <f ca="1"/>
        <v>Good</v>
      </c>
    </row>
    <row r="900" spans="2:34">
      <c r="B900" s="2">
        <f ca="1"/>
        <v>0.84165064361024222</v>
      </c>
      <c r="O900" s="2">
        <f ca="1"/>
        <v>-1.4728890029772912</v>
      </c>
      <c r="X900" s="2">
        <f ca="1"/>
        <v>40.041437704515701</v>
      </c>
      <c r="AG900" s="2">
        <f ca="1"/>
        <v>8.9735028462913036E-2</v>
      </c>
      <c r="AH900" s="2" t="str">
        <f ca="1"/>
        <v>OK</v>
      </c>
    </row>
    <row r="901" spans="2:34">
      <c r="B901" s="2">
        <f ca="1"/>
        <v>0.54927289504246302</v>
      </c>
      <c r="O901" s="2">
        <f ca="1"/>
        <v>0.41841628370340994</v>
      </c>
      <c r="X901" s="2">
        <f ca="1"/>
        <v>37.905713993878081</v>
      </c>
      <c r="AG901" s="2">
        <f ca="1"/>
        <v>1.1051697937663585E-2</v>
      </c>
      <c r="AH901" s="2" t="str">
        <f ca="1"/>
        <v>Good</v>
      </c>
    </row>
    <row r="902" spans="2:34">
      <c r="B902" s="2">
        <f ca="1"/>
        <v>0.97299689073494844</v>
      </c>
      <c r="O902" s="2">
        <f ca="1"/>
        <v>1.2623671158172436</v>
      </c>
      <c r="X902" s="2">
        <f ca="1"/>
        <v>50.320271305112101</v>
      </c>
      <c r="AG902" s="2">
        <f ca="1"/>
        <v>0.69500313353108223</v>
      </c>
      <c r="AH902" s="2" t="str">
        <f ca="1"/>
        <v>Bad</v>
      </c>
    </row>
    <row r="903" spans="2:34">
      <c r="B903" s="2">
        <f ca="1"/>
        <v>0.26353159465822129</v>
      </c>
      <c r="O903" s="2">
        <f ca="1"/>
        <v>1.2170634412769412</v>
      </c>
      <c r="X903" s="2">
        <f ca="1"/>
        <v>58.340322265879976</v>
      </c>
      <c r="AG903" s="2">
        <f ca="1"/>
        <v>0.60025721134678189</v>
      </c>
      <c r="AH903" s="2" t="str">
        <f ca="1"/>
        <v>Bad</v>
      </c>
    </row>
    <row r="904" spans="2:34">
      <c r="B904" s="2">
        <f ca="1"/>
        <v>0.45759723951318776</v>
      </c>
      <c r="O904" s="2">
        <f ca="1"/>
        <v>-0.76779429084930895</v>
      </c>
      <c r="X904" s="2">
        <f ca="1"/>
        <v>27.221357701358599</v>
      </c>
      <c r="AG904" s="2">
        <f ca="1"/>
        <v>0.26768948322227959</v>
      </c>
      <c r="AH904" s="2" t="str">
        <f ca="1"/>
        <v>OK</v>
      </c>
    </row>
    <row r="905" spans="2:34">
      <c r="B905" s="2">
        <f ca="1"/>
        <v>0.63892527414712497</v>
      </c>
      <c r="O905" s="2">
        <f ca="1"/>
        <v>1.1348911025415893</v>
      </c>
      <c r="X905" s="2">
        <f ca="1"/>
        <v>39.642475208777014</v>
      </c>
      <c r="AG905" s="2">
        <f ca="1"/>
        <v>0.17921643204835869</v>
      </c>
      <c r="AH905" s="2" t="str">
        <f ca="1"/>
        <v>OK</v>
      </c>
    </row>
    <row r="906" spans="2:34">
      <c r="B906" s="2">
        <f ca="1"/>
        <v>0.62450573896259165</v>
      </c>
      <c r="O906" s="2">
        <f ca="1"/>
        <v>-0.43474371679046098</v>
      </c>
      <c r="X906" s="2">
        <f ca="1"/>
        <v>63.623607516793228</v>
      </c>
      <c r="AG906" s="2">
        <f ca="1"/>
        <v>0.30627548000471294</v>
      </c>
      <c r="AH906" s="2" t="str">
        <f ca="1"/>
        <v>OK</v>
      </c>
    </row>
    <row r="907" spans="2:34">
      <c r="B907" s="2">
        <f ca="1"/>
        <v>0.68102035428283325</v>
      </c>
      <c r="O907" s="2">
        <f ca="1"/>
        <v>-1.1258466932829887</v>
      </c>
      <c r="X907" s="2">
        <f ca="1"/>
        <v>46.034394425793991</v>
      </c>
      <c r="AG907" s="2">
        <f ca="1"/>
        <v>0.10766741045073736</v>
      </c>
      <c r="AH907" s="2" t="str">
        <f ca="1"/>
        <v>OK</v>
      </c>
    </row>
    <row r="908" spans="2:34">
      <c r="B908" s="2">
        <f ca="1"/>
        <v>0.32667576668924325</v>
      </c>
      <c r="O908" s="2">
        <f ca="1"/>
        <v>-0.13964972426722427</v>
      </c>
      <c r="X908" s="2">
        <f ca="1"/>
        <v>24.593931817513095</v>
      </c>
      <c r="AG908" s="2">
        <f ca="1"/>
        <v>7.8845892903346648E-2</v>
      </c>
      <c r="AH908" s="2" t="str">
        <f ca="1"/>
        <v>OK</v>
      </c>
    </row>
    <row r="909" spans="2:34">
      <c r="B909" s="2">
        <f ca="1"/>
        <v>0.3774356783586883</v>
      </c>
      <c r="O909" s="2">
        <f ca="1"/>
        <v>1.5884426474598243</v>
      </c>
      <c r="X909" s="2">
        <f ca="1"/>
        <v>43.771724389045488</v>
      </c>
      <c r="AG909" s="2">
        <f ca="1"/>
        <v>0.18995216451255059</v>
      </c>
      <c r="AH909" s="2" t="str">
        <f ca="1"/>
        <v>OK</v>
      </c>
    </row>
    <row r="910" spans="2:34">
      <c r="B910" s="2">
        <f ca="1"/>
        <v>0.75191865132151059</v>
      </c>
      <c r="O910" s="2">
        <f ca="1"/>
        <v>-0.4876884060514734</v>
      </c>
      <c r="X910" s="2">
        <f ca="1"/>
        <v>57.721072965327068</v>
      </c>
      <c r="AG910" s="2">
        <f ca="1"/>
        <v>0.95406561836505732</v>
      </c>
      <c r="AH910" s="2" t="str">
        <f ca="1"/>
        <v>Bad</v>
      </c>
    </row>
    <row r="911" spans="2:34">
      <c r="B911" s="2">
        <f ca="1"/>
        <v>8.9836379537545419E-2</v>
      </c>
      <c r="O911" s="2">
        <f ca="1"/>
        <v>-0.37859118461321672</v>
      </c>
      <c r="X911" s="2">
        <f ca="1"/>
        <v>55.336242120495015</v>
      </c>
      <c r="AG911" s="2">
        <f ca="1"/>
        <v>0.49914396581111187</v>
      </c>
      <c r="AH911" s="2" t="str">
        <f ca="1"/>
        <v>Bad</v>
      </c>
    </row>
    <row r="912" spans="2:34">
      <c r="B912" s="2">
        <f ca="1"/>
        <v>0.24295952581806368</v>
      </c>
      <c r="O912" s="2">
        <f ca="1"/>
        <v>-0.579453568602178</v>
      </c>
      <c r="X912" s="2">
        <f ca="1"/>
        <v>60.742706630628845</v>
      </c>
      <c r="AG912" s="2">
        <f ca="1"/>
        <v>3.1267469124347302E-2</v>
      </c>
      <c r="AH912" s="2" t="str">
        <f ca="1"/>
        <v>Good</v>
      </c>
    </row>
    <row r="913" spans="2:34">
      <c r="B913" s="2">
        <f ca="1"/>
        <v>0.71166048649789304</v>
      </c>
      <c r="O913" s="2">
        <f ca="1"/>
        <v>0.89512281748944011</v>
      </c>
      <c r="X913" s="2">
        <f ca="1"/>
        <v>29.109602255693151</v>
      </c>
      <c r="AG913" s="2">
        <f ca="1"/>
        <v>0.34612300237968308</v>
      </c>
      <c r="AH913" s="2" t="str">
        <f ca="1"/>
        <v>OK</v>
      </c>
    </row>
    <row r="914" spans="2:34">
      <c r="B914" s="2">
        <f ca="1"/>
        <v>0.60026340900045749</v>
      </c>
      <c r="O914" s="2">
        <f ca="1"/>
        <v>-0.69452912502376174</v>
      </c>
      <c r="X914" s="2">
        <f ca="1"/>
        <v>51.15939353410073</v>
      </c>
      <c r="AG914" s="2">
        <f ca="1"/>
        <v>8.8862686565982729E-2</v>
      </c>
      <c r="AH914" s="2" t="str">
        <f ca="1"/>
        <v>OK</v>
      </c>
    </row>
    <row r="915" spans="2:34">
      <c r="B915" s="2">
        <f ca="1"/>
        <v>0.32771572098064783</v>
      </c>
      <c r="O915" s="2">
        <f ca="1"/>
        <v>0.23402560583389112</v>
      </c>
      <c r="X915" s="2">
        <f ca="1"/>
        <v>76.488364159984997</v>
      </c>
      <c r="AG915" s="2">
        <f ca="1"/>
        <v>0.14081842981783588</v>
      </c>
      <c r="AH915" s="2" t="str">
        <f ca="1"/>
        <v>OK</v>
      </c>
    </row>
    <row r="916" spans="2:34">
      <c r="B916" s="2">
        <f ca="1"/>
        <v>0.28021485941332136</v>
      </c>
      <c r="O916" s="2">
        <f ca="1"/>
        <v>1.5208998606830761E-2</v>
      </c>
      <c r="X916" s="2">
        <f ca="1"/>
        <v>40.492138295772747</v>
      </c>
      <c r="AG916" s="2">
        <f ca="1"/>
        <v>0.58086456115569041</v>
      </c>
      <c r="AH916" s="2" t="str">
        <f ca="1"/>
        <v>Bad</v>
      </c>
    </row>
    <row r="917" spans="2:34">
      <c r="B917" s="2">
        <f ca="1"/>
        <v>0.25679027683335853</v>
      </c>
      <c r="O917" s="2">
        <f ca="1"/>
        <v>-0.8456278044683041</v>
      </c>
      <c r="X917" s="2">
        <f ca="1"/>
        <v>41.473057715265924</v>
      </c>
      <c r="AG917" s="2">
        <f ca="1"/>
        <v>0.97759214984558307</v>
      </c>
      <c r="AH917" s="2" t="str">
        <f ca="1"/>
        <v>Bad</v>
      </c>
    </row>
    <row r="918" spans="2:34">
      <c r="B918" s="2">
        <f ca="1"/>
        <v>0.96611986975952391</v>
      </c>
      <c r="O918" s="2">
        <f ca="1"/>
        <v>-0.15843343127016341</v>
      </c>
      <c r="X918" s="2">
        <f ca="1"/>
        <v>59.374914970308119</v>
      </c>
      <c r="AG918" s="2">
        <f ca="1"/>
        <v>6.4619655851360758E-2</v>
      </c>
      <c r="AH918" s="2" t="str">
        <f ca="1"/>
        <v>OK</v>
      </c>
    </row>
    <row r="919" spans="2:34">
      <c r="B919" s="2">
        <f ca="1"/>
        <v>0.43738421857156506</v>
      </c>
      <c r="O919" s="2">
        <f ca="1"/>
        <v>-0.60464488452599896</v>
      </c>
      <c r="X919" s="2">
        <f ca="1"/>
        <v>66.836777385074257</v>
      </c>
      <c r="AG919" s="2">
        <f ca="1"/>
        <v>0.50725797523173766</v>
      </c>
      <c r="AH919" s="2" t="str">
        <f ca="1"/>
        <v>Bad</v>
      </c>
    </row>
    <row r="920" spans="2:34">
      <c r="B920" s="2">
        <f ca="1"/>
        <v>0.37668536500062211</v>
      </c>
      <c r="O920" s="2">
        <f ca="1"/>
        <v>0.95514451650288446</v>
      </c>
      <c r="X920" s="2">
        <f ca="1"/>
        <v>53.353854799795911</v>
      </c>
      <c r="AG920" s="2">
        <f ca="1"/>
        <v>0.34150431831064587</v>
      </c>
      <c r="AH920" s="2" t="str">
        <f ca="1"/>
        <v>OK</v>
      </c>
    </row>
    <row r="921" spans="2:34">
      <c r="B921" s="2">
        <f ca="1"/>
        <v>0.69765911041399264</v>
      </c>
      <c r="O921" s="2">
        <f ca="1"/>
        <v>0.31221080778463006</v>
      </c>
      <c r="X921" s="2">
        <f ca="1"/>
        <v>62.210367948537282</v>
      </c>
      <c r="AG921" s="2">
        <f ca="1"/>
        <v>0.32553316045821323</v>
      </c>
      <c r="AH921" s="2" t="str">
        <f ca="1"/>
        <v>OK</v>
      </c>
    </row>
    <row r="922" spans="2:34">
      <c r="B922" s="2">
        <f ca="1"/>
        <v>0.72107217927447631</v>
      </c>
      <c r="O922" s="2">
        <f ca="1"/>
        <v>2.201348888672026</v>
      </c>
      <c r="X922" s="2">
        <f ca="1"/>
        <v>63.245328648915518</v>
      </c>
      <c r="AG922" s="2">
        <f ca="1"/>
        <v>0.40389253661746727</v>
      </c>
      <c r="AH922" s="2" t="str">
        <f ca="1"/>
        <v>Bad</v>
      </c>
    </row>
    <row r="923" spans="2:34">
      <c r="B923" s="2">
        <f ca="1"/>
        <v>0.80092453501168204</v>
      </c>
      <c r="O923" s="2">
        <f ca="1"/>
        <v>1.0365442155472679</v>
      </c>
      <c r="X923" s="2">
        <f ca="1"/>
        <v>91.767834909997845</v>
      </c>
      <c r="AG923" s="2">
        <f ca="1"/>
        <v>0.53532623677356517</v>
      </c>
      <c r="AH923" s="2" t="str">
        <f ca="1"/>
        <v>Bad</v>
      </c>
    </row>
    <row r="924" spans="2:34">
      <c r="B924" s="2">
        <f ca="1"/>
        <v>0.80124861465857511</v>
      </c>
      <c r="O924" s="2">
        <f ca="1"/>
        <v>3.0237437121835787E-2</v>
      </c>
      <c r="X924" s="2">
        <f ca="1"/>
        <v>37.890277994518527</v>
      </c>
      <c r="AG924" s="2">
        <f ca="1"/>
        <v>8.4834835829758815E-2</v>
      </c>
      <c r="AH924" s="2" t="str">
        <f ca="1"/>
        <v>OK</v>
      </c>
    </row>
    <row r="925" spans="2:34">
      <c r="B925" s="2">
        <f ca="1"/>
        <v>0.90811447016835078</v>
      </c>
      <c r="O925" s="2">
        <f ca="1"/>
        <v>0.24604787851882234</v>
      </c>
      <c r="X925" s="2">
        <f ca="1"/>
        <v>37.960611132982258</v>
      </c>
      <c r="AG925" s="2">
        <f ca="1"/>
        <v>0.76090423876556246</v>
      </c>
      <c r="AH925" s="2" t="str">
        <f ca="1"/>
        <v>Bad</v>
      </c>
    </row>
    <row r="926" spans="2:34">
      <c r="B926" s="2">
        <f ca="1"/>
        <v>0.49019025552907247</v>
      </c>
      <c r="O926" s="2">
        <f ca="1"/>
        <v>-1.0165745402702504</v>
      </c>
      <c r="X926" s="2">
        <f ca="1"/>
        <v>36.099482822692593</v>
      </c>
      <c r="AG926" s="2">
        <f ca="1"/>
        <v>5.2215838908154621E-2</v>
      </c>
      <c r="AH926" s="2" t="str">
        <f ca="1"/>
        <v>OK</v>
      </c>
    </row>
    <row r="927" spans="2:34">
      <c r="B927" s="2">
        <f ca="1"/>
        <v>0.46976344087984434</v>
      </c>
      <c r="O927" s="2">
        <f ca="1"/>
        <v>0.17218223550871203</v>
      </c>
      <c r="X927" s="2">
        <f ca="1"/>
        <v>44.380432371653256</v>
      </c>
      <c r="AG927" s="2">
        <f ca="1"/>
        <v>0.5266264864914898</v>
      </c>
      <c r="AH927" s="2" t="str">
        <f ca="1"/>
        <v>Bad</v>
      </c>
    </row>
    <row r="928" spans="2:34">
      <c r="B928" s="2">
        <f ca="1"/>
        <v>7.8576392194979139E-2</v>
      </c>
      <c r="O928" s="2">
        <f ca="1"/>
        <v>0.36339592711385865</v>
      </c>
      <c r="X928" s="2">
        <f ca="1"/>
        <v>38.236176134105712</v>
      </c>
      <c r="AG928" s="2">
        <f ca="1"/>
        <v>0.72939022932553099</v>
      </c>
      <c r="AH928" s="2" t="str">
        <f ca="1"/>
        <v>Bad</v>
      </c>
    </row>
    <row r="929" spans="2:34">
      <c r="B929" s="2">
        <f ca="1"/>
        <v>0.75528780200080625</v>
      </c>
      <c r="O929" s="2">
        <f ca="1"/>
        <v>-0.28280758046630788</v>
      </c>
      <c r="X929" s="2">
        <f ca="1"/>
        <v>39.479346010399219</v>
      </c>
      <c r="AG929" s="2">
        <f ca="1"/>
        <v>0.87344684196412103</v>
      </c>
      <c r="AH929" s="2" t="str">
        <f ca="1"/>
        <v>Bad</v>
      </c>
    </row>
    <row r="930" spans="2:34">
      <c r="B930" s="2">
        <f ca="1"/>
        <v>7.9503819015134258E-3</v>
      </c>
      <c r="O930" s="2">
        <f ca="1"/>
        <v>-0.31377807903926463</v>
      </c>
      <c r="X930" s="2">
        <f ca="1"/>
        <v>60.139980623456935</v>
      </c>
      <c r="AG930" s="2">
        <f ca="1"/>
        <v>5.2916932847499654E-2</v>
      </c>
      <c r="AH930" s="2" t="str">
        <f ca="1"/>
        <v>OK</v>
      </c>
    </row>
    <row r="931" spans="2:34">
      <c r="B931" s="2">
        <f ca="1"/>
        <v>0.92874933497695289</v>
      </c>
      <c r="O931" s="2">
        <f ca="1"/>
        <v>-7.241780712402672E-2</v>
      </c>
      <c r="X931" s="2">
        <f ca="1"/>
        <v>46.406097180822734</v>
      </c>
      <c r="AG931" s="2">
        <f ca="1"/>
        <v>0.68206599249568867</v>
      </c>
      <c r="AH931" s="2" t="str">
        <f ca="1"/>
        <v>Bad</v>
      </c>
    </row>
    <row r="932" spans="2:34">
      <c r="B932" s="2">
        <f ca="1"/>
        <v>0.53305603728618567</v>
      </c>
      <c r="O932" s="2">
        <f ca="1"/>
        <v>0.89223647689879615</v>
      </c>
      <c r="X932" s="2">
        <f ca="1"/>
        <v>43.353944857004478</v>
      </c>
      <c r="AG932" s="2">
        <f ca="1"/>
        <v>0.86185378377333621</v>
      </c>
      <c r="AH932" s="2" t="str">
        <f ca="1"/>
        <v>Bad</v>
      </c>
    </row>
    <row r="933" spans="2:34">
      <c r="B933" s="2">
        <f ca="1"/>
        <v>0.77429410677089372</v>
      </c>
      <c r="O933" s="2">
        <f ca="1"/>
        <v>0.17847371696549261</v>
      </c>
      <c r="X933" s="2">
        <f ca="1"/>
        <v>40.982285882940808</v>
      </c>
      <c r="AG933" s="2">
        <f ca="1"/>
        <v>0.53600314992058506</v>
      </c>
      <c r="AH933" s="2" t="str">
        <f ca="1"/>
        <v>Bad</v>
      </c>
    </row>
    <row r="934" spans="2:34">
      <c r="B934" s="2">
        <f ca="1"/>
        <v>0.41803949323969203</v>
      </c>
      <c r="O934" s="2">
        <f ca="1"/>
        <v>-0.22194644766612745</v>
      </c>
      <c r="X934" s="2">
        <f ca="1"/>
        <v>50.443926606911631</v>
      </c>
      <c r="AG934" s="2">
        <f ca="1"/>
        <v>0.81230738153397963</v>
      </c>
      <c r="AH934" s="2" t="str">
        <f ca="1"/>
        <v>Bad</v>
      </c>
    </row>
    <row r="935" spans="2:34">
      <c r="B935" s="2">
        <f ca="1"/>
        <v>0.48844771567160761</v>
      </c>
      <c r="O935" s="2">
        <f ca="1"/>
        <v>-0.91204795006593131</v>
      </c>
      <c r="X935" s="2">
        <f ca="1"/>
        <v>73.234163546888112</v>
      </c>
      <c r="AG935" s="2">
        <f ca="1"/>
        <v>0.19246021876447106</v>
      </c>
      <c r="AH935" s="2" t="str">
        <f ca="1"/>
        <v>OK</v>
      </c>
    </row>
    <row r="936" spans="2:34">
      <c r="B936" s="2">
        <f ca="1"/>
        <v>0.93468217984247604</v>
      </c>
      <c r="O936" s="2">
        <f ca="1"/>
        <v>-0.69780095432194289</v>
      </c>
      <c r="X936" s="2">
        <f ca="1"/>
        <v>31.610993640680455</v>
      </c>
      <c r="AG936" s="2">
        <f ca="1"/>
        <v>0.67961131045167567</v>
      </c>
      <c r="AH936" s="2" t="str">
        <f ca="1"/>
        <v>Bad</v>
      </c>
    </row>
    <row r="937" spans="2:34">
      <c r="B937" s="2">
        <f ca="1"/>
        <v>0.24549424310335244</v>
      </c>
      <c r="O937" s="2">
        <f ca="1"/>
        <v>0.11019811724183901</v>
      </c>
      <c r="X937" s="2">
        <f ca="1"/>
        <v>85.825164192092529</v>
      </c>
      <c r="AG937" s="2">
        <f ca="1"/>
        <v>0.57285798354503337</v>
      </c>
      <c r="AH937" s="2" t="str">
        <f ca="1"/>
        <v>Bad</v>
      </c>
    </row>
    <row r="938" spans="2:34">
      <c r="B938" s="2">
        <f ca="1"/>
        <v>0.81374997621830314</v>
      </c>
      <c r="O938" s="2">
        <f ca="1"/>
        <v>-1.1124420201430141</v>
      </c>
      <c r="X938" s="2">
        <f ca="1"/>
        <v>62.063910930082749</v>
      </c>
      <c r="AG938" s="2">
        <f ca="1"/>
        <v>0.78343686599465023</v>
      </c>
      <c r="AH938" s="2" t="str">
        <f ca="1"/>
        <v>Bad</v>
      </c>
    </row>
    <row r="939" spans="2:34">
      <c r="B939" s="2">
        <f ca="1"/>
        <v>0.97434659544911284</v>
      </c>
      <c r="O939" s="2">
        <f ca="1"/>
        <v>1.2090937278567586</v>
      </c>
      <c r="X939" s="2">
        <f ca="1"/>
        <v>46.564868756671416</v>
      </c>
      <c r="AG939" s="2">
        <f ca="1"/>
        <v>0.28230926334383599</v>
      </c>
      <c r="AH939" s="2" t="str">
        <f ca="1"/>
        <v>OK</v>
      </c>
    </row>
    <row r="940" spans="2:34">
      <c r="B940" s="2">
        <f ca="1"/>
        <v>0.8415754387699983</v>
      </c>
      <c r="O940" s="2">
        <f ca="1"/>
        <v>0.48626054375752642</v>
      </c>
      <c r="X940" s="2">
        <f ca="1"/>
        <v>56.355682354622914</v>
      </c>
      <c r="AG940" s="2">
        <f ca="1"/>
        <v>0.54739391832340178</v>
      </c>
      <c r="AH940" s="2" t="str">
        <f ca="1"/>
        <v>Bad</v>
      </c>
    </row>
    <row r="941" spans="2:34">
      <c r="B941" s="2">
        <f ca="1"/>
        <v>0.15348939588397559</v>
      </c>
      <c r="O941" s="2">
        <f ca="1"/>
        <v>-0.45018378483713117</v>
      </c>
      <c r="X941" s="2">
        <f ca="1"/>
        <v>55.636435870236518</v>
      </c>
      <c r="AG941" s="2">
        <f ca="1"/>
        <v>0.99957252451876077</v>
      </c>
      <c r="AH941" s="2" t="str">
        <f ca="1"/>
        <v>Bad</v>
      </c>
    </row>
    <row r="942" spans="2:34">
      <c r="B942" s="2">
        <f ca="1"/>
        <v>0.63009353915397748</v>
      </c>
      <c r="O942" s="2">
        <f ca="1"/>
        <v>0.42714694528153196</v>
      </c>
      <c r="X942" s="2">
        <f ca="1"/>
        <v>107.06147374470123</v>
      </c>
      <c r="AG942" s="2">
        <f ca="1"/>
        <v>0.23752760897287084</v>
      </c>
      <c r="AH942" s="2" t="str">
        <f ca="1"/>
        <v>OK</v>
      </c>
    </row>
    <row r="943" spans="2:34">
      <c r="B943" s="2">
        <f ca="1"/>
        <v>0.38169796662527555</v>
      </c>
      <c r="O943" s="2">
        <f ca="1"/>
        <v>0.69622913605519743</v>
      </c>
      <c r="X943" s="2">
        <f ca="1"/>
        <v>52.62228701701018</v>
      </c>
      <c r="AG943" s="2">
        <f ca="1"/>
        <v>0.70851553414482038</v>
      </c>
      <c r="AH943" s="2" t="str">
        <f ca="1"/>
        <v>Bad</v>
      </c>
    </row>
    <row r="944" spans="2:34">
      <c r="B944" s="2">
        <f ca="1"/>
        <v>0.94853489367487631</v>
      </c>
      <c r="O944" s="2">
        <f ca="1"/>
        <v>0.2544992673575413</v>
      </c>
      <c r="X944" s="2">
        <f ca="1"/>
        <v>46.28987406953798</v>
      </c>
      <c r="AG944" s="2">
        <f ca="1"/>
        <v>0.23552329592546606</v>
      </c>
      <c r="AH944" s="2" t="str">
        <f ca="1"/>
        <v>OK</v>
      </c>
    </row>
    <row r="945" spans="2:34">
      <c r="B945" s="2">
        <f ca="1"/>
        <v>0.35964871857241421</v>
      </c>
      <c r="O945" s="2">
        <f ca="1"/>
        <v>0.92060587228693502</v>
      </c>
      <c r="X945" s="2">
        <f ca="1"/>
        <v>24.887132379933536</v>
      </c>
      <c r="AG945" s="2">
        <f ca="1"/>
        <v>0.75955909778073694</v>
      </c>
      <c r="AH945" s="2" t="str">
        <f ca="1"/>
        <v>Bad</v>
      </c>
    </row>
    <row r="946" spans="2:34">
      <c r="B946" s="2">
        <f ca="1"/>
        <v>0.97396918253055187</v>
      </c>
      <c r="O946" s="2">
        <f ca="1"/>
        <v>-0.62415624443524642</v>
      </c>
      <c r="X946" s="2">
        <f ca="1"/>
        <v>34.652836644857601</v>
      </c>
      <c r="AG946" s="2">
        <f ca="1"/>
        <v>0.55743866138464981</v>
      </c>
      <c r="AH946" s="2" t="str">
        <f ca="1"/>
        <v>Bad</v>
      </c>
    </row>
    <row r="947" spans="2:34">
      <c r="B947" s="2">
        <f ca="1"/>
        <v>0.8075047416419936</v>
      </c>
      <c r="O947" s="2">
        <f ca="1"/>
        <v>1.1148640608492104</v>
      </c>
      <c r="X947" s="2">
        <f ca="1"/>
        <v>39.406964225123836</v>
      </c>
      <c r="AG947" s="2">
        <f ca="1"/>
        <v>0.56769776864677701</v>
      </c>
      <c r="AH947" s="2" t="str">
        <f ca="1"/>
        <v>Bad</v>
      </c>
    </row>
    <row r="948" spans="2:34">
      <c r="B948" s="2">
        <f ca="1"/>
        <v>0.86757184165061196</v>
      </c>
      <c r="O948" s="2">
        <f ca="1"/>
        <v>0.9089218114023554</v>
      </c>
      <c r="X948" s="2">
        <f ca="1"/>
        <v>46.371201660374197</v>
      </c>
      <c r="AG948" s="2">
        <f ca="1"/>
        <v>0.30158580139535118</v>
      </c>
      <c r="AH948" s="2" t="str">
        <f ca="1"/>
        <v>OK</v>
      </c>
    </row>
    <row r="949" spans="2:34">
      <c r="B949" s="2">
        <f ca="1"/>
        <v>9.6648492980888845E-2</v>
      </c>
      <c r="O949" s="2">
        <f ca="1"/>
        <v>-1.0586200731089435</v>
      </c>
      <c r="X949" s="2">
        <f ca="1"/>
        <v>48.373315704444678</v>
      </c>
      <c r="AG949" s="2">
        <f ca="1"/>
        <v>0.12920822821554845</v>
      </c>
      <c r="AH949" s="2" t="str">
        <f ca="1"/>
        <v>OK</v>
      </c>
    </row>
    <row r="950" spans="2:34">
      <c r="B950" s="2">
        <f ca="1"/>
        <v>0.36626036968383091</v>
      </c>
      <c r="O950" s="2">
        <f ca="1"/>
        <v>1.7230260726031996</v>
      </c>
      <c r="X950" s="2">
        <f ca="1"/>
        <v>18.508543832324975</v>
      </c>
      <c r="AG950" s="2">
        <f ca="1"/>
        <v>0.40141367204768841</v>
      </c>
      <c r="AH950" s="2" t="str">
        <f ca="1"/>
        <v>Bad</v>
      </c>
    </row>
    <row r="951" spans="2:34">
      <c r="B951" s="2">
        <f ca="1"/>
        <v>0.10045381811800125</v>
      </c>
      <c r="O951" s="2">
        <f ca="1"/>
        <v>-1.1133581525067722</v>
      </c>
      <c r="X951" s="2">
        <f ca="1"/>
        <v>53.269865287636684</v>
      </c>
      <c r="AG951" s="2">
        <f ca="1"/>
        <v>0.61219126813963309</v>
      </c>
      <c r="AH951" s="2" t="str">
        <f ca="1"/>
        <v>Bad</v>
      </c>
    </row>
    <row r="952" spans="2:34">
      <c r="B952" s="2">
        <f ca="1"/>
        <v>0.8255358917826281</v>
      </c>
      <c r="O952" s="2">
        <f ca="1"/>
        <v>0.78680740278233485</v>
      </c>
      <c r="X952" s="2">
        <f ca="1"/>
        <v>35.554119184729785</v>
      </c>
      <c r="AG952" s="2">
        <f ca="1"/>
        <v>6.190474689402925E-2</v>
      </c>
      <c r="AH952" s="2" t="str">
        <f ca="1"/>
        <v>OK</v>
      </c>
    </row>
    <row r="953" spans="2:34">
      <c r="B953" s="2">
        <f ca="1"/>
        <v>0.58616864368417754</v>
      </c>
      <c r="O953" s="2">
        <f ca="1"/>
        <v>-0.65165759069157903</v>
      </c>
      <c r="X953" s="2">
        <f ca="1"/>
        <v>34.919420372033507</v>
      </c>
      <c r="AG953" s="2">
        <f ca="1"/>
        <v>0.63596100106094844</v>
      </c>
      <c r="AH953" s="2" t="str">
        <f ca="1"/>
        <v>Bad</v>
      </c>
    </row>
    <row r="954" spans="2:34">
      <c r="B954" s="2">
        <f ca="1"/>
        <v>0.20945859528132371</v>
      </c>
      <c r="O954" s="2">
        <f ca="1"/>
        <v>1.659502203801154</v>
      </c>
      <c r="X954" s="2">
        <f ca="1"/>
        <v>52.593166050079567</v>
      </c>
      <c r="AG954" s="2">
        <f ca="1"/>
        <v>0.86085389372499188</v>
      </c>
      <c r="AH954" s="2" t="str">
        <f ca="1"/>
        <v>Bad</v>
      </c>
    </row>
    <row r="955" spans="2:34">
      <c r="B955" s="2">
        <f ca="1"/>
        <v>0.91295601762150125</v>
      </c>
      <c r="O955" s="2">
        <f ca="1"/>
        <v>1.2210665687898365</v>
      </c>
      <c r="X955" s="2">
        <f ca="1"/>
        <v>52.00542462631585</v>
      </c>
      <c r="AG955" s="2">
        <f ca="1"/>
        <v>0.73093431780421025</v>
      </c>
      <c r="AH955" s="2" t="str">
        <f ca="1"/>
        <v>Bad</v>
      </c>
    </row>
    <row r="956" spans="2:34">
      <c r="B956" s="2">
        <f ca="1"/>
        <v>5.8593779692069914E-2</v>
      </c>
      <c r="O956" s="2">
        <f ca="1"/>
        <v>-0.74293300319708089</v>
      </c>
      <c r="X956" s="2">
        <f ca="1"/>
        <v>49.719741683236109</v>
      </c>
      <c r="AG956" s="2">
        <f ca="1"/>
        <v>0.42687969078120536</v>
      </c>
      <c r="AH956" s="2" t="str">
        <f ca="1"/>
        <v>Bad</v>
      </c>
    </row>
    <row r="957" spans="2:34">
      <c r="B957" s="2">
        <f ca="1"/>
        <v>6.265370953836169E-2</v>
      </c>
      <c r="O957" s="2">
        <f ca="1"/>
        <v>0.47416092971960772</v>
      </c>
      <c r="X957" s="2">
        <f ca="1"/>
        <v>77.674779348024529</v>
      </c>
      <c r="AG957" s="2">
        <f ca="1"/>
        <v>0.31810131223400129</v>
      </c>
      <c r="AH957" s="2" t="str">
        <f ca="1"/>
        <v>OK</v>
      </c>
    </row>
    <row r="958" spans="2:34">
      <c r="B958" s="2">
        <f ca="1"/>
        <v>3.1280672318632519E-2</v>
      </c>
      <c r="O958" s="2">
        <f ca="1"/>
        <v>0.99538564537322349</v>
      </c>
      <c r="X958" s="2">
        <f ca="1"/>
        <v>51.4928949854678</v>
      </c>
      <c r="AG958" s="2">
        <f ca="1"/>
        <v>0.63672571936701972</v>
      </c>
      <c r="AH958" s="2" t="str">
        <f ca="1"/>
        <v>Bad</v>
      </c>
    </row>
    <row r="959" spans="2:34">
      <c r="B959" s="2">
        <f ca="1"/>
        <v>0.13483427800558179</v>
      </c>
      <c r="O959" s="2">
        <f ca="1"/>
        <v>-0.93413287584556404</v>
      </c>
      <c r="X959" s="2">
        <f ca="1"/>
        <v>44.678505886112291</v>
      </c>
      <c r="AG959" s="2">
        <f ca="1"/>
        <v>0.30984680586823843</v>
      </c>
      <c r="AH959" s="2" t="str">
        <f ca="1"/>
        <v>OK</v>
      </c>
    </row>
    <row r="960" spans="2:34">
      <c r="B960" s="2">
        <f ca="1"/>
        <v>0.25356190596890227</v>
      </c>
      <c r="O960" s="2">
        <f ca="1"/>
        <v>-0.66761107778852946</v>
      </c>
      <c r="X960" s="2">
        <f ca="1"/>
        <v>36.329885547025654</v>
      </c>
      <c r="AG960" s="2">
        <f ca="1"/>
        <v>3.7117920165289364E-2</v>
      </c>
      <c r="AH960" s="2" t="str">
        <f ca="1"/>
        <v>Good</v>
      </c>
    </row>
    <row r="961" spans="2:34">
      <c r="B961" s="2">
        <f ca="1"/>
        <v>0.61186855505818016</v>
      </c>
      <c r="O961" s="2">
        <f ca="1"/>
        <v>-1.0044017155363552</v>
      </c>
      <c r="X961" s="2">
        <f ca="1"/>
        <v>35.158471316360057</v>
      </c>
      <c r="AG961" s="2">
        <f ca="1"/>
        <v>0.16830106967147374</v>
      </c>
      <c r="AH961" s="2" t="str">
        <f ca="1"/>
        <v>OK</v>
      </c>
    </row>
    <row r="962" spans="2:34">
      <c r="B962" s="2">
        <f ca="1"/>
        <v>0.99275323621953926</v>
      </c>
      <c r="O962" s="2">
        <f ca="1"/>
        <v>-0.43205634799016618</v>
      </c>
      <c r="X962" s="2">
        <f ca="1"/>
        <v>52.337193289635536</v>
      </c>
      <c r="AG962" s="2">
        <f ca="1"/>
        <v>0.90418643886903682</v>
      </c>
      <c r="AH962" s="2" t="str">
        <f ca="1"/>
        <v>Bad</v>
      </c>
    </row>
    <row r="963" spans="2:34">
      <c r="B963" s="2">
        <f ca="1"/>
        <v>0.73022642618316369</v>
      </c>
      <c r="O963" s="2">
        <f ca="1"/>
        <v>-0.26972368262473156</v>
      </c>
      <c r="X963" s="2">
        <f ca="1"/>
        <v>59.362343807276929</v>
      </c>
      <c r="AG963" s="2">
        <f ca="1"/>
        <v>0.10823172405219794</v>
      </c>
      <c r="AH963" s="2" t="str">
        <f ca="1"/>
        <v>OK</v>
      </c>
    </row>
    <row r="964" spans="2:34">
      <c r="B964" s="2">
        <f ca="1"/>
        <v>0.45458004574600785</v>
      </c>
      <c r="O964" s="2">
        <f ca="1"/>
        <v>1.0308699369319807</v>
      </c>
      <c r="X964" s="2">
        <f ca="1"/>
        <v>61.276771092204967</v>
      </c>
      <c r="AG964" s="2">
        <f ca="1"/>
        <v>0.90726867286892721</v>
      </c>
      <c r="AH964" s="2" t="str">
        <f ca="1"/>
        <v>Bad</v>
      </c>
    </row>
    <row r="965" spans="2:34">
      <c r="B965" s="2">
        <f ca="1"/>
        <v>1.0527382476185343E-2</v>
      </c>
      <c r="O965" s="2">
        <f ca="1"/>
        <v>0.53026302177268225</v>
      </c>
      <c r="X965" s="2">
        <f ca="1"/>
        <v>57.365565438168289</v>
      </c>
      <c r="AG965" s="2">
        <f ca="1"/>
        <v>0.41358860821498111</v>
      </c>
      <c r="AH965" s="2" t="str">
        <f ca="1"/>
        <v>Bad</v>
      </c>
    </row>
    <row r="966" spans="2:34">
      <c r="B966" s="2">
        <f ca="1"/>
        <v>0.13474588450725911</v>
      </c>
      <c r="O966" s="2">
        <f ca="1"/>
        <v>-0.73746857352754347</v>
      </c>
      <c r="X966" s="2">
        <f ca="1"/>
        <v>45.712864270807145</v>
      </c>
      <c r="AG966" s="2">
        <f ca="1"/>
        <v>7.1314049665373691E-2</v>
      </c>
      <c r="AH966" s="2" t="str">
        <f ca="1"/>
        <v>OK</v>
      </c>
    </row>
    <row r="967" spans="2:34">
      <c r="B967" s="2">
        <f ca="1"/>
        <v>0.61445079787221246</v>
      </c>
      <c r="O967" s="2">
        <f ca="1"/>
        <v>-0.51804697038188252</v>
      </c>
      <c r="X967" s="2">
        <f ca="1"/>
        <v>47.907954966987418</v>
      </c>
      <c r="AG967" s="2">
        <f ca="1"/>
        <v>0.92216996929286399</v>
      </c>
      <c r="AH967" s="2" t="str">
        <f ca="1"/>
        <v>Bad</v>
      </c>
    </row>
    <row r="968" spans="2:34">
      <c r="B968" s="2">
        <f ca="1"/>
        <v>0.26378075344296104</v>
      </c>
      <c r="O968" s="2">
        <f ca="1"/>
        <v>-0.89744147257797957</v>
      </c>
      <c r="X968" s="2">
        <f ca="1"/>
        <v>57.446712714837183</v>
      </c>
      <c r="AG968" s="2">
        <f ca="1"/>
        <v>0.34643676285043901</v>
      </c>
      <c r="AH968" s="2" t="str">
        <f ca="1"/>
        <v>OK</v>
      </c>
    </row>
    <row r="969" spans="2:34">
      <c r="B969" s="2">
        <f ca="1"/>
        <v>0.13078711514479191</v>
      </c>
      <c r="O969" s="2">
        <f ca="1"/>
        <v>3.2164518515104941E-2</v>
      </c>
      <c r="X969" s="2">
        <f ca="1"/>
        <v>55.067597197761188</v>
      </c>
      <c r="AG969" s="2">
        <f ca="1"/>
        <v>0.48667019643402609</v>
      </c>
      <c r="AH969" s="2" t="str">
        <f ca="1"/>
        <v>Bad</v>
      </c>
    </row>
    <row r="970" spans="2:34">
      <c r="B970" s="2">
        <f ca="1"/>
        <v>0.64665770079203067</v>
      </c>
      <c r="O970" s="2">
        <f ca="1"/>
        <v>-3.4510501489151899E-2</v>
      </c>
      <c r="X970" s="2">
        <f ca="1"/>
        <v>31.760574864095318</v>
      </c>
      <c r="AG970" s="2">
        <f ca="1"/>
        <v>0.19157188972893513</v>
      </c>
      <c r="AH970" s="2" t="str">
        <f ca="1"/>
        <v>OK</v>
      </c>
    </row>
    <row r="971" spans="2:34">
      <c r="B971" s="2">
        <f ca="1"/>
        <v>1.2042663779706198E-2</v>
      </c>
      <c r="O971" s="2">
        <f ca="1"/>
        <v>0.36256586852175682</v>
      </c>
      <c r="X971" s="2">
        <f ca="1"/>
        <v>61.489248146252457</v>
      </c>
      <c r="AG971" s="2">
        <f ca="1"/>
        <v>0.11899272708098674</v>
      </c>
      <c r="AH971" s="2" t="str">
        <f ca="1"/>
        <v>OK</v>
      </c>
    </row>
    <row r="972" spans="2:34">
      <c r="B972" s="2">
        <f ca="1"/>
        <v>0.56221456283340121</v>
      </c>
      <c r="O972" s="2">
        <f ca="1"/>
        <v>0.7736602814664828</v>
      </c>
      <c r="X972" s="2">
        <f ca="1"/>
        <v>31.034431296825193</v>
      </c>
      <c r="AG972" s="2">
        <f ca="1"/>
        <v>0.86763890721290671</v>
      </c>
      <c r="AH972" s="2" t="str">
        <f ca="1"/>
        <v>Bad</v>
      </c>
    </row>
    <row r="973" spans="2:34">
      <c r="B973" s="2">
        <f ca="1"/>
        <v>0.24240072801060597</v>
      </c>
      <c r="O973" s="2">
        <f ca="1"/>
        <v>-1.9518978017742867</v>
      </c>
      <c r="X973" s="2">
        <f ca="1"/>
        <v>54.386224813916115</v>
      </c>
      <c r="AG973" s="2">
        <f ca="1"/>
        <v>0.67336913513382823</v>
      </c>
      <c r="AH973" s="2" t="str">
        <f ca="1"/>
        <v>Bad</v>
      </c>
    </row>
    <row r="974" spans="2:34">
      <c r="B974" s="2">
        <f ca="1"/>
        <v>0.68822862126248174</v>
      </c>
      <c r="O974" s="2">
        <f ca="1"/>
        <v>-1.2232947158530689</v>
      </c>
      <c r="X974" s="2">
        <f ca="1"/>
        <v>34.710175798394452</v>
      </c>
      <c r="AG974" s="2">
        <f ca="1"/>
        <v>0.73047700738882626</v>
      </c>
      <c r="AH974" s="2" t="str">
        <f ca="1"/>
        <v>Bad</v>
      </c>
    </row>
    <row r="975" spans="2:34">
      <c r="B975" s="2">
        <f ca="1"/>
        <v>0.87268005519827896</v>
      </c>
      <c r="O975" s="2">
        <f ca="1"/>
        <v>-0.17283906219924094</v>
      </c>
      <c r="X975" s="2">
        <f ca="1"/>
        <v>47.591687595708677</v>
      </c>
      <c r="AG975" s="2">
        <f ca="1"/>
        <v>0.30545775795734409</v>
      </c>
      <c r="AH975" s="2" t="str">
        <f ca="1"/>
        <v>OK</v>
      </c>
    </row>
    <row r="976" spans="2:34">
      <c r="B976" s="2">
        <f ca="1"/>
        <v>0.25414245706951322</v>
      </c>
      <c r="O976" s="2">
        <f ca="1"/>
        <v>-5.639585048860335E-2</v>
      </c>
      <c r="X976" s="2">
        <f ca="1"/>
        <v>63.54388913296922</v>
      </c>
      <c r="AG976" s="2">
        <f ca="1"/>
        <v>4.6597018480269092E-2</v>
      </c>
      <c r="AH976" s="2" t="str">
        <f ca="1"/>
        <v>Good</v>
      </c>
    </row>
    <row r="977" spans="2:34">
      <c r="B977" s="2">
        <f ca="1"/>
        <v>0.33998831080197411</v>
      </c>
      <c r="O977" s="2">
        <f ca="1"/>
        <v>2.1782530750672882</v>
      </c>
      <c r="X977" s="2">
        <f ca="1"/>
        <v>52.849882399015414</v>
      </c>
      <c r="AG977" s="2">
        <f ca="1"/>
        <v>0.19682852088850944</v>
      </c>
      <c r="AH977" s="2" t="str">
        <f ca="1"/>
        <v>OK</v>
      </c>
    </row>
    <row r="978" spans="2:34">
      <c r="B978" s="2">
        <f ca="1"/>
        <v>0.27621281015334476</v>
      </c>
      <c r="O978" s="2">
        <f ca="1"/>
        <v>0.64563868887543407</v>
      </c>
      <c r="X978" s="2">
        <f ca="1"/>
        <v>56.34497297728808</v>
      </c>
      <c r="AG978" s="2">
        <f ca="1"/>
        <v>0.53136339467670735</v>
      </c>
      <c r="AH978" s="2" t="str">
        <f ca="1"/>
        <v>Bad</v>
      </c>
    </row>
    <row r="979" spans="2:34">
      <c r="B979" s="2">
        <f ca="1"/>
        <v>0.17900228837374166</v>
      </c>
      <c r="O979" s="2">
        <f ca="1"/>
        <v>-1.4198484488609238</v>
      </c>
      <c r="X979" s="2">
        <f ca="1"/>
        <v>50.474304565317382</v>
      </c>
      <c r="AG979" s="2">
        <f ca="1"/>
        <v>0.64960590299014798</v>
      </c>
      <c r="AH979" s="2" t="str">
        <f ca="1"/>
        <v>Bad</v>
      </c>
    </row>
    <row r="980" spans="2:34">
      <c r="B980" s="2">
        <f ca="1"/>
        <v>0.39016072778818045</v>
      </c>
      <c r="O980" s="2">
        <f ca="1"/>
        <v>-5.9057776284217073E-2</v>
      </c>
      <c r="X980" s="2">
        <f ca="1"/>
        <v>22.889463012636995</v>
      </c>
      <c r="AG980" s="2">
        <f ca="1"/>
        <v>0.41510226030245923</v>
      </c>
      <c r="AH980" s="2" t="str">
        <f ca="1"/>
        <v>Bad</v>
      </c>
    </row>
    <row r="981" spans="2:34">
      <c r="B981" s="2">
        <f ca="1"/>
        <v>0.51622822456755779</v>
      </c>
      <c r="O981" s="2">
        <f ca="1"/>
        <v>-0.25230960773927125</v>
      </c>
      <c r="X981" s="2">
        <f ca="1"/>
        <v>35.705601798654506</v>
      </c>
      <c r="AG981" s="2">
        <f ca="1"/>
        <v>0.30054144100075031</v>
      </c>
      <c r="AH981" s="2" t="str">
        <f ca="1"/>
        <v>OK</v>
      </c>
    </row>
    <row r="982" spans="2:34">
      <c r="B982" s="2">
        <f ca="1"/>
        <v>0.64176663304534931</v>
      </c>
      <c r="O982" s="2">
        <f ca="1"/>
        <v>-0.1627049423100311</v>
      </c>
      <c r="X982" s="2">
        <f ca="1"/>
        <v>29.348489106948684</v>
      </c>
      <c r="AG982" s="2">
        <f ca="1"/>
        <v>0.23354942167297432</v>
      </c>
      <c r="AH982" s="2" t="str">
        <f ca="1"/>
        <v>OK</v>
      </c>
    </row>
    <row r="983" spans="2:34">
      <c r="B983" s="2">
        <f ca="1"/>
        <v>0.78928435486015891</v>
      </c>
      <c r="O983" s="2">
        <f ca="1"/>
        <v>0.30724129976285247</v>
      </c>
      <c r="X983" s="2">
        <f ca="1"/>
        <v>59.307562823925011</v>
      </c>
      <c r="AG983" s="2">
        <f ca="1"/>
        <v>0.97831720047465853</v>
      </c>
      <c r="AH983" s="2" t="str">
        <f ca="1"/>
        <v>Bad</v>
      </c>
    </row>
    <row r="984" spans="2:34">
      <c r="B984" s="2">
        <f ca="1"/>
        <v>0.46823959879007004</v>
      </c>
      <c r="O984" s="2">
        <f ca="1"/>
        <v>0.22509129289501356</v>
      </c>
      <c r="X984" s="2">
        <f ca="1"/>
        <v>36.439252228470018</v>
      </c>
      <c r="AG984" s="2">
        <f ca="1"/>
        <v>0.3618633016926478</v>
      </c>
      <c r="AH984" s="2" t="str">
        <f ca="1"/>
        <v>OK</v>
      </c>
    </row>
    <row r="985" spans="2:34">
      <c r="B985" s="2">
        <f ca="1"/>
        <v>0.25899199436493037</v>
      </c>
      <c r="O985" s="2">
        <f ca="1"/>
        <v>-1.1044233219807078</v>
      </c>
      <c r="X985" s="2">
        <f ca="1"/>
        <v>64.8528528681029</v>
      </c>
      <c r="AG985" s="2">
        <f ca="1"/>
        <v>0.48092611184007361</v>
      </c>
      <c r="AH985" s="2" t="str">
        <f ca="1"/>
        <v>Bad</v>
      </c>
    </row>
    <row r="986" spans="2:34">
      <c r="B986" s="2">
        <f ca="1"/>
        <v>0.8934908097452845</v>
      </c>
      <c r="O986" s="2">
        <f ca="1"/>
        <v>-0.84415292413476717</v>
      </c>
      <c r="X986" s="2">
        <f ca="1"/>
        <v>52.294395353856025</v>
      </c>
      <c r="AG986" s="2">
        <f ca="1"/>
        <v>0.54054078521515092</v>
      </c>
      <c r="AH986" s="2" t="str">
        <f ca="1"/>
        <v>Bad</v>
      </c>
    </row>
    <row r="987" spans="2:34">
      <c r="B987" s="2">
        <f ca="1"/>
        <v>0.98851983153898271</v>
      </c>
      <c r="O987" s="2">
        <f ca="1"/>
        <v>-0.63175459230770692</v>
      </c>
      <c r="X987" s="2">
        <f ca="1"/>
        <v>97.595960345570987</v>
      </c>
      <c r="AG987" s="2">
        <f ca="1"/>
        <v>0.71627030418421889</v>
      </c>
      <c r="AH987" s="2" t="str">
        <f ca="1"/>
        <v>Bad</v>
      </c>
    </row>
    <row r="988" spans="2:34">
      <c r="B988" s="2">
        <f ca="1"/>
        <v>0.19553612771564954</v>
      </c>
      <c r="O988" s="2">
        <f ca="1"/>
        <v>0.76131459982208072</v>
      </c>
      <c r="X988" s="2">
        <f ca="1"/>
        <v>56.696956995728428</v>
      </c>
      <c r="AG988" s="2">
        <f ca="1"/>
        <v>0.10127294938118814</v>
      </c>
      <c r="AH988" s="2" t="str">
        <f ca="1"/>
        <v>OK</v>
      </c>
    </row>
    <row r="989" spans="2:34">
      <c r="B989" s="2">
        <f ca="1"/>
        <v>0.78131980920281974</v>
      </c>
      <c r="O989" s="2">
        <f ca="1"/>
        <v>0.82095373796668569</v>
      </c>
      <c r="X989" s="2">
        <f ca="1"/>
        <v>42.218702338233342</v>
      </c>
      <c r="AG989" s="2">
        <f ca="1"/>
        <v>0.9481100533652016</v>
      </c>
      <c r="AH989" s="2" t="str">
        <f ca="1"/>
        <v>Bad</v>
      </c>
    </row>
    <row r="990" spans="2:34">
      <c r="B990" s="2">
        <f ca="1"/>
        <v>0.92051694719547328</v>
      </c>
      <c r="O990" s="2">
        <f ca="1"/>
        <v>2.4251955277339174</v>
      </c>
      <c r="X990" s="2">
        <f ca="1"/>
        <v>52.097086457005652</v>
      </c>
      <c r="AG990" s="2">
        <f ca="1"/>
        <v>0.30510399550459488</v>
      </c>
      <c r="AH990" s="2" t="str">
        <f ca="1"/>
        <v>OK</v>
      </c>
    </row>
    <row r="991" spans="2:34">
      <c r="B991" s="2">
        <f ca="1"/>
        <v>0.88665138226764384</v>
      </c>
      <c r="O991" s="2">
        <f ca="1"/>
        <v>1.1502221169831346</v>
      </c>
      <c r="X991" s="2">
        <f ca="1"/>
        <v>37.95036670586785</v>
      </c>
      <c r="AG991" s="2">
        <f ca="1"/>
        <v>0.8418207695707971</v>
      </c>
      <c r="AH991" s="2" t="str">
        <f ca="1"/>
        <v>Bad</v>
      </c>
    </row>
    <row r="992" spans="2:34">
      <c r="B992" s="2">
        <f ca="1"/>
        <v>0.8466820773684991</v>
      </c>
      <c r="O992" s="2">
        <f ca="1"/>
        <v>-0.4983033106680399</v>
      </c>
      <c r="X992" s="2">
        <f ca="1"/>
        <v>55.726588546113653</v>
      </c>
      <c r="AG992" s="2">
        <f ca="1"/>
        <v>4.0686046371378293E-2</v>
      </c>
      <c r="AH992" s="2" t="str">
        <f ca="1"/>
        <v>Good</v>
      </c>
    </row>
    <row r="993" spans="2:34">
      <c r="B993" s="2">
        <f ca="1"/>
        <v>0.80170425729473083</v>
      </c>
      <c r="O993" s="2">
        <f ca="1"/>
        <v>-0.751009788884897</v>
      </c>
      <c r="X993" s="2">
        <f ca="1"/>
        <v>45.222568607221191</v>
      </c>
      <c r="AG993" s="2">
        <f ca="1"/>
        <v>0.96785490627345205</v>
      </c>
      <c r="AH993" s="2" t="str">
        <f ca="1"/>
        <v>Bad</v>
      </c>
    </row>
    <row r="994" spans="2:34">
      <c r="B994" s="2">
        <f ca="1"/>
        <v>0.57902356162491309</v>
      </c>
      <c r="O994" s="2">
        <f ca="1"/>
        <v>1.2760410862660567</v>
      </c>
      <c r="X994" s="2">
        <f ca="1"/>
        <v>49.138555773687756</v>
      </c>
      <c r="AG994" s="2">
        <f ca="1"/>
        <v>0.12131354354562851</v>
      </c>
      <c r="AH994" s="2" t="str">
        <f ca="1"/>
        <v>OK</v>
      </c>
    </row>
    <row r="995" spans="2:34">
      <c r="B995" s="2">
        <f ca="1"/>
        <v>0.43119420149041088</v>
      </c>
      <c r="O995" s="2">
        <f ca="1"/>
        <v>0.3965575760651634</v>
      </c>
      <c r="X995" s="2">
        <f ca="1"/>
        <v>46.025646432590968</v>
      </c>
      <c r="AG995" s="2">
        <f ca="1"/>
        <v>0.22029678315891021</v>
      </c>
      <c r="AH995" s="2" t="str">
        <f ca="1"/>
        <v>OK</v>
      </c>
    </row>
    <row r="996" spans="2:34">
      <c r="B996" s="2">
        <f ca="1"/>
        <v>0.7697790714374162</v>
      </c>
      <c r="O996" s="2">
        <f ca="1"/>
        <v>7.0972021830277093E-2</v>
      </c>
      <c r="X996" s="2">
        <f ca="1"/>
        <v>47.571523488697018</v>
      </c>
      <c r="AG996" s="2">
        <f ca="1"/>
        <v>0.366943661275833</v>
      </c>
      <c r="AH996" s="2" t="str">
        <f ca="1"/>
        <v>OK</v>
      </c>
    </row>
    <row r="997" spans="2:34">
      <c r="B997" s="2">
        <f ca="1"/>
        <v>6.4606028927389758E-3</v>
      </c>
      <c r="O997" s="2">
        <f ca="1"/>
        <v>0.4878881957599166</v>
      </c>
      <c r="X997" s="2">
        <f ca="1"/>
        <v>57.944519494292599</v>
      </c>
      <c r="AG997" s="2">
        <f ca="1"/>
        <v>0.45509722006773856</v>
      </c>
      <c r="AH997" s="2" t="str">
        <f ca="1"/>
        <v>Bad</v>
      </c>
    </row>
    <row r="998" spans="2:34">
      <c r="B998" s="2">
        <f ca="1"/>
        <v>3.6131607080811534E-3</v>
      </c>
      <c r="O998" s="2">
        <f ca="1"/>
        <v>1.198056019900999E-2</v>
      </c>
      <c r="X998" s="2">
        <f ca="1"/>
        <v>27.481796049194575</v>
      </c>
      <c r="AG998" s="2">
        <f ca="1"/>
        <v>0.87042359433035132</v>
      </c>
      <c r="AH998" s="2" t="str">
        <f ca="1"/>
        <v>Bad</v>
      </c>
    </row>
    <row r="999" spans="2:34">
      <c r="B999" s="2">
        <f ca="1"/>
        <v>0.39663778010675732</v>
      </c>
      <c r="O999" s="2">
        <f ca="1"/>
        <v>-0.40451453836829793</v>
      </c>
      <c r="X999" s="2">
        <f ca="1"/>
        <v>47.011268580820939</v>
      </c>
      <c r="AG999" s="2">
        <f ca="1"/>
        <v>0.46790404762640003</v>
      </c>
      <c r="AH999" s="2" t="str">
        <f ca="1"/>
        <v>Bad</v>
      </c>
    </row>
    <row r="1000" spans="2:34">
      <c r="B1000" s="2">
        <f ca="1"/>
        <v>0.58529996991111566</v>
      </c>
      <c r="O1000" s="2">
        <f ca="1"/>
        <v>1.7781846771697962</v>
      </c>
      <c r="X1000" s="2">
        <f ca="1"/>
        <v>74.824751671494028</v>
      </c>
      <c r="AG1000" s="2">
        <f ca="1"/>
        <v>0.41806200262378246</v>
      </c>
      <c r="AH1000" s="2" t="str">
        <f ca="1"/>
        <v>Bad</v>
      </c>
    </row>
    <row r="1001" spans="2:34">
      <c r="B1001" s="2">
        <f ca="1"/>
        <v>0.49602895580311879</v>
      </c>
      <c r="O1001" s="2">
        <f ca="1"/>
        <v>1.2985261781383233</v>
      </c>
      <c r="X1001" s="2">
        <f ca="1"/>
        <v>39.730999160987629</v>
      </c>
      <c r="AG1001" s="2">
        <f ca="1"/>
        <v>0.64281824595679438</v>
      </c>
      <c r="AH1001" s="2" t="str">
        <f ca="1"/>
        <v>Bad</v>
      </c>
    </row>
    <row r="1002" spans="2:34">
      <c r="B1002" s="2">
        <f ca="1"/>
        <v>0.22640671058074346</v>
      </c>
      <c r="O1002" s="2">
        <f ca="1"/>
        <v>-0.21298703330045335</v>
      </c>
      <c r="X1002" s="2">
        <f ca="1"/>
        <v>79.12520448419582</v>
      </c>
      <c r="AG1002" s="2">
        <f ca="1"/>
        <v>0.46341392509530688</v>
      </c>
      <c r="AH1002" s="2" t="str">
        <f ca="1"/>
        <v>Bad</v>
      </c>
    </row>
    <row r="1003" spans="2:34">
      <c r="B1003" s="2">
        <f ca="1"/>
        <v>0.43830569057851565</v>
      </c>
      <c r="O1003" s="2">
        <f ca="1"/>
        <v>0.63448641854228827</v>
      </c>
      <c r="X1003" s="2">
        <f ca="1"/>
        <v>49.279373441132712</v>
      </c>
      <c r="AG1003" s="2">
        <f ca="1"/>
        <v>0.23119175343230802</v>
      </c>
      <c r="AH1003" s="2" t="str">
        <f ca="1"/>
        <v>OK</v>
      </c>
    </row>
    <row r="1004" spans="2:34">
      <c r="B1004" s="2">
        <f ca="1"/>
        <v>0.10870615096072633</v>
      </c>
      <c r="O1004" s="2">
        <f ca="1"/>
        <v>-0.75767908106753701</v>
      </c>
      <c r="X1004" s="2">
        <f ca="1"/>
        <v>68.086062421214805</v>
      </c>
      <c r="AG1004" s="2">
        <f ca="1"/>
        <v>0.15089370603956032</v>
      </c>
      <c r="AH1004" s="2" t="str">
        <f ca="1"/>
        <v>OK</v>
      </c>
    </row>
    <row r="1005" spans="2:34">
      <c r="B1005" s="2">
        <f ca="1"/>
        <v>0.25406453598911849</v>
      </c>
      <c r="O1005" s="2">
        <f ca="1"/>
        <v>2.1856956098191307</v>
      </c>
      <c r="X1005" s="2">
        <f ca="1"/>
        <v>51.746501318617099</v>
      </c>
      <c r="AG1005" s="2">
        <f ca="1"/>
        <v>0.16990817883935239</v>
      </c>
      <c r="AH1005" s="2" t="str">
        <f ca="1"/>
        <v>OK</v>
      </c>
    </row>
    <row r="1006" spans="2:34">
      <c r="B1006" s="2">
        <f ca="1"/>
        <v>0.84832177952276577</v>
      </c>
      <c r="O1006" s="2">
        <f ca="1"/>
        <v>-0.59549310081424034</v>
      </c>
      <c r="X1006" s="2">
        <f ca="1"/>
        <v>56.785749296882095</v>
      </c>
      <c r="AG1006" s="2">
        <f ca="1"/>
        <v>0.12178260731215151</v>
      </c>
      <c r="AH1006" s="2" t="str">
        <f ca="1"/>
        <v>OK</v>
      </c>
    </row>
    <row r="1007" spans="2:34">
      <c r="B1007" s="2">
        <f ca="1"/>
        <v>0.79739056680895515</v>
      </c>
      <c r="O1007" s="2">
        <f ca="1"/>
        <v>1.2619046424324971</v>
      </c>
      <c r="X1007" s="2">
        <f ca="1"/>
        <v>51.267313125048098</v>
      </c>
      <c r="AG1007" s="2">
        <f ca="1"/>
        <v>0.20535756661688587</v>
      </c>
      <c r="AH1007" s="2" t="str">
        <f ca="1"/>
        <v>OK</v>
      </c>
    </row>
    <row r="1008" spans="2:34">
      <c r="B1008" s="2">
        <f ca="1"/>
        <v>0.59402485822414186</v>
      </c>
      <c r="O1008" s="2">
        <f ca="1"/>
        <v>-0.46282954535471355</v>
      </c>
      <c r="X1008" s="2">
        <f ca="1"/>
        <v>51.626562331091534</v>
      </c>
      <c r="AG1008" s="2">
        <f ca="1"/>
        <v>0.52670906958091357</v>
      </c>
      <c r="AH1008" s="2" t="str">
        <f ca="1"/>
        <v>Bad</v>
      </c>
    </row>
    <row r="1009" spans="2:34">
      <c r="B1009" s="2">
        <f ca="1"/>
        <v>0.32628827033940255</v>
      </c>
      <c r="O1009" s="2">
        <f ca="1"/>
        <v>-0.39974252781858843</v>
      </c>
      <c r="X1009" s="2">
        <f ca="1"/>
        <v>74.2964694941235</v>
      </c>
      <c r="AG1009" s="2">
        <f ca="1"/>
        <v>9.7594000020045479E-2</v>
      </c>
      <c r="AH1009" s="2" t="str">
        <f ca="1"/>
        <v>OK</v>
      </c>
    </row>
    <row r="1010" spans="2:34">
      <c r="B1010" s="2">
        <f ca="1"/>
        <v>0.71221832264018681</v>
      </c>
      <c r="O1010" s="2">
        <f ca="1"/>
        <v>2.0518175060291526</v>
      </c>
      <c r="X1010" s="2">
        <f ca="1"/>
        <v>51.908575565240767</v>
      </c>
      <c r="AG1010" s="2">
        <f ca="1"/>
        <v>0.25269806968767927</v>
      </c>
      <c r="AH1010" s="2" t="str">
        <f ca="1"/>
        <v>OK</v>
      </c>
    </row>
    <row r="1011" spans="2:34">
      <c r="B1011" s="2">
        <f ca="1"/>
        <v>0.10046380556067835</v>
      </c>
      <c r="O1011" s="2">
        <f ca="1"/>
        <v>0.57070926088899576</v>
      </c>
      <c r="X1011" s="2">
        <f ca="1"/>
        <v>44.608096130688047</v>
      </c>
      <c r="AG1011" s="2">
        <f ca="1"/>
        <v>0.19405493276449803</v>
      </c>
      <c r="AH1011" s="2" t="str">
        <f ca="1"/>
        <v>OK</v>
      </c>
    </row>
    <row r="1012" spans="2:34">
      <c r="B1012" s="2">
        <f ca="1"/>
        <v>0.92712494366011544</v>
      </c>
      <c r="O1012" s="2">
        <f ca="1"/>
        <v>-0.4237882882427087</v>
      </c>
      <c r="X1012" s="2">
        <f ca="1"/>
        <v>65.422984461846369</v>
      </c>
      <c r="AG1012" s="2">
        <f ca="1"/>
        <v>0.96447910853421392</v>
      </c>
      <c r="AH1012" s="2" t="str">
        <f ca="1"/>
        <v>Bad</v>
      </c>
    </row>
    <row r="1013" spans="2:34">
      <c r="B1013" s="2">
        <f ca="1"/>
        <v>0.59858134852510858</v>
      </c>
      <c r="O1013" s="2">
        <f ca="1"/>
        <v>0.10683089213291969</v>
      </c>
      <c r="X1013" s="2">
        <f ca="1"/>
        <v>40.073575063965038</v>
      </c>
      <c r="AG1013" s="2">
        <f ca="1"/>
        <v>0.74634807814383253</v>
      </c>
      <c r="AH1013" s="2" t="str">
        <f ca="1"/>
        <v>Bad</v>
      </c>
    </row>
    <row r="1014" spans="2:34">
      <c r="B1014" s="2">
        <f ca="1"/>
        <v>0.25977045160938572</v>
      </c>
      <c r="O1014" s="2">
        <f ca="1"/>
        <v>-0.8897489462466639</v>
      </c>
      <c r="X1014" s="2">
        <f ca="1"/>
        <v>31.205333443136858</v>
      </c>
      <c r="AG1014" s="2">
        <f ca="1"/>
        <v>0.8022606216424446</v>
      </c>
      <c r="AH1014" s="2" t="str">
        <f ca="1"/>
        <v>Bad</v>
      </c>
    </row>
    <row r="1015" spans="2:34">
      <c r="B1015" s="2">
        <f ca="1"/>
        <v>0.84371822649974826</v>
      </c>
      <c r="O1015" s="2">
        <f ca="1"/>
        <v>1.4259784325484448</v>
      </c>
      <c r="X1015" s="2">
        <f ca="1"/>
        <v>53.767923030315373</v>
      </c>
      <c r="AG1015" s="2">
        <f ca="1"/>
        <v>0.40673932857999895</v>
      </c>
      <c r="AH1015" s="2" t="str">
        <f ca="1"/>
        <v>Bad</v>
      </c>
    </row>
    <row r="1016" spans="2:34">
      <c r="B1016" s="2">
        <f ca="1"/>
        <v>0.78379532156845366</v>
      </c>
      <c r="O1016" s="2">
        <f ca="1"/>
        <v>1.2713540593811055</v>
      </c>
      <c r="X1016" s="2">
        <f ca="1"/>
        <v>55.799964189992302</v>
      </c>
      <c r="AG1016" s="2">
        <f ca="1"/>
        <v>0.5828906698869929</v>
      </c>
      <c r="AH1016" s="2" t="str">
        <f ca="1"/>
        <v>Bad</v>
      </c>
    </row>
    <row r="1017" spans="2:34">
      <c r="B1017" s="2">
        <f ca="1"/>
        <v>0.43630856616599756</v>
      </c>
      <c r="O1017" s="2">
        <f ca="1"/>
        <v>-1.2222761071398542</v>
      </c>
      <c r="X1017" s="2">
        <f ca="1"/>
        <v>33.911862280724122</v>
      </c>
      <c r="AG1017" s="2">
        <f ca="1"/>
        <v>0.78682940229760057</v>
      </c>
      <c r="AH1017" s="2" t="str">
        <f ca="1"/>
        <v>Bad</v>
      </c>
    </row>
    <row r="1018" spans="2:34">
      <c r="B1018" s="2">
        <f ca="1"/>
        <v>0.55219714152001242</v>
      </c>
      <c r="O1018" s="2">
        <f ca="1"/>
        <v>-4.0599697755443413E-2</v>
      </c>
      <c r="X1018" s="2">
        <f ca="1"/>
        <v>39.726232959679528</v>
      </c>
      <c r="AG1018" s="2">
        <f ca="1"/>
        <v>0.97777927166976064</v>
      </c>
      <c r="AH1018" s="2" t="str">
        <f ca="1"/>
        <v>Bad</v>
      </c>
    </row>
    <row r="1019" spans="2:34">
      <c r="B1019" s="2">
        <f ca="1"/>
        <v>0.76495928177276862</v>
      </c>
      <c r="O1019" s="2">
        <f ca="1"/>
        <v>-0.80488427360725068</v>
      </c>
      <c r="X1019" s="2">
        <f ca="1"/>
        <v>49.243708859685185</v>
      </c>
      <c r="AG1019" s="2">
        <f ca="1"/>
        <v>0.14406836835278058</v>
      </c>
      <c r="AH1019" s="2" t="str">
        <f ca="1"/>
        <v>OK</v>
      </c>
    </row>
    <row r="1020" spans="2:34">
      <c r="B1020" s="2">
        <f ca="1"/>
        <v>1.7180584276366151E-2</v>
      </c>
      <c r="O1020" s="2">
        <f ca="1"/>
        <v>0.40408946317415489</v>
      </c>
      <c r="X1020" s="2">
        <f ca="1"/>
        <v>31.795500873401895</v>
      </c>
      <c r="AG1020" s="2">
        <f ca="1"/>
        <v>0.58343853692786429</v>
      </c>
      <c r="AH1020" s="2" t="str">
        <f ca="1"/>
        <v>Bad</v>
      </c>
    </row>
    <row r="1021" spans="2:34">
      <c r="B1021" s="2">
        <f ca="1"/>
        <v>0.14478585819469281</v>
      </c>
      <c r="O1021" s="2">
        <f ca="1"/>
        <v>-2.1033492072215849</v>
      </c>
      <c r="X1021" s="2">
        <f ca="1"/>
        <v>53.346119211326517</v>
      </c>
      <c r="AG1021" s="2">
        <f ca="1"/>
        <v>0.79676678589209415</v>
      </c>
      <c r="AH1021" s="2" t="str">
        <f ca="1"/>
        <v>Bad</v>
      </c>
    </row>
    <row r="1022" spans="2:34">
      <c r="B1022" s="2">
        <f ca="1"/>
        <v>0.23881947949626947</v>
      </c>
      <c r="O1022" s="2">
        <f ca="1"/>
        <v>-8.5001988043313131E-2</v>
      </c>
      <c r="X1022" s="2">
        <f ca="1"/>
        <v>43.164078670516531</v>
      </c>
      <c r="AG1022" s="2">
        <f ca="1"/>
        <v>0.36922007754984976</v>
      </c>
      <c r="AH1022" s="2" t="str">
        <f ca="1"/>
        <v>OK</v>
      </c>
    </row>
    <row r="1023" spans="2:34">
      <c r="B1023" s="2">
        <f ca="1"/>
        <v>0.7931244315998216</v>
      </c>
      <c r="O1023" s="2">
        <f ca="1"/>
        <v>-0.29291427002254539</v>
      </c>
      <c r="X1023" s="2">
        <f ca="1"/>
        <v>71.314480946815621</v>
      </c>
      <c r="AG1023" s="2">
        <f ca="1"/>
        <v>0.27082371767844204</v>
      </c>
      <c r="AH1023" s="2" t="str">
        <f ca="1"/>
        <v>OK</v>
      </c>
    </row>
    <row r="1024" spans="2:34">
      <c r="B1024" s="2">
        <f ca="1"/>
        <v>0.52544882231247314</v>
      </c>
      <c r="O1024" s="2">
        <f ca="1"/>
        <v>-0.90621402688451869</v>
      </c>
      <c r="X1024" s="2">
        <f ca="1"/>
        <v>49.358429903720975</v>
      </c>
      <c r="AG1024" s="2">
        <f ca="1"/>
        <v>0.30325764475187977</v>
      </c>
      <c r="AH1024" s="2" t="str">
        <f ca="1"/>
        <v>OK</v>
      </c>
    </row>
    <row r="1025" spans="2:34">
      <c r="B1025" s="2">
        <f ca="1"/>
        <v>5.9344485493835197E-3</v>
      </c>
      <c r="O1025" s="2">
        <f ca="1"/>
        <v>-0.87061589794033178</v>
      </c>
      <c r="X1025" s="2">
        <f ca="1"/>
        <v>35.075049260935238</v>
      </c>
      <c r="AG1025" s="2">
        <f ca="1"/>
        <v>0.50359805816538517</v>
      </c>
      <c r="AH1025" s="2" t="str">
        <f ca="1"/>
        <v>Bad</v>
      </c>
    </row>
    <row r="1026" spans="2:34">
      <c r="B1026" s="2">
        <f ca="1"/>
        <v>0.44718258918428755</v>
      </c>
      <c r="O1026" s="2">
        <f ca="1"/>
        <v>0.10417405793196895</v>
      </c>
      <c r="X1026" s="2">
        <f ca="1"/>
        <v>57.413344954419856</v>
      </c>
      <c r="AG1026" s="2">
        <f ca="1"/>
        <v>0.87910114863838995</v>
      </c>
      <c r="AH1026" s="2" t="str">
        <f ca="1"/>
        <v>Bad</v>
      </c>
    </row>
    <row r="1027" spans="2:34">
      <c r="B1027" s="2">
        <f ca="1"/>
        <v>0.71521282923252438</v>
      </c>
      <c r="O1027" s="2">
        <f ca="1"/>
        <v>-0.50492862282843054</v>
      </c>
      <c r="X1027" s="2">
        <f ca="1"/>
        <v>73.099169424930437</v>
      </c>
      <c r="AG1027" s="2">
        <f ca="1"/>
        <v>0.95556393483700908</v>
      </c>
      <c r="AH1027" s="2" t="str">
        <f ca="1"/>
        <v>Bad</v>
      </c>
    </row>
    <row r="1028" spans="2:34">
      <c r="B1028" s="2">
        <f ca="1"/>
        <v>0.67836746648987978</v>
      </c>
      <c r="O1028" s="2">
        <f ca="1"/>
        <v>-0.69697016344641127</v>
      </c>
      <c r="X1028" s="2">
        <f ca="1"/>
        <v>52.095056839899939</v>
      </c>
      <c r="AG1028" s="2">
        <f ca="1"/>
        <v>0.73784789777059445</v>
      </c>
      <c r="AH1028" s="2" t="str">
        <f ca="1"/>
        <v>Bad</v>
      </c>
    </row>
    <row r="1029" spans="2:34">
      <c r="B1029" s="2">
        <f ca="1"/>
        <v>0.61957221620708514</v>
      </c>
      <c r="O1029" s="2">
        <f ca="1"/>
        <v>0.26000431521602457</v>
      </c>
      <c r="X1029" s="2">
        <f ca="1"/>
        <v>58.190245772617246</v>
      </c>
      <c r="AG1029" s="2">
        <f ca="1"/>
        <v>5.3960413478108871E-2</v>
      </c>
      <c r="AH1029" s="2" t="str">
        <f ca="1"/>
        <v>OK</v>
      </c>
    </row>
    <row r="1030" spans="2:34">
      <c r="B1030" s="2">
        <f ca="1"/>
        <v>0.48099682937119725</v>
      </c>
      <c r="O1030" s="2">
        <f ca="1"/>
        <v>-0.77535592499880446</v>
      </c>
      <c r="X1030" s="2">
        <f ca="1"/>
        <v>88.781106468991467</v>
      </c>
      <c r="AG1030" s="2">
        <f ca="1"/>
        <v>2.6342310785376855E-2</v>
      </c>
      <c r="AH1030" s="2" t="str">
        <f ca="1"/>
        <v>Good</v>
      </c>
    </row>
    <row r="1031" spans="2:34">
      <c r="B1031" s="2">
        <f ca="1"/>
        <v>0.83047103746972617</v>
      </c>
      <c r="O1031" s="2">
        <f ca="1"/>
        <v>0.41794438311188536</v>
      </c>
      <c r="X1031" s="2">
        <f ca="1"/>
        <v>56.517724755775454</v>
      </c>
      <c r="AG1031" s="2">
        <f ca="1"/>
        <v>0.60914277286249274</v>
      </c>
      <c r="AH1031" s="2" t="str">
        <f ca="1"/>
        <v>Bad</v>
      </c>
    </row>
    <row r="1032" spans="2:34">
      <c r="B1032" s="2">
        <f ca="1"/>
        <v>0.23426727104816769</v>
      </c>
      <c r="O1032" s="2">
        <f ca="1"/>
        <v>-0.17464888775500576</v>
      </c>
      <c r="X1032" s="2">
        <f ca="1"/>
        <v>43.900608799760931</v>
      </c>
      <c r="AG1032" s="2">
        <f ca="1"/>
        <v>0.50037080214362595</v>
      </c>
      <c r="AH1032" s="2" t="str">
        <f ca="1"/>
        <v>Bad</v>
      </c>
    </row>
    <row r="1033" spans="2:34">
      <c r="B1033" s="2">
        <f ca="1"/>
        <v>0.86226332764003399</v>
      </c>
      <c r="O1033" s="2">
        <f ca="1"/>
        <v>1.5993861706491341</v>
      </c>
      <c r="X1033" s="2">
        <f ca="1"/>
        <v>58.660972795159253</v>
      </c>
      <c r="AG1033" s="2">
        <f ca="1"/>
        <v>0.65487692061240588</v>
      </c>
      <c r="AH1033" s="2" t="str">
        <f ca="1"/>
        <v>Bad</v>
      </c>
    </row>
    <row r="1034" spans="2:34">
      <c r="B1034" s="2">
        <f ca="1"/>
        <v>0.54037259212034972</v>
      </c>
      <c r="O1034" s="2">
        <f ca="1"/>
        <v>-3.8043761254622381E-2</v>
      </c>
      <c r="X1034" s="2">
        <f ca="1"/>
        <v>34.500880232464446</v>
      </c>
      <c r="AG1034" s="2">
        <f ca="1"/>
        <v>0.44932237327372504</v>
      </c>
      <c r="AH1034" s="2" t="str">
        <f ca="1"/>
        <v>Bad</v>
      </c>
    </row>
    <row r="1035" spans="2:34">
      <c r="B1035" s="2">
        <f ca="1"/>
        <v>9.9439638475550263E-2</v>
      </c>
      <c r="O1035" s="2">
        <f ca="1"/>
        <v>-1.1208781308675047</v>
      </c>
      <c r="X1035" s="2">
        <f ca="1"/>
        <v>20.609001862760351</v>
      </c>
      <c r="AG1035" s="2">
        <f ca="1"/>
        <v>0.41600058775037918</v>
      </c>
      <c r="AH1035" s="2" t="str">
        <f ca="1"/>
        <v>Bad</v>
      </c>
    </row>
    <row r="1036" spans="2:34">
      <c r="B1036" s="2">
        <f ca="1"/>
        <v>0.49568960560403585</v>
      </c>
      <c r="O1036" s="2">
        <f ca="1"/>
        <v>-0.53795763953087239</v>
      </c>
      <c r="X1036" s="2">
        <f ca="1"/>
        <v>42.297822598634944</v>
      </c>
      <c r="AG1036" s="2">
        <f ca="1"/>
        <v>0.34036746593226552</v>
      </c>
      <c r="AH1036" s="2" t="str">
        <f ca="1"/>
        <v>OK</v>
      </c>
    </row>
    <row r="1037" spans="2:34">
      <c r="B1037" s="2">
        <f ca="1"/>
        <v>0.35810181395419782</v>
      </c>
      <c r="O1037" s="2">
        <f ca="1"/>
        <v>-0.49059901481773371</v>
      </c>
      <c r="X1037" s="2">
        <f ca="1"/>
        <v>48.823521775610573</v>
      </c>
      <c r="AG1037" s="2">
        <f ca="1"/>
        <v>0.63589397976206019</v>
      </c>
      <c r="AH1037" s="2" t="str">
        <f ca="1"/>
        <v>Bad</v>
      </c>
    </row>
    <row r="1038" spans="2:34">
      <c r="B1038" s="2">
        <f ca="1"/>
        <v>0.73240408336642848</v>
      </c>
      <c r="O1038" s="2">
        <f ca="1"/>
        <v>-1.1761678080108104</v>
      </c>
      <c r="X1038" s="2">
        <f ca="1"/>
        <v>59.848624983639397</v>
      </c>
      <c r="AG1038" s="2">
        <f ca="1"/>
        <v>0.90593538681007746</v>
      </c>
      <c r="AH1038" s="2" t="str">
        <f ca="1"/>
        <v>Bad</v>
      </c>
    </row>
    <row r="1039" spans="2:34">
      <c r="B1039" s="2">
        <f ca="1"/>
        <v>0.89102363218211145</v>
      </c>
      <c r="O1039" s="2">
        <f ca="1"/>
        <v>-0.66538229193808429</v>
      </c>
      <c r="X1039" s="2">
        <f ca="1"/>
        <v>27.689153197401989</v>
      </c>
      <c r="AG1039" s="2">
        <f ca="1"/>
        <v>4.5999023025365515E-2</v>
      </c>
      <c r="AH1039" s="2" t="str">
        <f ca="1"/>
        <v>Good</v>
      </c>
    </row>
    <row r="1040" spans="2:34">
      <c r="B1040" s="2">
        <f ca="1"/>
        <v>0.88503176033758035</v>
      </c>
      <c r="O1040" s="2">
        <f ca="1"/>
        <v>0.79608732262492099</v>
      </c>
      <c r="X1040" s="2">
        <f ca="1"/>
        <v>66.259560454048497</v>
      </c>
      <c r="AG1040" s="2">
        <f ca="1"/>
        <v>0.56857358115806522</v>
      </c>
      <c r="AH1040" s="2" t="str">
        <f ca="1"/>
        <v>Bad</v>
      </c>
    </row>
    <row r="1041" spans="2:34">
      <c r="B1041" s="2">
        <f ca="1"/>
        <v>0.9730287514703122</v>
      </c>
      <c r="O1041" s="2">
        <f ca="1"/>
        <v>-0.98367586467911616</v>
      </c>
      <c r="X1041" s="2">
        <f ca="1"/>
        <v>38.865097640581737</v>
      </c>
      <c r="AG1041" s="2">
        <f ca="1"/>
        <v>0.2790742261408925</v>
      </c>
      <c r="AH1041" s="2" t="str">
        <f ca="1"/>
        <v>OK</v>
      </c>
    </row>
    <row r="1042" spans="2:34">
      <c r="B1042" s="2">
        <f ca="1"/>
        <v>0.18781517805716486</v>
      </c>
      <c r="O1042" s="2">
        <f ca="1"/>
        <v>0.74076657117585565</v>
      </c>
      <c r="X1042" s="2">
        <f ca="1"/>
        <v>44.27045099848727</v>
      </c>
      <c r="AG1042" s="2">
        <f ca="1"/>
        <v>6.0712679842876982E-2</v>
      </c>
      <c r="AH1042" s="2" t="str">
        <f ca="1"/>
        <v>OK</v>
      </c>
    </row>
    <row r="1043" spans="2:34">
      <c r="B1043" s="2">
        <f ca="1"/>
        <v>0.58597738302277524</v>
      </c>
      <c r="O1043" s="2">
        <f ca="1"/>
        <v>0.37081780267088948</v>
      </c>
      <c r="X1043" s="2">
        <f ca="1"/>
        <v>58.589884900279628</v>
      </c>
      <c r="AG1043" s="2">
        <f ca="1"/>
        <v>0.94511276978590564</v>
      </c>
      <c r="AH1043" s="2" t="str">
        <f ca="1"/>
        <v>Bad</v>
      </c>
    </row>
    <row r="1044" spans="2:34">
      <c r="B1044" s="2">
        <f ca="1"/>
        <v>0.99447001475856456</v>
      </c>
      <c r="O1044" s="2">
        <f ca="1"/>
        <v>-0.53871768472837478</v>
      </c>
      <c r="X1044" s="2">
        <f ca="1"/>
        <v>26.982594740519794</v>
      </c>
      <c r="AG1044" s="2">
        <f ca="1"/>
        <v>4.2958472490641775E-2</v>
      </c>
      <c r="AH1044" s="2" t="str">
        <f ca="1"/>
        <v>Good</v>
      </c>
    </row>
    <row r="1045" spans="2:34">
      <c r="B1045" s="2">
        <f ca="1"/>
        <v>0.24013241562648191</v>
      </c>
      <c r="O1045" s="2">
        <f ca="1"/>
        <v>1.5142585926154406</v>
      </c>
      <c r="X1045" s="2">
        <f ca="1"/>
        <v>29.710139748600277</v>
      </c>
      <c r="AG1045" s="2">
        <f ca="1"/>
        <v>0.64980036455582613</v>
      </c>
      <c r="AH1045" s="2" t="str">
        <f ca="1"/>
        <v>Bad</v>
      </c>
    </row>
    <row r="1046" spans="2:34">
      <c r="B1046" s="2">
        <f ca="1"/>
        <v>0.32696769065457043</v>
      </c>
      <c r="O1046" s="2">
        <f ca="1"/>
        <v>0.88760629509533795</v>
      </c>
      <c r="X1046" s="2">
        <f ca="1"/>
        <v>53.96354773924206</v>
      </c>
      <c r="AG1046" s="2">
        <f ca="1"/>
        <v>0.21542692339900738</v>
      </c>
      <c r="AH1046" s="2" t="str">
        <f ca="1"/>
        <v>OK</v>
      </c>
    </row>
    <row r="1047" spans="2:34">
      <c r="B1047" s="2">
        <f ca="1"/>
        <v>0.51473432671843211</v>
      </c>
      <c r="O1047" s="2">
        <f ca="1"/>
        <v>-0.91962985917700513</v>
      </c>
      <c r="X1047" s="2">
        <f ca="1"/>
        <v>51.470419167149934</v>
      </c>
      <c r="AG1047" s="2">
        <f ca="1"/>
        <v>0.5521205141366532</v>
      </c>
      <c r="AH1047" s="2" t="str">
        <f ca="1"/>
        <v>Bad</v>
      </c>
    </row>
    <row r="1048" spans="2:34">
      <c r="B1048" s="2">
        <f ca="1"/>
        <v>0.22042251367469623</v>
      </c>
      <c r="O1048" s="2">
        <f ca="1"/>
        <v>-1.5336896276009004</v>
      </c>
      <c r="X1048" s="2">
        <f ca="1"/>
        <v>45.514254519140465</v>
      </c>
      <c r="AG1048" s="2">
        <f ca="1"/>
        <v>0.82036535071181271</v>
      </c>
      <c r="AH1048" s="2" t="str">
        <f ca="1"/>
        <v>Bad</v>
      </c>
    </row>
    <row r="1049" spans="2:34">
      <c r="B1049" s="2">
        <f ca="1"/>
        <v>0.92995981061185717</v>
      </c>
      <c r="O1049" s="2">
        <f ca="1"/>
        <v>2.1489666986930307</v>
      </c>
      <c r="X1049" s="2">
        <f ca="1"/>
        <v>38.046723403166716</v>
      </c>
      <c r="AG1049" s="2">
        <f ca="1"/>
        <v>0.48319309244744191</v>
      </c>
      <c r="AH1049" s="2" t="str">
        <f ca="1"/>
        <v>Bad</v>
      </c>
    </row>
    <row r="1050" spans="2:34">
      <c r="B1050" s="2">
        <f ca="1"/>
        <v>0.9496028444923319</v>
      </c>
      <c r="O1050" s="2">
        <f ca="1"/>
        <v>1.0095968432761335</v>
      </c>
      <c r="X1050" s="2">
        <f ca="1"/>
        <v>24.9225535513796</v>
      </c>
      <c r="AG1050" s="2">
        <f ca="1"/>
        <v>0.38111983446449638</v>
      </c>
      <c r="AH1050" s="2" t="str">
        <f ca="1"/>
        <v>OK</v>
      </c>
    </row>
    <row r="1051" spans="2:34">
      <c r="B1051" s="2">
        <f ca="1"/>
        <v>0.38097500609958934</v>
      </c>
      <c r="O1051" s="2">
        <f ca="1"/>
        <v>1.9011231230454773</v>
      </c>
      <c r="X1051" s="2">
        <f ca="1"/>
        <v>52.667279883593224</v>
      </c>
      <c r="AG1051" s="2">
        <f ca="1"/>
        <v>0.36037574020840357</v>
      </c>
      <c r="AH1051" s="2" t="str">
        <f ca="1"/>
        <v>OK</v>
      </c>
    </row>
    <row r="1052" spans="2:34">
      <c r="B1052" s="2">
        <f ca="1"/>
        <v>0.97406090672245793</v>
      </c>
      <c r="O1052" s="2">
        <f ca="1"/>
        <v>-0.77176812733299127</v>
      </c>
      <c r="X1052" s="2">
        <f ca="1"/>
        <v>68.888478620093508</v>
      </c>
      <c r="AG1052" s="2">
        <f ca="1"/>
        <v>0.23690211423969276</v>
      </c>
      <c r="AH1052" s="2" t="str">
        <f ca="1"/>
        <v>OK</v>
      </c>
    </row>
    <row r="1053" spans="2:34">
      <c r="B1053" s="2">
        <f ca="1"/>
        <v>0.62362974387492187</v>
      </c>
      <c r="O1053" s="2">
        <f ca="1"/>
        <v>-0.97449935638064222</v>
      </c>
      <c r="X1053" s="2">
        <f ca="1"/>
        <v>51.139041066897335</v>
      </c>
      <c r="AG1053" s="2">
        <f ca="1"/>
        <v>9.0998280838681112E-2</v>
      </c>
      <c r="AH1053" s="2" t="str">
        <f ca="1"/>
        <v>OK</v>
      </c>
    </row>
    <row r="1054" spans="2:34">
      <c r="B1054" s="2">
        <f ca="1"/>
        <v>0.51758117578250662</v>
      </c>
      <c r="O1054" s="2">
        <f ca="1"/>
        <v>-0.45173874877506132</v>
      </c>
      <c r="X1054" s="2">
        <f ca="1"/>
        <v>24.641145219199704</v>
      </c>
      <c r="AG1054" s="2">
        <f ca="1"/>
        <v>0.71056107873047258</v>
      </c>
      <c r="AH1054" s="2" t="str">
        <f ca="1"/>
        <v>Bad</v>
      </c>
    </row>
    <row r="1055" spans="2:34">
      <c r="B1055" s="2">
        <f ca="1"/>
        <v>0.65518726627155965</v>
      </c>
      <c r="O1055" s="2">
        <f ca="1"/>
        <v>-0.86566331497322346</v>
      </c>
      <c r="X1055" s="2">
        <f ca="1"/>
        <v>37.462550642267061</v>
      </c>
      <c r="AG1055" s="2">
        <f ca="1"/>
        <v>0.41042643787245336</v>
      </c>
      <c r="AH1055" s="2" t="str">
        <f ca="1"/>
        <v>Bad</v>
      </c>
    </row>
    <row r="1056" spans="2:34">
      <c r="B1056" s="2">
        <f ca="1"/>
        <v>0.90164548798957189</v>
      </c>
      <c r="O1056" s="2">
        <f ca="1"/>
        <v>-0.55667682801031948</v>
      </c>
      <c r="X1056" s="2">
        <f ca="1"/>
        <v>42.673362291661086</v>
      </c>
      <c r="AG1056" s="2">
        <f ca="1"/>
        <v>4.6053477741986759E-2</v>
      </c>
      <c r="AH1056" s="2" t="str">
        <f ca="1"/>
        <v>Good</v>
      </c>
    </row>
    <row r="1057" spans="2:34">
      <c r="B1057" s="2">
        <f ca="1"/>
        <v>0.77156610677346604</v>
      </c>
      <c r="O1057" s="2">
        <f ca="1"/>
        <v>-0.92752973552056839</v>
      </c>
      <c r="X1057" s="2">
        <f ca="1"/>
        <v>32.615506717727321</v>
      </c>
      <c r="AG1057" s="2">
        <f ca="1"/>
        <v>0.64753496014682232</v>
      </c>
      <c r="AH1057" s="2" t="str">
        <f ca="1"/>
        <v>Bad</v>
      </c>
    </row>
    <row r="1058" spans="2:34">
      <c r="B1058" s="2">
        <f ca="1"/>
        <v>0.64208543601198009</v>
      </c>
      <c r="O1058" s="2">
        <f ca="1"/>
        <v>1.1748434187927779</v>
      </c>
      <c r="X1058" s="2">
        <f ca="1"/>
        <v>18.366970747828965</v>
      </c>
      <c r="AG1058" s="2">
        <f ca="1"/>
        <v>0.94671360693373008</v>
      </c>
      <c r="AH1058" s="2" t="str">
        <f ca="1"/>
        <v>Bad</v>
      </c>
    </row>
    <row r="1059" spans="2:34">
      <c r="B1059" s="2">
        <f ca="1"/>
        <v>0.4970387746825673</v>
      </c>
      <c r="O1059" s="2">
        <f ca="1"/>
        <v>-2.1299466067758339</v>
      </c>
      <c r="X1059" s="2">
        <f ca="1"/>
        <v>63.312001212921409</v>
      </c>
      <c r="AG1059" s="2">
        <f ca="1"/>
        <v>0.50099162572619793</v>
      </c>
      <c r="AH1059" s="2" t="str">
        <f ca="1"/>
        <v>Bad</v>
      </c>
    </row>
    <row r="1060" spans="2:34">
      <c r="B1060" s="2">
        <f ca="1"/>
        <v>0.39194102929732599</v>
      </c>
      <c r="O1060" s="2">
        <f ca="1"/>
        <v>0.24049189971414786</v>
      </c>
      <c r="X1060" s="2">
        <f ca="1"/>
        <v>56.058129129718822</v>
      </c>
      <c r="AG1060" s="2">
        <f ca="1"/>
        <v>0.56887739599627007</v>
      </c>
      <c r="AH1060" s="2" t="str">
        <f ca="1"/>
        <v>Bad</v>
      </c>
    </row>
    <row r="1061" spans="2:34">
      <c r="B1061" s="2">
        <f ca="1"/>
        <v>0.94941752940375368</v>
      </c>
      <c r="O1061" s="2">
        <f ca="1"/>
        <v>1.2340385580122049</v>
      </c>
      <c r="X1061" s="2">
        <f ca="1"/>
        <v>80.472983699823317</v>
      </c>
      <c r="AG1061" s="2">
        <f ca="1"/>
        <v>0.62328493171303201</v>
      </c>
      <c r="AH1061" s="2" t="str">
        <f ca="1"/>
        <v>Bad</v>
      </c>
    </row>
    <row r="1062" spans="2:34">
      <c r="B1062" s="2">
        <f ca="1"/>
        <v>0.2428842554430648</v>
      </c>
      <c r="O1062" s="2">
        <f ca="1"/>
        <v>-1.3930005641285079</v>
      </c>
      <c r="X1062" s="2">
        <f ca="1"/>
        <v>35.001149233049077</v>
      </c>
      <c r="AG1062" s="2">
        <f ca="1"/>
        <v>0.38855597094641903</v>
      </c>
      <c r="AH1062" s="2" t="str">
        <f ca="1"/>
        <v>OK</v>
      </c>
    </row>
    <row r="1063" spans="2:34">
      <c r="B1063" s="2">
        <f ca="1"/>
        <v>0.95771430501287513</v>
      </c>
      <c r="O1063" s="2">
        <f ca="1"/>
        <v>-1.5814638301511585</v>
      </c>
      <c r="X1063" s="2">
        <f ca="1"/>
        <v>65.533019175796156</v>
      </c>
      <c r="AG1063" s="2">
        <f ca="1"/>
        <v>0.56983354210734483</v>
      </c>
      <c r="AH1063" s="2" t="str">
        <f ca="1"/>
        <v>Bad</v>
      </c>
    </row>
    <row r="1064" spans="2:34">
      <c r="B1064" s="2">
        <f ca="1"/>
        <v>0.96202614351559701</v>
      </c>
      <c r="O1064" s="2">
        <f ca="1"/>
        <v>-0.42880400478382291</v>
      </c>
      <c r="X1064" s="2">
        <f ca="1"/>
        <v>45.819447924925576</v>
      </c>
      <c r="AG1064" s="2">
        <f ca="1"/>
        <v>0.99620774337382256</v>
      </c>
      <c r="AH1064" s="2" t="str">
        <f ca="1"/>
        <v>Bad</v>
      </c>
    </row>
    <row r="1065" spans="2:34">
      <c r="B1065" s="2">
        <f ca="1"/>
        <v>0.85693910347595215</v>
      </c>
      <c r="O1065" s="2">
        <f ca="1"/>
        <v>0.50605078067479781</v>
      </c>
      <c r="X1065" s="2">
        <f ca="1"/>
        <v>37.696929807532172</v>
      </c>
      <c r="AG1065" s="2">
        <f ca="1"/>
        <v>0.18653973745702745</v>
      </c>
      <c r="AH1065" s="2" t="str">
        <f ca="1"/>
        <v>OK</v>
      </c>
    </row>
    <row r="1066" spans="2:34">
      <c r="B1066" s="2">
        <f ca="1"/>
        <v>0.90617759633002426</v>
      </c>
      <c r="O1066" s="2">
        <f ca="1"/>
        <v>-1.3411683994465931</v>
      </c>
      <c r="X1066" s="2">
        <f ca="1"/>
        <v>38.623096594396117</v>
      </c>
      <c r="AG1066" s="2">
        <f ca="1"/>
        <v>0.20883340438395082</v>
      </c>
      <c r="AH1066" s="2" t="str">
        <f ca="1"/>
        <v>OK</v>
      </c>
    </row>
    <row r="1067" spans="2:34">
      <c r="B1067" s="2">
        <f ca="1"/>
        <v>0.2761230401273107</v>
      </c>
      <c r="O1067" s="2">
        <f ca="1"/>
        <v>3.969576306087777E-2</v>
      </c>
      <c r="X1067" s="2">
        <f ca="1"/>
        <v>53.290531223325999</v>
      </c>
      <c r="AG1067" s="2">
        <f ca="1"/>
        <v>0.84417985393231887</v>
      </c>
      <c r="AH1067" s="2" t="str">
        <f ca="1"/>
        <v>Bad</v>
      </c>
    </row>
    <row r="1068" spans="2:34">
      <c r="B1068" s="2">
        <f ca="1"/>
        <v>5.9897544414035497E-2</v>
      </c>
      <c r="O1068" s="2">
        <f ca="1"/>
        <v>0.27949676809600049</v>
      </c>
      <c r="X1068" s="2">
        <f ca="1"/>
        <v>48.007416130685328</v>
      </c>
      <c r="AG1068" s="2">
        <f ca="1"/>
        <v>0.43362832655669048</v>
      </c>
      <c r="AH1068" s="2" t="str">
        <f ca="1"/>
        <v>Bad</v>
      </c>
    </row>
    <row r="1069" spans="2:34">
      <c r="B1069" s="2">
        <f ca="1"/>
        <v>0.75447624990227169</v>
      </c>
      <c r="O1069" s="2">
        <f ca="1"/>
        <v>-2.9106879631686126E-2</v>
      </c>
      <c r="X1069" s="2">
        <f ca="1"/>
        <v>36.21921551607582</v>
      </c>
      <c r="AG1069" s="2">
        <f ca="1"/>
        <v>0.34100739559109017</v>
      </c>
      <c r="AH1069" s="2" t="str">
        <f ca="1"/>
        <v>OK</v>
      </c>
    </row>
    <row r="1070" spans="2:34">
      <c r="B1070" s="2">
        <f ca="1"/>
        <v>0.99307373734329629</v>
      </c>
      <c r="O1070" s="2">
        <f ca="1"/>
        <v>-5.5882564471010518E-2</v>
      </c>
      <c r="X1070" s="2">
        <f ca="1"/>
        <v>35.438339230020929</v>
      </c>
      <c r="AG1070" s="2">
        <f ca="1"/>
        <v>0.12752074033793659</v>
      </c>
      <c r="AH1070" s="2" t="str">
        <f ca="1"/>
        <v>OK</v>
      </c>
    </row>
    <row r="1071" spans="2:34">
      <c r="B1071" s="2">
        <f ca="1"/>
        <v>0.60462463199295624</v>
      </c>
      <c r="O1071" s="2">
        <f ca="1"/>
        <v>1.3207188871685887</v>
      </c>
      <c r="X1071" s="2">
        <f ca="1"/>
        <v>41.476694421543066</v>
      </c>
      <c r="AG1071" s="2">
        <f ca="1"/>
        <v>0.76340811621688087</v>
      </c>
      <c r="AH1071" s="2" t="str">
        <f ca="1"/>
        <v>Bad</v>
      </c>
    </row>
    <row r="1072" spans="2:34">
      <c r="B1072" s="2">
        <f ca="1"/>
        <v>0.55075703376277008</v>
      </c>
      <c r="O1072" s="2">
        <f ca="1"/>
        <v>-1.0847887081101009</v>
      </c>
      <c r="X1072" s="2">
        <f ca="1"/>
        <v>46.120600187169813</v>
      </c>
      <c r="AG1072" s="2">
        <f ca="1"/>
        <v>9.2347440285158289E-2</v>
      </c>
      <c r="AH1072" s="2" t="str">
        <f ca="1"/>
        <v>OK</v>
      </c>
    </row>
    <row r="1073" spans="2:34">
      <c r="B1073" s="2">
        <f ca="1"/>
        <v>3.5463016537053527E-2</v>
      </c>
      <c r="O1073" s="2">
        <f ca="1"/>
        <v>-0.76825309163075384</v>
      </c>
      <c r="X1073" s="2">
        <f ca="1"/>
        <v>40.816149566877911</v>
      </c>
      <c r="AG1073" s="2">
        <f ca="1"/>
        <v>0.72175794550056782</v>
      </c>
      <c r="AH1073" s="2" t="str">
        <f ca="1"/>
        <v>Bad</v>
      </c>
    </row>
    <row r="1074" spans="2:34">
      <c r="B1074" s="2">
        <f ca="1"/>
        <v>0.81310792644264773</v>
      </c>
      <c r="O1074" s="2">
        <f ca="1"/>
        <v>0.47857018297973136</v>
      </c>
      <c r="X1074" s="2">
        <f ca="1"/>
        <v>80.39951295155943</v>
      </c>
      <c r="AG1074" s="2">
        <f ca="1"/>
        <v>0.44379945924158037</v>
      </c>
      <c r="AH1074" s="2" t="str">
        <f ca="1"/>
        <v>Bad</v>
      </c>
    </row>
    <row r="1075" spans="2:34">
      <c r="B1075" s="2">
        <f ca="1"/>
        <v>0.6315413027497252</v>
      </c>
      <c r="O1075" s="2">
        <f ca="1"/>
        <v>2.463441942962548</v>
      </c>
      <c r="X1075" s="2">
        <f ca="1"/>
        <v>29.80210360610841</v>
      </c>
      <c r="AG1075" s="2">
        <f ca="1"/>
        <v>0.57674599668096405</v>
      </c>
      <c r="AH1075" s="2" t="str">
        <f ca="1"/>
        <v>Bad</v>
      </c>
    </row>
    <row r="1076" spans="2:34">
      <c r="B1076" s="2">
        <f ca="1"/>
        <v>0.49769625307789545</v>
      </c>
      <c r="O1076" s="2">
        <f ca="1"/>
        <v>0.71949175386373587</v>
      </c>
      <c r="X1076" s="2">
        <f ca="1"/>
        <v>44.878952320641162</v>
      </c>
      <c r="AG1076" s="2">
        <f ca="1"/>
        <v>0.10065219956044924</v>
      </c>
      <c r="AH1076" s="2" t="str">
        <f ca="1"/>
        <v>OK</v>
      </c>
    </row>
    <row r="1077" spans="2:34">
      <c r="B1077" s="2">
        <f ca="1"/>
        <v>0.77837717820108243</v>
      </c>
      <c r="O1077" s="2">
        <f ca="1"/>
        <v>0.47624379411812712</v>
      </c>
      <c r="X1077" s="2">
        <f ca="1"/>
        <v>57.57368695709151</v>
      </c>
      <c r="AG1077" s="2">
        <f ca="1"/>
        <v>0.68904700876056624</v>
      </c>
      <c r="AH1077" s="2" t="str">
        <f ca="1"/>
        <v>Bad</v>
      </c>
    </row>
    <row r="1078" spans="2:34">
      <c r="B1078" s="2">
        <f ca="1"/>
        <v>0.87154129645310663</v>
      </c>
      <c r="O1078" s="2">
        <f ca="1"/>
        <v>-0.45369013198560676</v>
      </c>
      <c r="X1078" s="2">
        <f ca="1"/>
        <v>77.694589201577941</v>
      </c>
      <c r="AG1078" s="2">
        <f ca="1"/>
        <v>0.76206178729470397</v>
      </c>
      <c r="AH1078" s="2" t="str">
        <f ca="1"/>
        <v>Bad</v>
      </c>
    </row>
    <row r="1079" spans="2:34">
      <c r="B1079" s="2">
        <f ca="1"/>
        <v>0.16454257410339546</v>
      </c>
      <c r="O1079" s="2">
        <f ca="1"/>
        <v>-0.17416974503174559</v>
      </c>
      <c r="X1079" s="2">
        <f ca="1"/>
        <v>33.830138268318571</v>
      </c>
      <c r="AG1079" s="2">
        <f ca="1"/>
        <v>0.22737750268647527</v>
      </c>
      <c r="AH1079" s="2" t="str">
        <f ca="1"/>
        <v>OK</v>
      </c>
    </row>
    <row r="1080" spans="2:34">
      <c r="B1080" s="2">
        <f ca="1"/>
        <v>9.0465601012079011E-2</v>
      </c>
      <c r="O1080" s="2">
        <f ca="1"/>
        <v>0.40679065996480829</v>
      </c>
      <c r="X1080" s="2">
        <f ca="1"/>
        <v>33.688741931850537</v>
      </c>
      <c r="AG1080" s="2">
        <f ca="1"/>
        <v>3.3507078855448125E-3</v>
      </c>
      <c r="AH1080" s="2" t="str">
        <f ca="1"/>
        <v>Good</v>
      </c>
    </row>
    <row r="1081" spans="2:34">
      <c r="B1081" s="2">
        <f ca="1"/>
        <v>0.36191521524221959</v>
      </c>
      <c r="O1081" s="2">
        <f ca="1"/>
        <v>-1.8310164637578301</v>
      </c>
      <c r="X1081" s="2">
        <f ca="1"/>
        <v>34.650421967319602</v>
      </c>
      <c r="AG1081" s="2">
        <f ca="1"/>
        <v>0.32425971950249344</v>
      </c>
      <c r="AH1081" s="2" t="str">
        <f ca="1"/>
        <v>OK</v>
      </c>
    </row>
    <row r="1082" spans="2:34">
      <c r="B1082" s="2">
        <f ca="1"/>
        <v>0.84062246749426839</v>
      </c>
      <c r="O1082" s="2">
        <f ca="1"/>
        <v>1.9376633993170667</v>
      </c>
      <c r="X1082" s="2">
        <f ca="1"/>
        <v>59.511951100518985</v>
      </c>
      <c r="AG1082" s="2">
        <f ca="1"/>
        <v>0.48039003628695265</v>
      </c>
      <c r="AH1082" s="2" t="str">
        <f ca="1"/>
        <v>Bad</v>
      </c>
    </row>
    <row r="1083" spans="2:34">
      <c r="B1083" s="2">
        <f ca="1"/>
        <v>8.712040823759315E-3</v>
      </c>
      <c r="O1083" s="2">
        <f ca="1"/>
        <v>0.7907878797555935</v>
      </c>
      <c r="X1083" s="2">
        <f ca="1"/>
        <v>44.717208786910192</v>
      </c>
      <c r="AG1083" s="2">
        <f ca="1"/>
        <v>0.19405648721934554</v>
      </c>
      <c r="AH1083" s="2" t="str">
        <f ca="1"/>
        <v>OK</v>
      </c>
    </row>
    <row r="1084" spans="2:34">
      <c r="B1084" s="2">
        <f ca="1"/>
        <v>0.35881632307839606</v>
      </c>
      <c r="O1084" s="2">
        <f ca="1"/>
        <v>2.7078228213289681</v>
      </c>
      <c r="X1084" s="2">
        <f ca="1"/>
        <v>41.837936479867182</v>
      </c>
      <c r="AG1084" s="2">
        <f ca="1"/>
        <v>0.17186501435784485</v>
      </c>
      <c r="AH1084" s="2" t="str">
        <f ca="1"/>
        <v>OK</v>
      </c>
    </row>
    <row r="1085" spans="2:34">
      <c r="B1085" s="2">
        <f ca="1"/>
        <v>0.62655391210306455</v>
      </c>
      <c r="O1085" s="2">
        <f ca="1"/>
        <v>0.53711474677158255</v>
      </c>
      <c r="X1085" s="2">
        <f ca="1"/>
        <v>62.486342537672392</v>
      </c>
      <c r="AG1085" s="2">
        <f ca="1"/>
        <v>0.12868624263615791</v>
      </c>
      <c r="AH1085" s="2" t="str">
        <f ca="1"/>
        <v>OK</v>
      </c>
    </row>
    <row r="1086" spans="2:34">
      <c r="B1086" s="2">
        <f ca="1"/>
        <v>0.15431237147343047</v>
      </c>
      <c r="O1086" s="2">
        <f ca="1"/>
        <v>-2.142255330513398</v>
      </c>
      <c r="X1086" s="2">
        <f ca="1"/>
        <v>44.963126700563677</v>
      </c>
      <c r="AG1086" s="2">
        <f ca="1"/>
        <v>0.22950310707848676</v>
      </c>
      <c r="AH1086" s="2" t="str">
        <f ca="1"/>
        <v>OK</v>
      </c>
    </row>
    <row r="1087" spans="2:34">
      <c r="B1087" s="2">
        <f ca="1"/>
        <v>0.61292516970308708</v>
      </c>
      <c r="O1087" s="2">
        <f ca="1"/>
        <v>1.2046449897889204</v>
      </c>
      <c r="X1087" s="2">
        <f ca="1"/>
        <v>61.538539012659172</v>
      </c>
      <c r="AG1087" s="2">
        <f ca="1"/>
        <v>0.90103248500324651</v>
      </c>
      <c r="AH1087" s="2" t="str">
        <f ca="1"/>
        <v>Bad</v>
      </c>
    </row>
    <row r="1088" spans="2:34">
      <c r="B1088" s="2">
        <f ca="1"/>
        <v>0.29702590895155301</v>
      </c>
      <c r="O1088" s="2">
        <f ca="1"/>
        <v>-0.73599320955139835</v>
      </c>
      <c r="X1088" s="2">
        <f ca="1"/>
        <v>52.973689791653094</v>
      </c>
      <c r="AG1088" s="2">
        <f ca="1"/>
        <v>9.3795823362766484E-2</v>
      </c>
      <c r="AH1088" s="2" t="str">
        <f ca="1"/>
        <v>OK</v>
      </c>
    </row>
    <row r="1089" spans="2:34">
      <c r="B1089" s="2">
        <f ca="1"/>
        <v>0.48252058261593511</v>
      </c>
      <c r="O1089" s="2">
        <f ca="1"/>
        <v>0.23262030437911416</v>
      </c>
      <c r="X1089" s="2">
        <f ca="1"/>
        <v>55.812144580223652</v>
      </c>
      <c r="AG1089" s="2">
        <f ca="1"/>
        <v>0.50843929234146157</v>
      </c>
      <c r="AH1089" s="2" t="str">
        <f ca="1"/>
        <v>Bad</v>
      </c>
    </row>
    <row r="1090" spans="2:34">
      <c r="B1090" s="2">
        <f ca="1"/>
        <v>0.70538081680874676</v>
      </c>
      <c r="O1090" s="2">
        <f ca="1"/>
        <v>-1.2206736272545597</v>
      </c>
      <c r="X1090" s="2">
        <f ca="1"/>
        <v>43.750109786907892</v>
      </c>
      <c r="AG1090" s="2">
        <f ca="1"/>
        <v>0.18894019808101281</v>
      </c>
      <c r="AH1090" s="2" t="str">
        <f ca="1"/>
        <v>OK</v>
      </c>
    </row>
    <row r="1091" spans="2:34">
      <c r="B1091" s="2">
        <f ca="1"/>
        <v>0.28119696472228384</v>
      </c>
      <c r="O1091" s="2">
        <f ca="1"/>
        <v>-5.5239621385314375E-3</v>
      </c>
      <c r="X1091" s="2">
        <f ca="1"/>
        <v>71.970661238273635</v>
      </c>
      <c r="AG1091" s="2">
        <f ca="1"/>
        <v>0.60653027563840167</v>
      </c>
      <c r="AH1091" s="2" t="str">
        <f ca="1"/>
        <v>Bad</v>
      </c>
    </row>
    <row r="1092" spans="2:34">
      <c r="B1092" s="2">
        <f ca="1"/>
        <v>0.97184849802717266</v>
      </c>
      <c r="O1092" s="2">
        <f ca="1"/>
        <v>0.43625575530156191</v>
      </c>
      <c r="X1092" s="2">
        <f ca="1"/>
        <v>72.497530846416993</v>
      </c>
      <c r="AG1092" s="2">
        <f ca="1"/>
        <v>0.84778475039778112</v>
      </c>
      <c r="AH1092" s="2" t="str">
        <f ca="1"/>
        <v>Bad</v>
      </c>
    </row>
    <row r="1093" spans="2:34">
      <c r="B1093" s="2">
        <f ca="1"/>
        <v>0.78439317310424839</v>
      </c>
      <c r="O1093" s="2">
        <f ca="1"/>
        <v>-1.0741148974143925E-3</v>
      </c>
      <c r="X1093" s="2">
        <f ca="1"/>
        <v>44.284468490023585</v>
      </c>
      <c r="AG1093" s="2">
        <f ca="1"/>
        <v>0.69915666937571941</v>
      </c>
      <c r="AH1093" s="2" t="str">
        <f ca="1"/>
        <v>Bad</v>
      </c>
    </row>
    <row r="1094" spans="2:34">
      <c r="B1094" s="2">
        <f ca="1"/>
        <v>0.81431634016378118</v>
      </c>
      <c r="O1094" s="2">
        <f ca="1"/>
        <v>-1.168006332003723E-2</v>
      </c>
      <c r="X1094" s="2">
        <f ca="1"/>
        <v>70.792202465257091</v>
      </c>
      <c r="AG1094" s="2">
        <f ca="1"/>
        <v>7.1898250741196934E-2</v>
      </c>
      <c r="AH1094" s="2" t="str">
        <f ca="1"/>
        <v>OK</v>
      </c>
    </row>
    <row r="1095" spans="2:34">
      <c r="B1095" s="2">
        <f ca="1"/>
        <v>0.45669530450942464</v>
      </c>
      <c r="O1095" s="2">
        <f ca="1"/>
        <v>-1.3913026419719166</v>
      </c>
      <c r="X1095" s="2">
        <f ca="1"/>
        <v>33.273560656850528</v>
      </c>
      <c r="AG1095" s="2">
        <f ca="1"/>
        <v>0.66766948061285714</v>
      </c>
      <c r="AH1095" s="2" t="str">
        <f ca="1"/>
        <v>Bad</v>
      </c>
    </row>
    <row r="1096" spans="2:34">
      <c r="B1096" s="2">
        <f ca="1"/>
        <v>0.60169223222162627</v>
      </c>
      <c r="O1096" s="2">
        <f ca="1"/>
        <v>-1.8495598087334977</v>
      </c>
      <c r="X1096" s="2">
        <f ca="1"/>
        <v>68.354686561407561</v>
      </c>
      <c r="AG1096" s="2">
        <f ca="1"/>
        <v>1.4630709738812975E-2</v>
      </c>
      <c r="AH1096" s="2" t="str">
        <f ca="1"/>
        <v>Good</v>
      </c>
    </row>
    <row r="1097" spans="2:34">
      <c r="B1097" s="2">
        <f ca="1"/>
        <v>0.67995327414093154</v>
      </c>
      <c r="O1097" s="2">
        <f ca="1"/>
        <v>-0.81588611215930917</v>
      </c>
      <c r="X1097" s="2">
        <f ca="1"/>
        <v>25.880273085430957</v>
      </c>
      <c r="AG1097" s="2">
        <f ca="1"/>
        <v>0.23529613555654927</v>
      </c>
      <c r="AH1097" s="2" t="str">
        <f ca="1"/>
        <v>OK</v>
      </c>
    </row>
    <row r="1098" spans="2:34">
      <c r="B1098" s="2">
        <f ca="1"/>
        <v>0.18131921873551815</v>
      </c>
      <c r="O1098" s="2">
        <f ca="1"/>
        <v>-0.5432147210003978</v>
      </c>
      <c r="X1098" s="2">
        <f ca="1"/>
        <v>31.045606411837397</v>
      </c>
      <c r="AG1098" s="2">
        <f ca="1"/>
        <v>0.47930765241934159</v>
      </c>
      <c r="AH1098" s="2" t="str">
        <f ca="1"/>
        <v>Bad</v>
      </c>
    </row>
    <row r="1099" spans="2:34">
      <c r="B1099" s="2">
        <f ca="1"/>
        <v>0.98354570333329194</v>
      </c>
      <c r="O1099" s="2">
        <f ca="1"/>
        <v>-1.4121819259096511</v>
      </c>
      <c r="X1099" s="2">
        <f ca="1"/>
        <v>83.343741412447343</v>
      </c>
      <c r="AG1099" s="2">
        <f ca="1"/>
        <v>0.72424153168003125</v>
      </c>
      <c r="AH1099" s="2" t="str">
        <f ca="1"/>
        <v>Bad</v>
      </c>
    </row>
    <row r="1100" spans="2:34">
      <c r="B1100" s="2">
        <f ca="1"/>
        <v>0.86744313722794919</v>
      </c>
      <c r="O1100" s="2">
        <f ca="1"/>
        <v>-0.12914628440050191</v>
      </c>
      <c r="X1100" s="2">
        <f ca="1"/>
        <v>32.089778285243234</v>
      </c>
      <c r="AG1100" s="2">
        <f ca="1"/>
        <v>0.67537336736928988</v>
      </c>
      <c r="AH1100" s="2" t="str">
        <f ca="1"/>
        <v>Bad</v>
      </c>
    </row>
    <row r="1101" spans="2:34">
      <c r="B1101" s="2">
        <f ca="1"/>
        <v>0.97101922326386547</v>
      </c>
      <c r="O1101" s="2">
        <f ca="1"/>
        <v>-6.9301722881623978E-2</v>
      </c>
      <c r="X1101" s="2">
        <f ca="1"/>
        <v>92.005188860395961</v>
      </c>
      <c r="AG1101" s="2">
        <f ca="1"/>
        <v>0.88683477131783572</v>
      </c>
      <c r="AH1101" s="2" t="str">
        <f ca="1"/>
        <v>Bad</v>
      </c>
    </row>
    <row r="1102" spans="2:34">
      <c r="B1102" s="2">
        <f ca="1"/>
        <v>0.132842729053952</v>
      </c>
      <c r="O1102" s="2">
        <f ca="1"/>
        <v>7.1367210290066735E-2</v>
      </c>
      <c r="X1102" s="2">
        <f ca="1"/>
        <v>30.728297259207764</v>
      </c>
      <c r="AG1102" s="2">
        <f ca="1"/>
        <v>8.7604192675209136E-2</v>
      </c>
      <c r="AH1102" s="2" t="str">
        <f ca="1"/>
        <v>OK</v>
      </c>
    </row>
    <row r="1103" spans="2:34">
      <c r="B1103" s="2">
        <f ca="1"/>
        <v>7.2948304084787807E-2</v>
      </c>
      <c r="O1103" s="2">
        <f ca="1"/>
        <v>0.79021755996753984</v>
      </c>
      <c r="X1103" s="2">
        <f ca="1"/>
        <v>34.061759608353746</v>
      </c>
      <c r="AG1103" s="2">
        <f ca="1"/>
        <v>0.3183484951743496</v>
      </c>
      <c r="AH1103" s="2" t="str">
        <f ca="1"/>
        <v>OK</v>
      </c>
    </row>
    <row r="1104" spans="2:34">
      <c r="B1104" s="2">
        <f ca="1"/>
        <v>0.61025180698772075</v>
      </c>
      <c r="O1104" s="2">
        <f ca="1"/>
        <v>1.1128463210949129</v>
      </c>
      <c r="X1104" s="2">
        <f ca="1"/>
        <v>80.063242773888277</v>
      </c>
      <c r="AG1104" s="2">
        <f ca="1"/>
        <v>0.39310184044760255</v>
      </c>
      <c r="AH1104" s="2" t="str">
        <f ca="1"/>
        <v>OK</v>
      </c>
    </row>
    <row r="1105" spans="2:34">
      <c r="B1105" s="2">
        <f ca="1"/>
        <v>2.2813094771748643E-2</v>
      </c>
      <c r="O1105" s="2">
        <f ca="1"/>
        <v>0.21173953543647819</v>
      </c>
      <c r="X1105" s="2">
        <f ca="1"/>
        <v>51.537081830922034</v>
      </c>
      <c r="AG1105" s="2">
        <f ca="1"/>
        <v>0.23029494074813783</v>
      </c>
      <c r="AH1105" s="2" t="str">
        <f ca="1"/>
        <v>OK</v>
      </c>
    </row>
    <row r="1106" spans="2:34">
      <c r="B1106" s="2">
        <f ca="1"/>
        <v>0.84545565337906026</v>
      </c>
      <c r="O1106" s="2">
        <f ca="1"/>
        <v>-0.55647109765293479</v>
      </c>
      <c r="X1106" s="2">
        <f ca="1"/>
        <v>57.299759479994535</v>
      </c>
      <c r="AG1106" s="2">
        <f ca="1"/>
        <v>0.9597170510640769</v>
      </c>
      <c r="AH1106" s="2" t="str">
        <f ca="1"/>
        <v>Bad</v>
      </c>
    </row>
    <row r="1107" spans="2:34">
      <c r="B1107" s="2">
        <f ca="1"/>
        <v>0.96502802311057345</v>
      </c>
      <c r="O1107" s="2">
        <f ca="1"/>
        <v>0.20485942559578718</v>
      </c>
      <c r="X1107" s="2">
        <f ca="1"/>
        <v>35.111491360757377</v>
      </c>
      <c r="AG1107" s="2">
        <f ca="1"/>
        <v>0.12471089404677516</v>
      </c>
      <c r="AH1107" s="2" t="str">
        <f ca="1"/>
        <v>OK</v>
      </c>
    </row>
    <row r="1108" spans="2:34">
      <c r="B1108" s="2">
        <f ca="1"/>
        <v>0.77618819341617051</v>
      </c>
      <c r="O1108" s="2">
        <f ca="1"/>
        <v>0.3042394860810953</v>
      </c>
      <c r="X1108" s="2">
        <f ca="1"/>
        <v>61.01555785587302</v>
      </c>
      <c r="AG1108" s="2">
        <f ca="1"/>
        <v>0.38641049332780142</v>
      </c>
      <c r="AH1108" s="2" t="str">
        <f ca="1"/>
        <v>OK</v>
      </c>
    </row>
    <row r="1109" spans="2:34">
      <c r="B1109" s="2">
        <f ca="1"/>
        <v>0.99813458971408853</v>
      </c>
      <c r="O1109" s="2">
        <f ca="1"/>
        <v>1.7079048098304677</v>
      </c>
      <c r="X1109" s="2">
        <f ca="1"/>
        <v>29.795649850727827</v>
      </c>
      <c r="AG1109" s="2">
        <f ca="1"/>
        <v>0.72472606805517281</v>
      </c>
      <c r="AH1109" s="2" t="str">
        <f ca="1"/>
        <v>Bad</v>
      </c>
    </row>
    <row r="1110" spans="2:34">
      <c r="B1110" s="2">
        <f ca="1"/>
        <v>0.47739424972834765</v>
      </c>
      <c r="O1110" s="2">
        <f ca="1"/>
        <v>0.9651984660209707</v>
      </c>
      <c r="X1110" s="2">
        <f ca="1"/>
        <v>53.867353793121644</v>
      </c>
      <c r="AG1110" s="2">
        <f ca="1"/>
        <v>0.71938515858731233</v>
      </c>
      <c r="AH1110" s="2" t="str">
        <f ca="1"/>
        <v>Bad</v>
      </c>
    </row>
    <row r="1111" spans="2:34">
      <c r="B1111" s="2">
        <f ca="1"/>
        <v>4.5260837871452075E-2</v>
      </c>
      <c r="O1111" s="2">
        <f ca="1"/>
        <v>-1.0522356267084547</v>
      </c>
      <c r="X1111" s="2">
        <f ca="1"/>
        <v>88.812803145900787</v>
      </c>
      <c r="AG1111" s="2">
        <f ca="1"/>
        <v>0.77965170411858065</v>
      </c>
      <c r="AH1111" s="2" t="str">
        <f ca="1"/>
        <v>Bad</v>
      </c>
    </row>
    <row r="1112" spans="2:34">
      <c r="B1112" s="2">
        <f ca="1"/>
        <v>0.51152925081315104</v>
      </c>
      <c r="O1112" s="2">
        <f ca="1"/>
        <v>0.70225467524619367</v>
      </c>
      <c r="X1112" s="2">
        <f ca="1"/>
        <v>37.039123217833556</v>
      </c>
      <c r="AG1112" s="2">
        <f ca="1"/>
        <v>0.13659268450167139</v>
      </c>
      <c r="AH1112" s="2" t="str">
        <f ca="1"/>
        <v>OK</v>
      </c>
    </row>
    <row r="1113" spans="2:34">
      <c r="B1113" s="2">
        <f ca="1"/>
        <v>0.60887863564412625</v>
      </c>
      <c r="O1113" s="2">
        <f ca="1"/>
        <v>-0.51592840840203258</v>
      </c>
      <c r="X1113" s="2">
        <f ca="1"/>
        <v>45.494112264112651</v>
      </c>
      <c r="AG1113" s="2">
        <f ca="1"/>
        <v>0.72553557686869818</v>
      </c>
      <c r="AH1113" s="2" t="str">
        <f ca="1"/>
        <v>Bad</v>
      </c>
    </row>
    <row r="1114" spans="2:34">
      <c r="B1114" s="2">
        <f ca="1"/>
        <v>0.754019453603618</v>
      </c>
      <c r="O1114" s="2">
        <f ca="1"/>
        <v>0.69134495237200799</v>
      </c>
      <c r="X1114" s="2">
        <f ca="1"/>
        <v>50.558571448843679</v>
      </c>
      <c r="AG1114" s="2">
        <f ca="1"/>
        <v>0.26562652348089055</v>
      </c>
      <c r="AH1114" s="2" t="str">
        <f ca="1"/>
        <v>OK</v>
      </c>
    </row>
    <row r="1115" spans="2:34">
      <c r="B1115" s="2">
        <f ca="1"/>
        <v>0.29641046872297183</v>
      </c>
      <c r="O1115" s="2">
        <f ca="1"/>
        <v>1.0977708501420131</v>
      </c>
      <c r="X1115" s="2">
        <f ca="1"/>
        <v>46.112005995137729</v>
      </c>
      <c r="AG1115" s="2">
        <f ca="1"/>
        <v>0.82975331157664733</v>
      </c>
      <c r="AH1115" s="2" t="str">
        <f ca="1"/>
        <v>Bad</v>
      </c>
    </row>
    <row r="1116" spans="2:34">
      <c r="B1116" s="2">
        <f ca="1"/>
        <v>0.44285203432448217</v>
      </c>
      <c r="O1116" s="2">
        <f ca="1"/>
        <v>0.17998397934723401</v>
      </c>
      <c r="X1116" s="2">
        <f ca="1"/>
        <v>16.804664122511767</v>
      </c>
      <c r="AG1116" s="2">
        <f ca="1"/>
        <v>0.81867742459548265</v>
      </c>
      <c r="AH1116" s="2" t="str">
        <f ca="1"/>
        <v>Bad</v>
      </c>
    </row>
    <row r="1117" spans="2:34">
      <c r="B1117" s="2">
        <f ca="1"/>
        <v>0.31704012495827816</v>
      </c>
      <c r="O1117" s="2">
        <f ca="1"/>
        <v>0.92668071122337803</v>
      </c>
      <c r="X1117" s="2">
        <f ca="1"/>
        <v>87.859664555575279</v>
      </c>
      <c r="AG1117" s="2">
        <f ca="1"/>
        <v>0.68957447422138496</v>
      </c>
      <c r="AH1117" s="2" t="str">
        <f ca="1"/>
        <v>Bad</v>
      </c>
    </row>
    <row r="1118" spans="2:34">
      <c r="B1118" s="2">
        <f ca="1"/>
        <v>0.16719398614940295</v>
      </c>
      <c r="O1118" s="2">
        <f ca="1"/>
        <v>-0.74282191957173138</v>
      </c>
      <c r="X1118" s="2">
        <f ca="1"/>
        <v>62.582938256555487</v>
      </c>
      <c r="AG1118" s="2">
        <f ca="1"/>
        <v>0.18965313486177049</v>
      </c>
      <c r="AH1118" s="2" t="str">
        <f ca="1"/>
        <v>OK</v>
      </c>
    </row>
    <row r="1119" spans="2:34">
      <c r="B1119" s="2">
        <f ca="1"/>
        <v>0.28084019916185876</v>
      </c>
      <c r="O1119" s="2">
        <f ca="1"/>
        <v>0.73762532635126676</v>
      </c>
      <c r="X1119" s="2">
        <f ca="1"/>
        <v>46.585055439108274</v>
      </c>
      <c r="AG1119" s="2">
        <f ca="1"/>
        <v>0.10440927435188052</v>
      </c>
      <c r="AH1119" s="2" t="str">
        <f ca="1"/>
        <v>OK</v>
      </c>
    </row>
    <row r="1120" spans="2:34">
      <c r="B1120" s="2">
        <f ca="1"/>
        <v>0.21244093210733683</v>
      </c>
      <c r="O1120" s="2">
        <f ca="1"/>
        <v>0.2342266855870144</v>
      </c>
      <c r="X1120" s="2">
        <f ca="1"/>
        <v>36.085223780797492</v>
      </c>
      <c r="AG1120" s="2">
        <f ca="1"/>
        <v>0.96313355099423004</v>
      </c>
      <c r="AH1120" s="2" t="str">
        <f ca="1"/>
        <v>Bad</v>
      </c>
    </row>
    <row r="1121" spans="2:34">
      <c r="B1121" s="2">
        <f ca="1"/>
        <v>4.9579448564519346E-2</v>
      </c>
      <c r="O1121" s="2">
        <f ca="1"/>
        <v>1.3188248564813545</v>
      </c>
      <c r="X1121" s="2">
        <f ca="1"/>
        <v>67.32701606005152</v>
      </c>
      <c r="AG1121" s="2">
        <f ca="1"/>
        <v>0.35165065627897718</v>
      </c>
      <c r="AH1121" s="2" t="str">
        <f ca="1"/>
        <v>OK</v>
      </c>
    </row>
    <row r="1122" spans="2:34">
      <c r="B1122" s="2">
        <f ca="1"/>
        <v>0.26805310470230737</v>
      </c>
      <c r="O1122" s="2">
        <f ca="1"/>
        <v>-0.15482766723763375</v>
      </c>
      <c r="X1122" s="2">
        <f ca="1"/>
        <v>60.571283650055179</v>
      </c>
      <c r="AG1122" s="2">
        <f ca="1"/>
        <v>0.54161324655577592</v>
      </c>
      <c r="AH1122" s="2" t="str">
        <f ca="1"/>
        <v>Bad</v>
      </c>
    </row>
    <row r="1123" spans="2:34">
      <c r="B1123" s="2">
        <f ca="1"/>
        <v>0.44121841590460975</v>
      </c>
      <c r="O1123" s="2">
        <f ca="1"/>
        <v>1.3105646280460359</v>
      </c>
      <c r="X1123" s="2">
        <f ca="1"/>
        <v>28.090647496135205</v>
      </c>
      <c r="AG1123" s="2">
        <f ca="1"/>
        <v>0.27309255438078339</v>
      </c>
      <c r="AH1123" s="2" t="str">
        <f ca="1"/>
        <v>OK</v>
      </c>
    </row>
    <row r="1124" spans="2:34">
      <c r="B1124" s="2">
        <f ca="1"/>
        <v>0.32158656871903291</v>
      </c>
      <c r="O1124" s="2">
        <f ca="1"/>
        <v>1.0913095764786218</v>
      </c>
      <c r="X1124" s="2">
        <f ca="1"/>
        <v>30.193698136182419</v>
      </c>
      <c r="AG1124" s="2">
        <f ca="1"/>
        <v>0.27442318726808401</v>
      </c>
      <c r="AH1124" s="2" t="str">
        <f ca="1"/>
        <v>OK</v>
      </c>
    </row>
    <row r="1125" spans="2:34">
      <c r="B1125" s="2">
        <f ca="1"/>
        <v>0.30449340072812792</v>
      </c>
      <c r="O1125" s="2">
        <f ca="1"/>
        <v>1.8994968290120842</v>
      </c>
      <c r="X1125" s="2">
        <f ca="1"/>
        <v>55.578315458222953</v>
      </c>
      <c r="AG1125" s="2">
        <f ca="1"/>
        <v>0.10034089980407823</v>
      </c>
      <c r="AH1125" s="2" t="str">
        <f ca="1"/>
        <v>OK</v>
      </c>
    </row>
    <row r="1126" spans="2:34">
      <c r="B1126" s="2">
        <f ca="1"/>
        <v>0.14843319490680051</v>
      </c>
      <c r="O1126" s="2">
        <f ca="1"/>
        <v>-0.24359872547663447</v>
      </c>
      <c r="X1126" s="2">
        <f ca="1"/>
        <v>36.393210560048857</v>
      </c>
      <c r="AG1126" s="2">
        <f ca="1"/>
        <v>0.95170609375739068</v>
      </c>
      <c r="AH1126" s="2" t="str">
        <f ca="1"/>
        <v>Bad</v>
      </c>
    </row>
    <row r="1127" spans="2:34">
      <c r="B1127" s="2">
        <f ca="1"/>
        <v>0.11118516868955153</v>
      </c>
      <c r="O1127" s="2">
        <f ca="1"/>
        <v>0.51477448712228202</v>
      </c>
      <c r="X1127" s="2">
        <f ca="1"/>
        <v>39.4482664384781</v>
      </c>
      <c r="AG1127" s="2">
        <f ca="1"/>
        <v>0.97542513710005663</v>
      </c>
      <c r="AH1127" s="2" t="str">
        <f ca="1"/>
        <v>Bad</v>
      </c>
    </row>
    <row r="1128" spans="2:34">
      <c r="B1128" s="2">
        <f ca="1"/>
        <v>0.19558402166178301</v>
      </c>
      <c r="O1128" s="2">
        <f ca="1"/>
        <v>-0.34236600985177895</v>
      </c>
      <c r="X1128" s="2">
        <f ca="1"/>
        <v>40.669081444095205</v>
      </c>
      <c r="AG1128" s="2">
        <f ca="1"/>
        <v>0.56028325080409602</v>
      </c>
      <c r="AH1128" s="2" t="str">
        <f ca="1"/>
        <v>Bad</v>
      </c>
    </row>
    <row r="1129" spans="2:34">
      <c r="B1129" s="2">
        <f ca="1"/>
        <v>0.61468406807699494</v>
      </c>
      <c r="O1129" s="2">
        <f ca="1"/>
        <v>1.3215044385914698</v>
      </c>
      <c r="X1129" s="2">
        <f ca="1"/>
        <v>38.522611214078438</v>
      </c>
      <c r="AG1129" s="2">
        <f ca="1"/>
        <v>0.17197742386797121</v>
      </c>
      <c r="AH1129" s="2" t="str">
        <f ca="1"/>
        <v>OK</v>
      </c>
    </row>
    <row r="1130" spans="2:34">
      <c r="B1130" s="2">
        <f ca="1"/>
        <v>0.52616476839771043</v>
      </c>
      <c r="O1130" s="2">
        <f ca="1"/>
        <v>-0.82516506714423199</v>
      </c>
      <c r="X1130" s="2">
        <f ca="1"/>
        <v>30.482327195815099</v>
      </c>
      <c r="AG1130" s="2">
        <f ca="1"/>
        <v>0.98891305566606524</v>
      </c>
      <c r="AH1130" s="2" t="str">
        <f ca="1"/>
        <v>Bad</v>
      </c>
    </row>
    <row r="1131" spans="2:34">
      <c r="B1131" s="2">
        <f ca="1"/>
        <v>0.37483038183193429</v>
      </c>
      <c r="O1131" s="2">
        <f ca="1"/>
        <v>-0.95525001897160577</v>
      </c>
      <c r="X1131" s="2">
        <f ca="1"/>
        <v>55.889535328002246</v>
      </c>
      <c r="AG1131" s="2">
        <f ca="1"/>
        <v>0.498928712049312</v>
      </c>
      <c r="AH1131" s="2" t="str">
        <f ca="1"/>
        <v>Bad</v>
      </c>
    </row>
    <row r="1132" spans="2:34">
      <c r="B1132" s="2">
        <f ca="1"/>
        <v>0.45291238306500903</v>
      </c>
      <c r="O1132" s="2">
        <f ca="1"/>
        <v>0.24201463512358382</v>
      </c>
      <c r="X1132" s="2">
        <f ca="1"/>
        <v>49.578274067881374</v>
      </c>
      <c r="AG1132" s="2">
        <f ca="1"/>
        <v>0.79658957766176153</v>
      </c>
      <c r="AH1132" s="2" t="str">
        <f ca="1"/>
        <v>Bad</v>
      </c>
    </row>
    <row r="1133" spans="2:34">
      <c r="B1133" s="2">
        <f ca="1"/>
        <v>5.5649075244892376E-2</v>
      </c>
      <c r="O1133" s="2">
        <f ca="1"/>
        <v>-0.37688201750077316</v>
      </c>
      <c r="X1133" s="2">
        <f ca="1"/>
        <v>46.848674941826872</v>
      </c>
      <c r="AG1133" s="2">
        <f ca="1"/>
        <v>0.21626055188473048</v>
      </c>
      <c r="AH1133" s="2" t="str">
        <f ca="1"/>
        <v>OK</v>
      </c>
    </row>
    <row r="1134" spans="2:34">
      <c r="B1134" s="2">
        <f ca="1"/>
        <v>0.62458565459720616</v>
      </c>
      <c r="O1134" s="2">
        <f ca="1"/>
        <v>-0.28700806084075747</v>
      </c>
      <c r="X1134" s="2">
        <f ca="1"/>
        <v>67.289997899838426</v>
      </c>
      <c r="AG1134" s="2">
        <f ca="1"/>
        <v>0.26913773493655868</v>
      </c>
      <c r="AH1134" s="2" t="str">
        <f ca="1"/>
        <v>OK</v>
      </c>
    </row>
    <row r="1135" spans="2:34">
      <c r="B1135" s="2">
        <f ca="1"/>
        <v>0.67461422548845262</v>
      </c>
      <c r="O1135" s="2">
        <f ca="1"/>
        <v>-0.85935966888505022</v>
      </c>
      <c r="X1135" s="2">
        <f ca="1"/>
        <v>72.162466959746638</v>
      </c>
      <c r="AG1135" s="2">
        <f ca="1"/>
        <v>0.26822017172084989</v>
      </c>
      <c r="AH1135" s="2" t="str">
        <f ca="1"/>
        <v>OK</v>
      </c>
    </row>
    <row r="1136" spans="2:34">
      <c r="B1136" s="2">
        <f ca="1"/>
        <v>0.11784273330430439</v>
      </c>
      <c r="O1136" s="2">
        <f ca="1"/>
        <v>-0.64330543566300669</v>
      </c>
      <c r="X1136" s="2">
        <f ca="1"/>
        <v>41.599444933990775</v>
      </c>
      <c r="AG1136" s="2">
        <f ca="1"/>
        <v>0.16488785891950775</v>
      </c>
      <c r="AH1136" s="2" t="str">
        <f ca="1"/>
        <v>OK</v>
      </c>
    </row>
    <row r="1137" spans="2:34">
      <c r="B1137" s="2">
        <f ca="1"/>
        <v>0.53039488807987634</v>
      </c>
      <c r="O1137" s="2">
        <f ca="1"/>
        <v>-7.2340306211248984E-2</v>
      </c>
      <c r="X1137" s="2">
        <f ca="1"/>
        <v>32.571962198883028</v>
      </c>
      <c r="AG1137" s="2">
        <f ca="1"/>
        <v>0.19653887480543153</v>
      </c>
      <c r="AH1137" s="2" t="str">
        <f ca="1"/>
        <v>OK</v>
      </c>
    </row>
    <row r="1138" spans="2:34">
      <c r="B1138" s="2">
        <f ca="1"/>
        <v>0.96353551772739499</v>
      </c>
      <c r="O1138" s="2">
        <f ca="1"/>
        <v>1.2431728328005174</v>
      </c>
      <c r="X1138" s="2">
        <f ca="1"/>
        <v>40.877100420671084</v>
      </c>
      <c r="AG1138" s="2">
        <f ca="1"/>
        <v>0.22236709628493068</v>
      </c>
      <c r="AH1138" s="2" t="str">
        <f ca="1"/>
        <v>OK</v>
      </c>
    </row>
    <row r="1139" spans="2:34">
      <c r="B1139" s="2">
        <f ca="1"/>
        <v>0.76451523345897532</v>
      </c>
      <c r="O1139" s="2">
        <f ca="1"/>
        <v>0.44366532117547719</v>
      </c>
      <c r="X1139" s="2">
        <f ca="1"/>
        <v>28.786504309429468</v>
      </c>
      <c r="AG1139" s="2">
        <f ca="1"/>
        <v>0.95509296474882599</v>
      </c>
      <c r="AH1139" s="2" t="str">
        <f ca="1"/>
        <v>Bad</v>
      </c>
    </row>
    <row r="1140" spans="2:34">
      <c r="B1140" s="2">
        <f ca="1"/>
        <v>7.6484388387747293E-2</v>
      </c>
      <c r="O1140" s="2">
        <f ca="1"/>
        <v>-2.0662310936302397</v>
      </c>
      <c r="X1140" s="2">
        <f ca="1"/>
        <v>57.07015324868145</v>
      </c>
      <c r="AG1140" s="2">
        <f ca="1"/>
        <v>0.47413195511270034</v>
      </c>
      <c r="AH1140" s="2" t="str">
        <f ca="1"/>
        <v>Bad</v>
      </c>
    </row>
    <row r="1141" spans="2:34">
      <c r="B1141" s="2">
        <f ca="1"/>
        <v>0.16214406807414039</v>
      </c>
      <c r="O1141" s="2">
        <f ca="1"/>
        <v>0.50607546991912056</v>
      </c>
      <c r="X1141" s="2">
        <f ca="1"/>
        <v>71.499358126960772</v>
      </c>
      <c r="AG1141" s="2">
        <f ca="1"/>
        <v>0.98679038972130417</v>
      </c>
      <c r="AH1141" s="2" t="str">
        <f ca="1"/>
        <v>Bad</v>
      </c>
    </row>
    <row r="1142" spans="2:34">
      <c r="B1142" s="2">
        <f ca="1"/>
        <v>0.4759560273909933</v>
      </c>
      <c r="O1142" s="2">
        <f ca="1"/>
        <v>-1.4917557793320804</v>
      </c>
      <c r="X1142" s="2">
        <f ca="1"/>
        <v>42.251381391632691</v>
      </c>
      <c r="AG1142" s="2">
        <f ca="1"/>
        <v>0.53725681911040168</v>
      </c>
      <c r="AH1142" s="2" t="str">
        <f ca="1"/>
        <v>Bad</v>
      </c>
    </row>
    <row r="1143" spans="2:34">
      <c r="B1143" s="2">
        <f ca="1"/>
        <v>8.7041374186002329E-2</v>
      </c>
      <c r="O1143" s="2">
        <f ca="1"/>
        <v>0.30384474670157635</v>
      </c>
      <c r="X1143" s="2">
        <f ca="1"/>
        <v>70.726061205699978</v>
      </c>
      <c r="AG1143" s="2">
        <f ca="1"/>
        <v>0.3007590123659416</v>
      </c>
      <c r="AH1143" s="2" t="str">
        <f ca="1"/>
        <v>OK</v>
      </c>
    </row>
    <row r="1144" spans="2:34">
      <c r="B1144" s="2">
        <f ca="1"/>
        <v>0.28795438294622322</v>
      </c>
      <c r="O1144" s="2">
        <f ca="1"/>
        <v>0.86530589977280725</v>
      </c>
      <c r="X1144" s="2">
        <f ca="1"/>
        <v>45.682408316852019</v>
      </c>
      <c r="AG1144" s="2">
        <f ca="1"/>
        <v>0.91461560970051048</v>
      </c>
      <c r="AH1144" s="2" t="str">
        <f ca="1"/>
        <v>Bad</v>
      </c>
    </row>
    <row r="1145" spans="2:34">
      <c r="B1145" s="2">
        <f ca="1"/>
        <v>0.71386185670860058</v>
      </c>
      <c r="O1145" s="2">
        <f ca="1"/>
        <v>-1.2474154609090709</v>
      </c>
      <c r="X1145" s="2">
        <f ca="1"/>
        <v>34.482480323937246</v>
      </c>
      <c r="AG1145" s="2">
        <f ca="1"/>
        <v>0.39216401534847423</v>
      </c>
      <c r="AH1145" s="2" t="str">
        <f ca="1"/>
        <v>OK</v>
      </c>
    </row>
    <row r="1146" spans="2:34">
      <c r="B1146" s="2">
        <f ca="1"/>
        <v>5.2320397589525003E-2</v>
      </c>
      <c r="O1146" s="2">
        <f ca="1"/>
        <v>-5.3047394735711316E-2</v>
      </c>
      <c r="X1146" s="2">
        <f ca="1"/>
        <v>25.170404053760123</v>
      </c>
      <c r="AG1146" s="2">
        <f ca="1"/>
        <v>0.66818342983962697</v>
      </c>
      <c r="AH1146" s="2" t="str">
        <f ca="1"/>
        <v>Bad</v>
      </c>
    </row>
    <row r="1147" spans="2:34">
      <c r="B1147" s="2">
        <f ca="1"/>
        <v>0.98900325440007508</v>
      </c>
      <c r="O1147" s="2">
        <f ca="1"/>
        <v>-0.3324978466064118</v>
      </c>
      <c r="X1147" s="2">
        <f ca="1"/>
        <v>55.339259537007372</v>
      </c>
      <c r="AG1147" s="2">
        <f ca="1"/>
        <v>0.75144143688193976</v>
      </c>
      <c r="AH1147" s="2" t="str">
        <f ca="1"/>
        <v>Bad</v>
      </c>
    </row>
    <row r="1148" spans="2:34">
      <c r="B1148" s="2">
        <f ca="1"/>
        <v>0.11388044196468372</v>
      </c>
      <c r="O1148" s="2">
        <f ca="1"/>
        <v>0.38353131263413204</v>
      </c>
      <c r="X1148" s="2">
        <f ca="1"/>
        <v>57.600764100995804</v>
      </c>
      <c r="AG1148" s="2">
        <f ca="1"/>
        <v>0.67916096881547183</v>
      </c>
      <c r="AH1148" s="2" t="str">
        <f ca="1"/>
        <v>Bad</v>
      </c>
    </row>
    <row r="1149" spans="2:34">
      <c r="B1149" s="2">
        <f ca="1"/>
        <v>0.54807669841644802</v>
      </c>
      <c r="O1149" s="2">
        <f ca="1"/>
        <v>0.44178506272835733</v>
      </c>
      <c r="X1149" s="2">
        <f ca="1"/>
        <v>70.146666635470112</v>
      </c>
      <c r="AG1149" s="2">
        <f ca="1"/>
        <v>0.40997325755450542</v>
      </c>
      <c r="AH1149" s="2" t="str">
        <f ca="1"/>
        <v>Bad</v>
      </c>
    </row>
    <row r="1150" spans="2:34">
      <c r="B1150" s="2">
        <f ca="1"/>
        <v>0.98749048288136154</v>
      </c>
      <c r="O1150" s="2">
        <f ca="1"/>
        <v>0.93061921255773861</v>
      </c>
      <c r="X1150" s="2">
        <f ca="1"/>
        <v>38.404680345840973</v>
      </c>
      <c r="AG1150" s="2">
        <f ca="1"/>
        <v>0.19858914643450465</v>
      </c>
      <c r="AH1150" s="2" t="str">
        <f ca="1"/>
        <v>OK</v>
      </c>
    </row>
    <row r="1151" spans="2:34">
      <c r="B1151" s="2">
        <f ca="1"/>
        <v>0.81287915034424385</v>
      </c>
      <c r="O1151" s="2">
        <f ca="1"/>
        <v>9.0931872120035249E-3</v>
      </c>
      <c r="X1151" s="2">
        <f ca="1"/>
        <v>31.055240276345273</v>
      </c>
      <c r="AG1151" s="2">
        <f ca="1"/>
        <v>6.1665016372635995E-2</v>
      </c>
      <c r="AH1151" s="2" t="str">
        <f ca="1"/>
        <v>OK</v>
      </c>
    </row>
    <row r="1152" spans="2:34">
      <c r="B1152" s="2">
        <f ca="1"/>
        <v>0.30579383633625912</v>
      </c>
      <c r="O1152" s="2">
        <f ca="1"/>
        <v>-0.33676888722512538</v>
      </c>
      <c r="X1152" s="2">
        <f ca="1"/>
        <v>37.15795776072315</v>
      </c>
      <c r="AG1152" s="2">
        <f ca="1"/>
        <v>0.60208775106671131</v>
      </c>
      <c r="AH1152" s="2" t="str">
        <f ca="1"/>
        <v>Bad</v>
      </c>
    </row>
    <row r="1153" spans="2:34">
      <c r="B1153" s="2">
        <f ca="1"/>
        <v>0.3461484588116519</v>
      </c>
      <c r="O1153" s="2">
        <f ca="1"/>
        <v>6.7011858120236481E-2</v>
      </c>
      <c r="X1153" s="2">
        <f ca="1"/>
        <v>70.476750537338646</v>
      </c>
      <c r="AG1153" s="2">
        <f ca="1"/>
        <v>4.8227545322661047E-2</v>
      </c>
      <c r="AH1153" s="2" t="str">
        <f ca="1"/>
        <v>Good</v>
      </c>
    </row>
    <row r="1154" spans="2:34">
      <c r="B1154" s="2">
        <f ca="1"/>
        <v>0.95844207655795355</v>
      </c>
      <c r="O1154" s="2">
        <f ca="1"/>
        <v>0.77958128988409747</v>
      </c>
      <c r="X1154" s="2">
        <f ca="1"/>
        <v>61.010450143632355</v>
      </c>
      <c r="AG1154" s="2">
        <f ca="1"/>
        <v>0.83072065329688627</v>
      </c>
      <c r="AH1154" s="2" t="str">
        <f ca="1"/>
        <v>Bad</v>
      </c>
    </row>
    <row r="1155" spans="2:34">
      <c r="B1155" s="2">
        <f ca="1"/>
        <v>0.84825372940508781</v>
      </c>
      <c r="O1155" s="2">
        <f ca="1"/>
        <v>-1.9209488283677871</v>
      </c>
      <c r="X1155" s="2">
        <f ca="1"/>
        <v>63.838233272524775</v>
      </c>
      <c r="AG1155" s="2">
        <f ca="1"/>
        <v>0.67660227029766085</v>
      </c>
      <c r="AH1155" s="2" t="str">
        <f ca="1"/>
        <v>Bad</v>
      </c>
    </row>
    <row r="1156" spans="2:34">
      <c r="B1156" s="2">
        <f ca="1"/>
        <v>0.52704607927072522</v>
      </c>
      <c r="O1156" s="2">
        <f ca="1"/>
        <v>-0.84941630035145166</v>
      </c>
      <c r="X1156" s="2">
        <f ca="1"/>
        <v>37.499060923032481</v>
      </c>
      <c r="AG1156" s="2">
        <f ca="1"/>
        <v>9.1447405621640332E-2</v>
      </c>
      <c r="AH1156" s="2" t="str">
        <f ca="1"/>
        <v>OK</v>
      </c>
    </row>
    <row r="1157" spans="2:34">
      <c r="B1157" s="2">
        <f ca="1"/>
        <v>0.22077312305207153</v>
      </c>
      <c r="O1157" s="2">
        <f ca="1"/>
        <v>-0.62659174697933573</v>
      </c>
      <c r="X1157" s="2">
        <f ca="1"/>
        <v>37.228324620480755</v>
      </c>
      <c r="AG1157" s="2">
        <f ca="1"/>
        <v>0.1448200981531782</v>
      </c>
      <c r="AH1157" s="2" t="str">
        <f ca="1"/>
        <v>OK</v>
      </c>
    </row>
    <row r="1158" spans="2:34">
      <c r="B1158" s="2">
        <f ca="1"/>
        <v>2.4715427978470927E-2</v>
      </c>
      <c r="O1158" s="2">
        <f ca="1"/>
        <v>0.86041246352856593</v>
      </c>
      <c r="X1158" s="2">
        <f ca="1"/>
        <v>49.384584289370395</v>
      </c>
      <c r="AG1158" s="2">
        <f ca="1"/>
        <v>0.83347210796598281</v>
      </c>
      <c r="AH1158" s="2" t="str">
        <f ca="1"/>
        <v>Bad</v>
      </c>
    </row>
    <row r="1159" spans="2:34">
      <c r="B1159" s="2">
        <f ca="1"/>
        <v>0.44164351821379189</v>
      </c>
      <c r="O1159" s="2">
        <f ca="1"/>
        <v>-1.3070979199613826</v>
      </c>
      <c r="X1159" s="2">
        <f ca="1"/>
        <v>59.615579575721128</v>
      </c>
      <c r="AG1159" s="2">
        <f ca="1"/>
        <v>0.61487887111928252</v>
      </c>
      <c r="AH1159" s="2" t="str">
        <f ca="1"/>
        <v>Bad</v>
      </c>
    </row>
    <row r="1160" spans="2:34">
      <c r="B1160" s="2">
        <f ca="1"/>
        <v>0.46357166291673679</v>
      </c>
      <c r="O1160" s="2">
        <f ca="1"/>
        <v>-0.19729259480571462</v>
      </c>
      <c r="X1160" s="2">
        <f ca="1"/>
        <v>43.881253177287263</v>
      </c>
      <c r="AG1160" s="2">
        <f ca="1"/>
        <v>0.5440473680832687</v>
      </c>
      <c r="AH1160" s="2" t="str">
        <f ca="1"/>
        <v>Bad</v>
      </c>
    </row>
    <row r="1161" spans="2:34">
      <c r="B1161" s="2">
        <f ca="1"/>
        <v>0.69996847111026805</v>
      </c>
      <c r="O1161" s="2">
        <f ca="1"/>
        <v>1.3877364100967817</v>
      </c>
      <c r="X1161" s="2">
        <f ca="1"/>
        <v>30.14861197284462</v>
      </c>
      <c r="AG1161" s="2">
        <f ca="1"/>
        <v>0.43236297755999131</v>
      </c>
      <c r="AH1161" s="2" t="str">
        <f ca="1"/>
        <v>Bad</v>
      </c>
    </row>
    <row r="1162" spans="2:34">
      <c r="B1162" s="2">
        <f ca="1"/>
        <v>0.13205579399187584</v>
      </c>
      <c r="O1162" s="2">
        <f ca="1"/>
        <v>1.4391184316500065</v>
      </c>
      <c r="X1162" s="2">
        <f ca="1"/>
        <v>44.800131339236458</v>
      </c>
      <c r="AG1162" s="2">
        <f ca="1"/>
        <v>2.7789568528136188E-2</v>
      </c>
      <c r="AH1162" s="2" t="str">
        <f ca="1"/>
        <v>Good</v>
      </c>
    </row>
    <row r="1163" spans="2:34">
      <c r="B1163" s="2">
        <f ca="1"/>
        <v>0.22562109545484876</v>
      </c>
      <c r="O1163" s="2">
        <f ca="1"/>
        <v>-0.33375673450182758</v>
      </c>
      <c r="X1163" s="2">
        <f ca="1"/>
        <v>51.323979735593078</v>
      </c>
      <c r="AG1163" s="2">
        <f ca="1"/>
        <v>0.2406590800507058</v>
      </c>
      <c r="AH1163" s="2" t="str">
        <f ca="1"/>
        <v>OK</v>
      </c>
    </row>
    <row r="1164" spans="2:34">
      <c r="B1164" s="2">
        <f ca="1"/>
        <v>5.8898454769178654E-2</v>
      </c>
      <c r="O1164" s="2">
        <f ca="1"/>
        <v>-0.93150747925210398</v>
      </c>
      <c r="X1164" s="2">
        <f ca="1"/>
        <v>50.264424682903517</v>
      </c>
      <c r="AG1164" s="2">
        <f ca="1"/>
        <v>0.2469814328864266</v>
      </c>
      <c r="AH1164" s="2" t="str">
        <f ca="1"/>
        <v>OK</v>
      </c>
    </row>
    <row r="1165" spans="2:34">
      <c r="B1165" s="2">
        <f ca="1"/>
        <v>0.72434461298540342</v>
      </c>
      <c r="O1165" s="2">
        <f ca="1"/>
        <v>-0.48324722135020104</v>
      </c>
      <c r="X1165" s="2">
        <f ca="1"/>
        <v>57.603907380139496</v>
      </c>
      <c r="AG1165" s="2">
        <f ca="1"/>
        <v>0.32578579209393999</v>
      </c>
      <c r="AH1165" s="2" t="str">
        <f ca="1"/>
        <v>OK</v>
      </c>
    </row>
    <row r="1166" spans="2:34">
      <c r="B1166" s="2">
        <f ca="1"/>
        <v>0.67009782021921582</v>
      </c>
      <c r="O1166" s="2">
        <f ca="1"/>
        <v>-0.44678375448081475</v>
      </c>
      <c r="X1166" s="2">
        <f ca="1"/>
        <v>29.24878051124729</v>
      </c>
      <c r="AG1166" s="2">
        <f ca="1"/>
        <v>0.47395115537310195</v>
      </c>
      <c r="AH1166" s="2" t="str">
        <f ca="1"/>
        <v>Bad</v>
      </c>
    </row>
    <row r="1167" spans="2:34">
      <c r="B1167" s="2">
        <f ca="1"/>
        <v>0.87777832675574596</v>
      </c>
      <c r="O1167" s="2">
        <f ca="1"/>
        <v>0.70417361745219398</v>
      </c>
      <c r="X1167" s="2">
        <f ca="1"/>
        <v>17.089753421915464</v>
      </c>
      <c r="AG1167" s="2">
        <f ca="1"/>
        <v>0.82293509108974039</v>
      </c>
      <c r="AH1167" s="2" t="str">
        <f ca="1"/>
        <v>Bad</v>
      </c>
    </row>
    <row r="1168" spans="2:34">
      <c r="B1168" s="2">
        <f ca="1"/>
        <v>0.69640497963910342</v>
      </c>
      <c r="O1168" s="2">
        <f ca="1"/>
        <v>0.47136751852481046</v>
      </c>
      <c r="X1168" s="2">
        <f ca="1"/>
        <v>46.642402448500931</v>
      </c>
      <c r="AG1168" s="2">
        <f ca="1"/>
        <v>0.55829075482216872</v>
      </c>
      <c r="AH1168" s="2" t="str">
        <f ca="1"/>
        <v>Bad</v>
      </c>
    </row>
    <row r="1169" spans="2:34">
      <c r="B1169" s="2">
        <f ca="1"/>
        <v>0.97358587173224276</v>
      </c>
      <c r="O1169" s="2">
        <f ca="1"/>
        <v>0.57819305745968408</v>
      </c>
      <c r="X1169" s="2">
        <f ca="1"/>
        <v>50.399100965743912</v>
      </c>
      <c r="AG1169" s="2">
        <f ca="1"/>
        <v>0.96177035882480011</v>
      </c>
      <c r="AH1169" s="2" t="str">
        <f ca="1"/>
        <v>Bad</v>
      </c>
    </row>
    <row r="1170" spans="2:34">
      <c r="B1170" s="2">
        <f ca="1"/>
        <v>0.71537837555161277</v>
      </c>
      <c r="O1170" s="2">
        <f ca="1"/>
        <v>1.2028132147345811</v>
      </c>
      <c r="X1170" s="2">
        <f ca="1"/>
        <v>47.141872868462052</v>
      </c>
      <c r="AG1170" s="2">
        <f ca="1"/>
        <v>0.25432595907852051</v>
      </c>
      <c r="AH1170" s="2" t="str">
        <f ca="1"/>
        <v>OK</v>
      </c>
    </row>
    <row r="1171" spans="2:34">
      <c r="B1171" s="2">
        <f ca="1"/>
        <v>0.48909226891295132</v>
      </c>
      <c r="O1171" s="2">
        <f ca="1"/>
        <v>-0.86356908059767523</v>
      </c>
      <c r="X1171" s="2">
        <f ca="1"/>
        <v>40.350220689743153</v>
      </c>
      <c r="AG1171" s="2">
        <f ca="1"/>
        <v>1.8805279572029487E-3</v>
      </c>
      <c r="AH1171" s="2" t="str">
        <f ca="1"/>
        <v>Good</v>
      </c>
    </row>
    <row r="1172" spans="2:34">
      <c r="B1172" s="2">
        <f ca="1"/>
        <v>0.43601407642588508</v>
      </c>
      <c r="O1172" s="2">
        <f ca="1"/>
        <v>0.55052494965142462</v>
      </c>
      <c r="X1172" s="2">
        <f ca="1"/>
        <v>43.378146629539373</v>
      </c>
      <c r="AG1172" s="2">
        <f ca="1"/>
        <v>0.37760256318962093</v>
      </c>
      <c r="AH1172" s="2" t="str">
        <f ca="1"/>
        <v>OK</v>
      </c>
    </row>
    <row r="1173" spans="2:34">
      <c r="B1173" s="2">
        <f ca="1"/>
        <v>0.87686249835983276</v>
      </c>
      <c r="O1173" s="2">
        <f ca="1"/>
        <v>-0.16673337126611862</v>
      </c>
      <c r="X1173" s="2">
        <f ca="1"/>
        <v>68.018734670323667</v>
      </c>
      <c r="AG1173" s="2">
        <f ca="1"/>
        <v>9.9657153718890834E-2</v>
      </c>
      <c r="AH1173" s="2" t="str">
        <f ca="1"/>
        <v>OK</v>
      </c>
    </row>
    <row r="1174" spans="2:34">
      <c r="B1174" s="2">
        <f ca="1"/>
        <v>0.62815787321763161</v>
      </c>
      <c r="O1174" s="2">
        <f ca="1"/>
        <v>-4.5085022925820666E-2</v>
      </c>
      <c r="X1174" s="2">
        <f ca="1"/>
        <v>29.686778378291386</v>
      </c>
      <c r="AG1174" s="2">
        <f ca="1"/>
        <v>0.23370102264379833</v>
      </c>
      <c r="AH1174" s="2" t="str">
        <f ca="1"/>
        <v>OK</v>
      </c>
    </row>
    <row r="1175" spans="2:34">
      <c r="B1175" s="2">
        <f ca="1"/>
        <v>2.8074610987688819E-2</v>
      </c>
      <c r="O1175" s="2">
        <f ca="1"/>
        <v>-0.15642741455334822</v>
      </c>
      <c r="X1175" s="2">
        <f ca="1"/>
        <v>53.233321588625067</v>
      </c>
      <c r="AG1175" s="2">
        <f ca="1"/>
        <v>8.300176024671857E-2</v>
      </c>
      <c r="AH1175" s="2" t="str">
        <f ca="1"/>
        <v>OK</v>
      </c>
    </row>
    <row r="1176" spans="2:34">
      <c r="B1176" s="2">
        <f ca="1"/>
        <v>0.48686352059777183</v>
      </c>
      <c r="O1176" s="2">
        <f ca="1"/>
        <v>-0.243289144554588</v>
      </c>
      <c r="X1176" s="2">
        <f ca="1"/>
        <v>35.782180447380078</v>
      </c>
      <c r="AG1176" s="2">
        <f ca="1"/>
        <v>0.5859657541923875</v>
      </c>
      <c r="AH1176" s="2" t="str">
        <f ca="1"/>
        <v>Bad</v>
      </c>
    </row>
    <row r="1177" spans="2:34">
      <c r="B1177" s="2">
        <f ca="1"/>
        <v>0.38934941490828878</v>
      </c>
      <c r="O1177" s="2">
        <f ca="1"/>
        <v>1.5535853532231734</v>
      </c>
      <c r="X1177" s="2">
        <f ca="1"/>
        <v>44.548066469094877</v>
      </c>
      <c r="AG1177" s="2">
        <f ca="1"/>
        <v>6.0768123125682916E-3</v>
      </c>
      <c r="AH1177" s="2" t="str">
        <f ca="1"/>
        <v>Good</v>
      </c>
    </row>
    <row r="1178" spans="2:34">
      <c r="B1178" s="2">
        <f ca="1"/>
        <v>0.98070352184634002</v>
      </c>
      <c r="O1178" s="2">
        <f ca="1"/>
        <v>0.19580687229853452</v>
      </c>
      <c r="X1178" s="2">
        <f ca="1"/>
        <v>43.415020121271397</v>
      </c>
      <c r="AG1178" s="2">
        <f ca="1"/>
        <v>0.12809422073640109</v>
      </c>
      <c r="AH1178" s="2" t="str">
        <f ca="1"/>
        <v>OK</v>
      </c>
    </row>
    <row r="1179" spans="2:34">
      <c r="B1179" s="2">
        <f ca="1"/>
        <v>0.22423615263848085</v>
      </c>
      <c r="O1179" s="2">
        <f ca="1"/>
        <v>0.20263966604104072</v>
      </c>
      <c r="X1179" s="2">
        <f ca="1"/>
        <v>60.153941090565574</v>
      </c>
      <c r="AG1179" s="2">
        <f ca="1"/>
        <v>0.38951489092093827</v>
      </c>
      <c r="AH1179" s="2" t="str">
        <f ca="1"/>
        <v>OK</v>
      </c>
    </row>
    <row r="1180" spans="2:34">
      <c r="B1180" s="2">
        <f ca="1"/>
        <v>0.15512961306212714</v>
      </c>
      <c r="O1180" s="2">
        <f ca="1"/>
        <v>1.2701452138895348</v>
      </c>
      <c r="X1180" s="2">
        <f ca="1"/>
        <v>56.867127164619468</v>
      </c>
      <c r="AG1180" s="2">
        <f ca="1"/>
        <v>0.31350144236589261</v>
      </c>
      <c r="AH1180" s="2" t="str">
        <f ca="1"/>
        <v>OK</v>
      </c>
    </row>
    <row r="1181" spans="2:34">
      <c r="B1181" s="2">
        <f ca="1"/>
        <v>0.87748456139603448</v>
      </c>
      <c r="O1181" s="2">
        <f ca="1"/>
        <v>1.1998783034956946</v>
      </c>
      <c r="X1181" s="2">
        <f ca="1"/>
        <v>65.60683388655022</v>
      </c>
      <c r="AG1181" s="2">
        <f ca="1"/>
        <v>0.17735563954659161</v>
      </c>
      <c r="AH1181" s="2" t="str">
        <f ca="1"/>
        <v>OK</v>
      </c>
    </row>
    <row r="1182" spans="2:34">
      <c r="B1182" s="2">
        <f ca="1"/>
        <v>0.75295317426639863</v>
      </c>
      <c r="O1182" s="2">
        <f ca="1"/>
        <v>2.3698889900224951</v>
      </c>
      <c r="X1182" s="2">
        <f ca="1"/>
        <v>42.951669969933413</v>
      </c>
      <c r="AG1182" s="2">
        <f ca="1"/>
        <v>0.29480677971734925</v>
      </c>
      <c r="AH1182" s="2" t="str">
        <f ca="1"/>
        <v>OK</v>
      </c>
    </row>
    <row r="1183" spans="2:34">
      <c r="B1183" s="2">
        <f ca="1"/>
        <v>0.35681385934597176</v>
      </c>
      <c r="O1183" s="2">
        <f ca="1"/>
        <v>-0.56997706743491316</v>
      </c>
      <c r="X1183" s="2">
        <f ca="1"/>
        <v>54.252242706451874</v>
      </c>
      <c r="AG1183" s="2">
        <f ca="1"/>
        <v>0.97857008224742015</v>
      </c>
      <c r="AH1183" s="2" t="str">
        <f ca="1"/>
        <v>Bad</v>
      </c>
    </row>
    <row r="1184" spans="2:34">
      <c r="B1184" s="2">
        <f ca="1"/>
        <v>8.3616969633980798E-2</v>
      </c>
      <c r="O1184" s="2">
        <f ca="1"/>
        <v>0.2491180800317854</v>
      </c>
      <c r="X1184" s="2">
        <f ca="1"/>
        <v>49.38503723315322</v>
      </c>
      <c r="AG1184" s="2">
        <f ca="1"/>
        <v>0.55936748797172098</v>
      </c>
      <c r="AH1184" s="2" t="str">
        <f ca="1"/>
        <v>Bad</v>
      </c>
    </row>
    <row r="1185" spans="2:34">
      <c r="B1185" s="2">
        <f ca="1"/>
        <v>0.61766865468958865</v>
      </c>
      <c r="O1185" s="2">
        <f ca="1"/>
        <v>1.7896743222031937</v>
      </c>
      <c r="X1185" s="2">
        <f ca="1"/>
        <v>80.400235831169269</v>
      </c>
      <c r="AG1185" s="2">
        <f ca="1"/>
        <v>0.54370127049748351</v>
      </c>
      <c r="AH1185" s="2" t="str">
        <f ca="1"/>
        <v>Bad</v>
      </c>
    </row>
    <row r="1186" spans="2:34">
      <c r="B1186" s="2">
        <f ca="1"/>
        <v>0.42688864161029083</v>
      </c>
      <c r="O1186" s="2">
        <f ca="1"/>
        <v>-0.84152894632264141</v>
      </c>
      <c r="X1186" s="2">
        <f ca="1"/>
        <v>35.826980071207792</v>
      </c>
      <c r="AG1186" s="2">
        <f ca="1"/>
        <v>0.84047968138191376</v>
      </c>
      <c r="AH1186" s="2" t="str">
        <f ca="1"/>
        <v>Bad</v>
      </c>
    </row>
    <row r="1187" spans="2:34">
      <c r="B1187" s="2">
        <f ca="1"/>
        <v>0.81954520233413564</v>
      </c>
      <c r="O1187" s="2">
        <f ca="1"/>
        <v>-0.2786381378919624</v>
      </c>
      <c r="X1187" s="2">
        <f ca="1"/>
        <v>62.886898060325002</v>
      </c>
      <c r="AG1187" s="2">
        <f ca="1"/>
        <v>0.46760540457903499</v>
      </c>
      <c r="AH1187" s="2" t="str">
        <f ca="1"/>
        <v>Bad</v>
      </c>
    </row>
    <row r="1188" spans="2:34">
      <c r="B1188" s="2">
        <f ca="1"/>
        <v>0.30473177573053301</v>
      </c>
      <c r="O1188" s="2">
        <f ca="1"/>
        <v>0.55624887915637211</v>
      </c>
      <c r="X1188" s="2">
        <f ca="1"/>
        <v>44.676398013737987</v>
      </c>
      <c r="AG1188" s="2">
        <f ca="1"/>
        <v>0.38674724765929858</v>
      </c>
      <c r="AH1188" s="2" t="str">
        <f ca="1"/>
        <v>OK</v>
      </c>
    </row>
    <row r="1189" spans="2:34">
      <c r="B1189" s="2">
        <f ca="1"/>
        <v>0.22756818168127402</v>
      </c>
      <c r="O1189" s="2">
        <f ca="1"/>
        <v>-0.26585245387949047</v>
      </c>
      <c r="X1189" s="2">
        <f ca="1"/>
        <v>55.802096144524157</v>
      </c>
      <c r="AG1189" s="2">
        <f ca="1"/>
        <v>0.6967531439860235</v>
      </c>
      <c r="AH1189" s="2" t="str">
        <f ca="1"/>
        <v>Bad</v>
      </c>
    </row>
    <row r="1190" spans="2:34">
      <c r="B1190" s="2">
        <f ca="1"/>
        <v>6.0227321457061445E-2</v>
      </c>
      <c r="O1190" s="2">
        <f ca="1"/>
        <v>0.21153950125065485</v>
      </c>
      <c r="X1190" s="2">
        <f ca="1"/>
        <v>37.787310018170068</v>
      </c>
      <c r="AG1190" s="2">
        <f ca="1"/>
        <v>0.26111103658923596</v>
      </c>
      <c r="AH1190" s="2" t="str">
        <f ca="1"/>
        <v>OK</v>
      </c>
    </row>
    <row r="1191" spans="2:34">
      <c r="B1191" s="2">
        <f ca="1"/>
        <v>0.3735879690251076</v>
      </c>
      <c r="O1191" s="2">
        <f ca="1"/>
        <v>0.71175026796433294</v>
      </c>
      <c r="X1191" s="2">
        <f ca="1"/>
        <v>44.540513288128132</v>
      </c>
      <c r="AG1191" s="2">
        <f ca="1"/>
        <v>0.83782381036546627</v>
      </c>
      <c r="AH1191" s="2" t="str">
        <f ca="1"/>
        <v>Bad</v>
      </c>
    </row>
    <row r="1192" spans="2:34">
      <c r="B1192" s="2">
        <f ca="1"/>
        <v>0.57007984252347632</v>
      </c>
      <c r="O1192" s="2">
        <f ca="1"/>
        <v>-1.0463933418722149</v>
      </c>
      <c r="X1192" s="2">
        <f ca="1"/>
        <v>79.166070842353307</v>
      </c>
      <c r="AG1192" s="2">
        <f ca="1"/>
        <v>0.6966568447154009</v>
      </c>
      <c r="AH1192" s="2" t="str">
        <f ca="1"/>
        <v>Bad</v>
      </c>
    </row>
    <row r="1193" spans="2:34">
      <c r="B1193" s="2">
        <f ca="1"/>
        <v>7.299193750471078E-2</v>
      </c>
      <c r="O1193" s="2">
        <f ca="1"/>
        <v>-0.18042956356872841</v>
      </c>
      <c r="X1193" s="2">
        <f ca="1"/>
        <v>46.058835608039317</v>
      </c>
      <c r="AG1193" s="2">
        <f ca="1"/>
        <v>0.24105881670808249</v>
      </c>
      <c r="AH1193" s="2" t="str">
        <f ca="1"/>
        <v>OK</v>
      </c>
    </row>
    <row r="1194" spans="2:34">
      <c r="B1194" s="2">
        <f ca="1"/>
        <v>0.67023320702105371</v>
      </c>
      <c r="O1194" s="2">
        <f ca="1"/>
        <v>-1.1413158606378855</v>
      </c>
      <c r="X1194" s="2">
        <f ca="1"/>
        <v>20.29290967757521</v>
      </c>
      <c r="AG1194" s="2">
        <f ca="1"/>
        <v>0.84406484536324333</v>
      </c>
      <c r="AH1194" s="2" t="str">
        <f ca="1"/>
        <v>Bad</v>
      </c>
    </row>
    <row r="1195" spans="2:34">
      <c r="B1195" s="2">
        <f ca="1"/>
        <v>0.28870211549902502</v>
      </c>
      <c r="O1195" s="2">
        <f ca="1"/>
        <v>-0.4630183775851755</v>
      </c>
      <c r="X1195" s="2">
        <f ca="1"/>
        <v>49.687836810810566</v>
      </c>
      <c r="AG1195" s="2">
        <f ca="1"/>
        <v>0.66168087118507501</v>
      </c>
      <c r="AH1195" s="2" t="str">
        <f ca="1"/>
        <v>Bad</v>
      </c>
    </row>
    <row r="1196" spans="2:34">
      <c r="B1196" s="2">
        <f ca="1"/>
        <v>0.67567235909873524</v>
      </c>
      <c r="O1196" s="2">
        <f ca="1"/>
        <v>-0.20385344850510054</v>
      </c>
      <c r="X1196" s="2">
        <f ca="1"/>
        <v>25.749747221012328</v>
      </c>
      <c r="AG1196" s="2">
        <f ca="1"/>
        <v>0.89141211385850783</v>
      </c>
      <c r="AH1196" s="2" t="str">
        <f ca="1"/>
        <v>Bad</v>
      </c>
    </row>
    <row r="1197" spans="2:34">
      <c r="B1197" s="2">
        <f ca="1"/>
        <v>0.32111719161157359</v>
      </c>
      <c r="O1197" s="2">
        <f ca="1"/>
        <v>2.3304497516397831E-2</v>
      </c>
      <c r="X1197" s="2">
        <f ca="1"/>
        <v>46.011609058672036</v>
      </c>
      <c r="AG1197" s="2">
        <f ca="1"/>
        <v>0.85548111269723348</v>
      </c>
      <c r="AH1197" s="2" t="str">
        <f ca="1"/>
        <v>Bad</v>
      </c>
    </row>
    <row r="1198" spans="2:34">
      <c r="B1198" s="2">
        <f ca="1"/>
        <v>5.8439607078833999E-2</v>
      </c>
      <c r="O1198" s="2">
        <f ca="1"/>
        <v>-0.21995832011570862</v>
      </c>
      <c r="X1198" s="2">
        <f ca="1"/>
        <v>47.222059739435181</v>
      </c>
      <c r="AG1198" s="2">
        <f ca="1"/>
        <v>0.18517309121665182</v>
      </c>
      <c r="AH1198" s="2" t="str">
        <f ca="1"/>
        <v>OK</v>
      </c>
    </row>
    <row r="1199" spans="2:34">
      <c r="B1199" s="2">
        <f ca="1"/>
        <v>0.8747250326939322</v>
      </c>
      <c r="O1199" s="2">
        <f ca="1"/>
        <v>0.19341473486759916</v>
      </c>
      <c r="X1199" s="2">
        <f ca="1"/>
        <v>34.651218121502353</v>
      </c>
      <c r="AG1199" s="2">
        <f ca="1"/>
        <v>0.53551800242649894</v>
      </c>
      <c r="AH1199" s="2" t="str">
        <f ca="1"/>
        <v>Bad</v>
      </c>
    </row>
    <row r="1200" spans="2:34">
      <c r="B1200" s="2">
        <f ca="1"/>
        <v>0.76806876303605698</v>
      </c>
      <c r="O1200" s="2">
        <f ca="1"/>
        <v>0.15648374886527797</v>
      </c>
      <c r="X1200" s="2">
        <f ca="1"/>
        <v>80.747694940641338</v>
      </c>
      <c r="AG1200" s="2">
        <f ca="1"/>
        <v>0.94465966541368762</v>
      </c>
      <c r="AH1200" s="2" t="str">
        <f ca="1"/>
        <v>Bad</v>
      </c>
    </row>
    <row r="1201" spans="2:34">
      <c r="B1201" s="2">
        <f ca="1"/>
        <v>0.40504766806378867</v>
      </c>
      <c r="O1201" s="2">
        <f ca="1"/>
        <v>-0.46374768171387554</v>
      </c>
      <c r="X1201" s="2">
        <f ca="1"/>
        <v>45.050745301949334</v>
      </c>
      <c r="AG1201" s="2">
        <f ca="1"/>
        <v>0.39819935499301429</v>
      </c>
      <c r="AH1201" s="2" t="str">
        <f ca="1"/>
        <v>OK</v>
      </c>
    </row>
    <row r="1202" spans="2:34">
      <c r="B1202" s="2">
        <f ca="1"/>
        <v>0.90708396846511019</v>
      </c>
      <c r="O1202" s="2">
        <f ca="1"/>
        <v>0.69385931595073047</v>
      </c>
      <c r="X1202" s="2">
        <f ca="1"/>
        <v>65.257951212955902</v>
      </c>
      <c r="AG1202" s="2">
        <f ca="1"/>
        <v>0.39188265391167465</v>
      </c>
      <c r="AH1202" s="2" t="str">
        <f ca="1"/>
        <v>OK</v>
      </c>
    </row>
    <row r="1203" spans="2:34">
      <c r="B1203" s="2">
        <f ca="1"/>
        <v>0.2403107740353696</v>
      </c>
      <c r="O1203" s="2">
        <f ca="1"/>
        <v>-1.0819160430157579</v>
      </c>
      <c r="X1203" s="2">
        <f ca="1"/>
        <v>74.518988329162312</v>
      </c>
      <c r="AG1203" s="2">
        <f ca="1"/>
        <v>0.46486430401027734</v>
      </c>
      <c r="AH1203" s="2" t="str">
        <f ca="1"/>
        <v>Bad</v>
      </c>
    </row>
    <row r="1204" spans="2:34">
      <c r="B1204" s="2">
        <f ca="1"/>
        <v>0.36620906298024747</v>
      </c>
      <c r="O1204" s="2">
        <f ca="1"/>
        <v>2.0298276451762165</v>
      </c>
      <c r="X1204" s="2">
        <f ca="1"/>
        <v>36.920079948496436</v>
      </c>
      <c r="AG1204" s="2">
        <f ca="1"/>
        <v>0.85785063661398553</v>
      </c>
      <c r="AH1204" s="2" t="str">
        <f ca="1"/>
        <v>Bad</v>
      </c>
    </row>
    <row r="1205" spans="2:34">
      <c r="B1205" s="2">
        <f ca="1"/>
        <v>0.10122433560791455</v>
      </c>
      <c r="O1205" s="2">
        <f ca="1"/>
        <v>0.6108873686692784</v>
      </c>
      <c r="X1205" s="2">
        <f ca="1"/>
        <v>35.539429751807262</v>
      </c>
      <c r="AG1205" s="2">
        <f ca="1"/>
        <v>0.85098417389330727</v>
      </c>
      <c r="AH1205" s="2" t="str">
        <f ca="1"/>
        <v>Bad</v>
      </c>
    </row>
    <row r="1206" spans="2:34">
      <c r="B1206" s="2">
        <f ca="1"/>
        <v>0.77337599367991339</v>
      </c>
      <c r="O1206" s="2">
        <f ca="1"/>
        <v>0.48122368989153946</v>
      </c>
      <c r="X1206" s="2">
        <f ca="1"/>
        <v>59.452853266289331</v>
      </c>
      <c r="AG1206" s="2">
        <f ca="1"/>
        <v>0.7094114416541657</v>
      </c>
      <c r="AH1206" s="2" t="str">
        <f ca="1"/>
        <v>Bad</v>
      </c>
    </row>
    <row r="1207" spans="2:34">
      <c r="B1207" s="2">
        <f ca="1"/>
        <v>0.44012671544658444</v>
      </c>
      <c r="O1207" s="2">
        <f ca="1"/>
        <v>-0.98917086574403745</v>
      </c>
      <c r="X1207" s="2">
        <f ca="1"/>
        <v>53.392524902406691</v>
      </c>
      <c r="AG1207" s="2">
        <f ca="1"/>
        <v>0.37544808601501245</v>
      </c>
      <c r="AH1207" s="2" t="str">
        <f ca="1"/>
        <v>OK</v>
      </c>
    </row>
    <row r="1208" spans="2:34">
      <c r="B1208" s="2">
        <f ca="1"/>
        <v>0.68486816296829023</v>
      </c>
      <c r="O1208" s="2">
        <f ca="1"/>
        <v>0.27654622319790695</v>
      </c>
      <c r="X1208" s="2">
        <f ca="1"/>
        <v>40.715670742148774</v>
      </c>
      <c r="AG1208" s="2">
        <f ca="1"/>
        <v>0.19795967039709539</v>
      </c>
      <c r="AH1208" s="2" t="str">
        <f ca="1"/>
        <v>OK</v>
      </c>
    </row>
    <row r="1209" spans="2:34">
      <c r="B1209" s="2">
        <f ca="1"/>
        <v>0.11526035294137427</v>
      </c>
      <c r="O1209" s="2">
        <f ca="1"/>
        <v>0.77060892830106975</v>
      </c>
      <c r="X1209" s="2">
        <f ca="1"/>
        <v>39.460524769958084</v>
      </c>
      <c r="AG1209" s="2">
        <f ca="1"/>
        <v>0.5363736418662548</v>
      </c>
      <c r="AH1209" s="2" t="str">
        <f ca="1"/>
        <v>Bad</v>
      </c>
    </row>
    <row r="1210" spans="2:34">
      <c r="B1210" s="2">
        <f ca="1"/>
        <v>0.3855546800814591</v>
      </c>
      <c r="O1210" s="2">
        <f ca="1"/>
        <v>0.8606305458037099</v>
      </c>
      <c r="X1210" s="2">
        <f ca="1"/>
        <v>52.760453435469813</v>
      </c>
      <c r="AG1210" s="2">
        <f ca="1"/>
        <v>0.16840728431974816</v>
      </c>
      <c r="AH1210" s="2" t="str">
        <f ca="1"/>
        <v>OK</v>
      </c>
    </row>
    <row r="1211" spans="2:34">
      <c r="B1211" s="2">
        <f ca="1"/>
        <v>0.10799005835185738</v>
      </c>
      <c r="O1211" s="2">
        <f ca="1"/>
        <v>-0.47363499434420164</v>
      </c>
      <c r="X1211" s="2">
        <f ca="1"/>
        <v>57.063733602439221</v>
      </c>
      <c r="AG1211" s="2">
        <f ca="1"/>
        <v>0.13504185106773581</v>
      </c>
      <c r="AH1211" s="2" t="str">
        <f ca="1"/>
        <v>OK</v>
      </c>
    </row>
    <row r="1212" spans="2:34">
      <c r="B1212" s="2">
        <f ca="1"/>
        <v>0.12178260245247352</v>
      </c>
      <c r="O1212" s="2">
        <f ca="1"/>
        <v>-0.17190092102497492</v>
      </c>
      <c r="X1212" s="2">
        <f ca="1"/>
        <v>38.80018199357999</v>
      </c>
      <c r="AG1212" s="2">
        <f ca="1"/>
        <v>0.68800096096439933</v>
      </c>
      <c r="AH1212" s="2" t="str">
        <f ca="1"/>
        <v>Bad</v>
      </c>
    </row>
    <row r="1213" spans="2:34">
      <c r="B1213" s="2">
        <f ca="1"/>
        <v>4.5049762431692342E-2</v>
      </c>
      <c r="O1213" s="2">
        <f ca="1"/>
        <v>6.6115561942202153E-2</v>
      </c>
      <c r="X1213" s="2">
        <f ca="1"/>
        <v>74.252136323672588</v>
      </c>
      <c r="AG1213" s="2">
        <f ca="1"/>
        <v>0.6245668904792292</v>
      </c>
      <c r="AH1213" s="2" t="str">
        <f ca="1"/>
        <v>Bad</v>
      </c>
    </row>
    <row r="1214" spans="2:34">
      <c r="B1214" s="2">
        <f ca="1"/>
        <v>0.97701963691603555</v>
      </c>
      <c r="O1214" s="2">
        <f ca="1"/>
        <v>-1.1156534166812409</v>
      </c>
      <c r="X1214" s="2">
        <f ca="1"/>
        <v>67.049828559779897</v>
      </c>
      <c r="AG1214" s="2">
        <f ca="1"/>
        <v>0.29220461937793663</v>
      </c>
      <c r="AH1214" s="2" t="str">
        <f ca="1"/>
        <v>OK</v>
      </c>
    </row>
    <row r="1215" spans="2:34">
      <c r="B1215" s="2">
        <f ca="1"/>
        <v>0.19015678232856259</v>
      </c>
      <c r="O1215" s="2">
        <f ca="1"/>
        <v>7.3506309211506776E-2</v>
      </c>
      <c r="X1215" s="2">
        <f ca="1"/>
        <v>67.649435413034581</v>
      </c>
      <c r="AG1215" s="2">
        <f ca="1"/>
        <v>0.67497548336304436</v>
      </c>
      <c r="AH1215" s="2" t="str">
        <f ca="1"/>
        <v>Bad</v>
      </c>
    </row>
    <row r="1216" spans="2:34">
      <c r="B1216" s="2">
        <f ca="1"/>
        <v>0.26297608287777008</v>
      </c>
      <c r="O1216" s="2">
        <f ca="1"/>
        <v>1.3427665571525538</v>
      </c>
      <c r="X1216" s="2">
        <f ca="1"/>
        <v>63.533892784628165</v>
      </c>
      <c r="AG1216" s="2">
        <f ca="1"/>
        <v>9.4040588281375737E-2</v>
      </c>
      <c r="AH1216" s="2" t="str">
        <f ca="1"/>
        <v>OK</v>
      </c>
    </row>
    <row r="1217" spans="2:34">
      <c r="B1217" s="2">
        <f ca="1"/>
        <v>0.3595742491500844</v>
      </c>
      <c r="O1217" s="2">
        <f ca="1"/>
        <v>0.18842035169755506</v>
      </c>
      <c r="X1217" s="2">
        <f ca="1"/>
        <v>55.750055132143842</v>
      </c>
      <c r="AG1217" s="2">
        <f ca="1"/>
        <v>0.3012624930994674</v>
      </c>
      <c r="AH1217" s="2" t="str">
        <f ca="1"/>
        <v>OK</v>
      </c>
    </row>
    <row r="1218" spans="2:34">
      <c r="B1218" s="2">
        <f ca="1"/>
        <v>0.85841058890493049</v>
      </c>
      <c r="O1218" s="2">
        <f ca="1"/>
        <v>-7.2646621723417057E-2</v>
      </c>
      <c r="X1218" s="2">
        <f ca="1"/>
        <v>82.486837994604727</v>
      </c>
      <c r="AG1218" s="2">
        <f ca="1"/>
        <v>0.89054854301759678</v>
      </c>
      <c r="AH1218" s="2" t="str">
        <f ca="1"/>
        <v>Bad</v>
      </c>
    </row>
    <row r="1219" spans="2:34">
      <c r="B1219" s="2">
        <f ca="1"/>
        <v>0.50112477340272843</v>
      </c>
      <c r="O1219" s="2">
        <f ca="1"/>
        <v>-0.36931126418486526</v>
      </c>
      <c r="X1219" s="2">
        <f ca="1"/>
        <v>50.816684457358924</v>
      </c>
      <c r="AG1219" s="2">
        <f ca="1"/>
        <v>0.51942552602665981</v>
      </c>
      <c r="AH1219" s="2" t="str">
        <f ca="1"/>
        <v>Bad</v>
      </c>
    </row>
    <row r="1220" spans="2:34">
      <c r="B1220" s="2">
        <f ca="1"/>
        <v>0.36210046337422286</v>
      </c>
      <c r="O1220" s="2">
        <f ca="1"/>
        <v>-1.3645006082472704</v>
      </c>
      <c r="X1220" s="2">
        <f ca="1"/>
        <v>56.967006704258807</v>
      </c>
      <c r="AG1220" s="2">
        <f ca="1"/>
        <v>0.65138147016236547</v>
      </c>
      <c r="AH1220" s="2" t="str">
        <f ca="1"/>
        <v>Bad</v>
      </c>
    </row>
    <row r="1221" spans="2:34">
      <c r="B1221" s="2">
        <f ca="1"/>
        <v>0.28296308878001852</v>
      </c>
      <c r="O1221" s="2">
        <f ca="1"/>
        <v>-3.1241516948116459</v>
      </c>
      <c r="X1221" s="2">
        <f ca="1"/>
        <v>48.346725948869874</v>
      </c>
      <c r="AG1221" s="2">
        <f ca="1"/>
        <v>0.33616293802769359</v>
      </c>
      <c r="AH1221" s="2" t="str">
        <f ca="1"/>
        <v>OK</v>
      </c>
    </row>
    <row r="1222" spans="2:34">
      <c r="B1222" s="2">
        <f ca="1"/>
        <v>9.1568531994704383E-2</v>
      </c>
      <c r="O1222" s="2">
        <f ca="1"/>
        <v>0.31514996113908195</v>
      </c>
      <c r="X1222" s="2">
        <f ca="1"/>
        <v>26.609846551875545</v>
      </c>
      <c r="AG1222" s="2">
        <f ca="1"/>
        <v>0.90160345224896243</v>
      </c>
      <c r="AH1222" s="2" t="str">
        <f ca="1"/>
        <v>Bad</v>
      </c>
    </row>
    <row r="1223" spans="2:34">
      <c r="B1223" s="2">
        <f ca="1"/>
        <v>0.77880810490467223</v>
      </c>
      <c r="O1223" s="2">
        <f ca="1"/>
        <v>0.20725903431289769</v>
      </c>
      <c r="X1223" s="2">
        <f ca="1"/>
        <v>30.180599568421464</v>
      </c>
      <c r="AG1223" s="2">
        <f ca="1"/>
        <v>0.20092476643317903</v>
      </c>
      <c r="AH1223" s="2" t="str">
        <f ca="1"/>
        <v>OK</v>
      </c>
    </row>
    <row r="1224" spans="2:34">
      <c r="B1224" s="2">
        <f ca="1"/>
        <v>0.30644890655921686</v>
      </c>
      <c r="O1224" s="2">
        <f ca="1"/>
        <v>-1.2733092801109809</v>
      </c>
      <c r="X1224" s="2">
        <f ca="1"/>
        <v>92.288569705256037</v>
      </c>
      <c r="AG1224" s="2">
        <f ca="1"/>
        <v>0.84300402308309885</v>
      </c>
      <c r="AH1224" s="2" t="str">
        <f ca="1"/>
        <v>Bad</v>
      </c>
    </row>
    <row r="1225" spans="2:34">
      <c r="B1225" s="2">
        <f ca="1"/>
        <v>0.81051440425592314</v>
      </c>
      <c r="O1225" s="2">
        <f ca="1"/>
        <v>-1.3727722536880891</v>
      </c>
      <c r="X1225" s="2">
        <f ca="1"/>
        <v>51.088554578234422</v>
      </c>
      <c r="AG1225" s="2">
        <f ca="1"/>
        <v>0.42800037456653839</v>
      </c>
      <c r="AH1225" s="2" t="str">
        <f ca="1"/>
        <v>Bad</v>
      </c>
    </row>
    <row r="1226" spans="2:34">
      <c r="B1226" s="2">
        <f ca="1"/>
        <v>0.74608881961596252</v>
      </c>
      <c r="O1226" s="2">
        <f ca="1"/>
        <v>8.8744897788622351E-2</v>
      </c>
      <c r="X1226" s="2">
        <f ca="1"/>
        <v>53.120642619928525</v>
      </c>
      <c r="AG1226" s="2">
        <f ca="1"/>
        <v>2.6696104183015379E-2</v>
      </c>
      <c r="AH1226" s="2" t="str">
        <f ca="1"/>
        <v>Good</v>
      </c>
    </row>
    <row r="1227" spans="2:34">
      <c r="B1227" s="2">
        <f ca="1"/>
        <v>0.89219150505154388</v>
      </c>
      <c r="O1227" s="2">
        <f ca="1"/>
        <v>-0.36127923128432321</v>
      </c>
      <c r="X1227" s="2">
        <f ca="1"/>
        <v>47.423203262429752</v>
      </c>
      <c r="AG1227" s="2">
        <f ca="1"/>
        <v>0.47054130769727931</v>
      </c>
      <c r="AH1227" s="2" t="str">
        <f ca="1"/>
        <v>Bad</v>
      </c>
    </row>
    <row r="1228" spans="2:34">
      <c r="B1228" s="2">
        <f ca="1"/>
        <v>0.82257132044400727</v>
      </c>
      <c r="O1228" s="2">
        <f ca="1"/>
        <v>1.1683097742713175</v>
      </c>
      <c r="X1228" s="2">
        <f ca="1"/>
        <v>55.00481569777498</v>
      </c>
      <c r="AG1228" s="2">
        <f ca="1"/>
        <v>0.56026152501470472</v>
      </c>
      <c r="AH1228" s="2" t="str">
        <f ca="1"/>
        <v>Bad</v>
      </c>
    </row>
    <row r="1229" spans="2:34">
      <c r="B1229" s="2">
        <f ca="1"/>
        <v>3.1976273566035829E-2</v>
      </c>
      <c r="O1229" s="2">
        <f ca="1"/>
        <v>-1.625283874324023</v>
      </c>
      <c r="X1229" s="2">
        <f ca="1"/>
        <v>84.734528849849156</v>
      </c>
      <c r="AG1229" s="2">
        <f ca="1"/>
        <v>3.3132331633088929E-2</v>
      </c>
      <c r="AH1229" s="2" t="str">
        <f ca="1"/>
        <v>Good</v>
      </c>
    </row>
    <row r="1230" spans="2:34">
      <c r="B1230" s="2">
        <f ca="1"/>
        <v>0.62971140363687961</v>
      </c>
      <c r="O1230" s="2">
        <f ca="1"/>
        <v>-1.1405358147253706</v>
      </c>
      <c r="X1230" s="2">
        <f ca="1"/>
        <v>34.597737971694087</v>
      </c>
      <c r="AG1230" s="2">
        <f ca="1"/>
        <v>0.86031392914197524</v>
      </c>
      <c r="AH1230" s="2" t="str">
        <f ca="1"/>
        <v>Bad</v>
      </c>
    </row>
    <row r="1231" spans="2:34">
      <c r="B1231" s="2">
        <f ca="1"/>
        <v>0.16560265450076672</v>
      </c>
      <c r="O1231" s="2">
        <f ca="1"/>
        <v>0.43563391866396589</v>
      </c>
      <c r="X1231" s="2">
        <f ca="1"/>
        <v>17.376651713557411</v>
      </c>
      <c r="AG1231" s="2">
        <f ca="1"/>
        <v>0.2706056180819516</v>
      </c>
      <c r="AH1231" s="2" t="str">
        <f ca="1"/>
        <v>OK</v>
      </c>
    </row>
    <row r="1232" spans="2:34">
      <c r="B1232" s="2">
        <f ca="1"/>
        <v>0.19431838144551161</v>
      </c>
      <c r="O1232" s="2">
        <f ca="1"/>
        <v>3.0581487790128397</v>
      </c>
      <c r="X1232" s="2">
        <f ca="1"/>
        <v>42.323588928202554</v>
      </c>
      <c r="AG1232" s="2">
        <f ca="1"/>
        <v>0.20175165561466435</v>
      </c>
      <c r="AH1232" s="2" t="str">
        <f ca="1"/>
        <v>OK</v>
      </c>
    </row>
    <row r="1233" spans="2:34">
      <c r="B1233" s="2">
        <f ca="1"/>
        <v>0.60643213689495501</v>
      </c>
      <c r="O1233" s="2">
        <f ca="1"/>
        <v>-0.75701653067063734</v>
      </c>
      <c r="X1233" s="2">
        <f ca="1"/>
        <v>22.156130310602464</v>
      </c>
      <c r="AG1233" s="2">
        <f ca="1"/>
        <v>0.25333195474844028</v>
      </c>
      <c r="AH1233" s="2" t="str">
        <f ca="1"/>
        <v>OK</v>
      </c>
    </row>
    <row r="1234" spans="2:34">
      <c r="B1234" s="2">
        <f ca="1"/>
        <v>0.99580964249138093</v>
      </c>
      <c r="O1234" s="2">
        <f ca="1"/>
        <v>-0.92340049830146576</v>
      </c>
      <c r="X1234" s="2">
        <f ca="1"/>
        <v>54.751166833234059</v>
      </c>
      <c r="AG1234" s="2">
        <f ca="1"/>
        <v>0.90397845537392296</v>
      </c>
      <c r="AH1234" s="2" t="str">
        <f ca="1"/>
        <v>Bad</v>
      </c>
    </row>
    <row r="1235" spans="2:34">
      <c r="B1235" s="2">
        <f ca="1"/>
        <v>0.13247415298297893</v>
      </c>
      <c r="O1235" s="2">
        <f ca="1"/>
        <v>-0.32601795684273127</v>
      </c>
      <c r="X1235" s="2">
        <f ca="1"/>
        <v>29.778119132077482</v>
      </c>
      <c r="AG1235" s="2">
        <f ca="1"/>
        <v>0.64091111571556381</v>
      </c>
      <c r="AH1235" s="2" t="str">
        <f ca="1"/>
        <v>Bad</v>
      </c>
    </row>
    <row r="1236" spans="2:34">
      <c r="B1236" s="2">
        <f ca="1"/>
        <v>0.95036924559413505</v>
      </c>
      <c r="O1236" s="2">
        <f ca="1"/>
        <v>-0.30218674360128939</v>
      </c>
      <c r="X1236" s="2">
        <f ca="1"/>
        <v>67.636173089577539</v>
      </c>
      <c r="AG1236" s="2">
        <f ca="1"/>
        <v>7.2890864207599826E-2</v>
      </c>
      <c r="AH1236" s="2" t="str">
        <f ca="1"/>
        <v>OK</v>
      </c>
    </row>
    <row r="1237" spans="2:34">
      <c r="B1237" s="2">
        <f ca="1"/>
        <v>0.43481944762966029</v>
      </c>
      <c r="O1237" s="2">
        <f ca="1"/>
        <v>2.8832969746390127</v>
      </c>
      <c r="X1237" s="2">
        <f ca="1"/>
        <v>72.219063933100486</v>
      </c>
      <c r="AG1237" s="2">
        <f ca="1"/>
        <v>0.95083834415665036</v>
      </c>
      <c r="AH1237" s="2" t="str">
        <f ca="1"/>
        <v>Bad</v>
      </c>
    </row>
    <row r="1238" spans="2:34">
      <c r="B1238" s="2">
        <f ca="1"/>
        <v>8.5074027921560713E-2</v>
      </c>
      <c r="O1238" s="2">
        <f ca="1"/>
        <v>0.12585657078253384</v>
      </c>
      <c r="X1238" s="2">
        <f ca="1"/>
        <v>29.602380193063183</v>
      </c>
      <c r="AG1238" s="2">
        <f ca="1"/>
        <v>0.39309919556336403</v>
      </c>
      <c r="AH1238" s="2" t="str">
        <f ca="1"/>
        <v>OK</v>
      </c>
    </row>
    <row r="1239" spans="2:34">
      <c r="B1239" s="2">
        <f ca="1"/>
        <v>0.36476249574843433</v>
      </c>
      <c r="O1239" s="2">
        <f ca="1"/>
        <v>-5.9279720245423946E-2</v>
      </c>
      <c r="X1239" s="2">
        <f ca="1"/>
        <v>27.997608005664567</v>
      </c>
      <c r="AG1239" s="2">
        <f ca="1"/>
        <v>0.15071152534965471</v>
      </c>
      <c r="AH1239" s="2" t="str">
        <f ca="1"/>
        <v>OK</v>
      </c>
    </row>
    <row r="1240" spans="2:34">
      <c r="B1240" s="2">
        <f ca="1"/>
        <v>0.59438064860394224</v>
      </c>
      <c r="O1240" s="2">
        <f ca="1"/>
        <v>-1.9399304974896916</v>
      </c>
      <c r="X1240" s="2">
        <f ca="1"/>
        <v>46.037791115407842</v>
      </c>
      <c r="AG1240" s="2">
        <f ca="1"/>
        <v>0.89025564399652746</v>
      </c>
      <c r="AH1240" s="2" t="str">
        <f ca="1"/>
        <v>Bad</v>
      </c>
    </row>
    <row r="1241" spans="2:34">
      <c r="B1241" s="2">
        <f ca="1"/>
        <v>0.27435859068913415</v>
      </c>
      <c r="O1241" s="2">
        <f ca="1"/>
        <v>-8.2773910455967978E-2</v>
      </c>
      <c r="X1241" s="2">
        <f ca="1"/>
        <v>74.596069423100658</v>
      </c>
      <c r="AG1241" s="2">
        <f ca="1"/>
        <v>0.43608000636534539</v>
      </c>
      <c r="AH1241" s="2" t="str">
        <f ca="1"/>
        <v>Bad</v>
      </c>
    </row>
    <row r="1242" spans="2:34">
      <c r="B1242" s="2">
        <f ca="1"/>
        <v>0.60710576803333316</v>
      </c>
      <c r="O1242" s="2">
        <f ca="1"/>
        <v>0.84072145043399404</v>
      </c>
      <c r="X1242" s="2">
        <f ca="1"/>
        <v>86.507031357156791</v>
      </c>
      <c r="AG1242" s="2">
        <f ca="1"/>
        <v>0.21251726625652201</v>
      </c>
      <c r="AH1242" s="2" t="str">
        <f ca="1"/>
        <v>OK</v>
      </c>
    </row>
    <row r="1243" spans="2:34">
      <c r="B1243" s="2">
        <f ca="1"/>
        <v>0.46544770112650391</v>
      </c>
      <c r="O1243" s="2">
        <f ca="1"/>
        <v>0.15670667012102318</v>
      </c>
      <c r="X1243" s="2">
        <f ca="1"/>
        <v>74.325462373434831</v>
      </c>
      <c r="AG1243" s="2">
        <f ca="1"/>
        <v>0.38807285092156563</v>
      </c>
      <c r="AH1243" s="2" t="str">
        <f ca="1"/>
        <v>OK</v>
      </c>
    </row>
    <row r="1244" spans="2:34">
      <c r="B1244" s="2">
        <f ca="1"/>
        <v>0.42958377628408484</v>
      </c>
      <c r="O1244" s="2">
        <f ca="1"/>
        <v>-1.7652503135060555</v>
      </c>
      <c r="X1244" s="2">
        <f ca="1"/>
        <v>45.683275531853987</v>
      </c>
      <c r="AG1244" s="2">
        <f ca="1"/>
        <v>0.21187509325965204</v>
      </c>
      <c r="AH1244" s="2" t="str">
        <f ca="1"/>
        <v>OK</v>
      </c>
    </row>
    <row r="1245" spans="2:34">
      <c r="B1245" s="2">
        <f ca="1"/>
        <v>0.50250788818216585</v>
      </c>
      <c r="O1245" s="2">
        <f ca="1"/>
        <v>-1.2144456882661023</v>
      </c>
      <c r="X1245" s="2">
        <f ca="1"/>
        <v>63.552476590083351</v>
      </c>
      <c r="AG1245" s="2">
        <f ca="1"/>
        <v>0.48920641283978239</v>
      </c>
      <c r="AH1245" s="2" t="str">
        <f ca="1"/>
        <v>Bad</v>
      </c>
    </row>
    <row r="1246" spans="2:34">
      <c r="B1246" s="2">
        <f ca="1"/>
        <v>0.99981955347897045</v>
      </c>
      <c r="O1246" s="2">
        <f ca="1"/>
        <v>1.2310008525556311</v>
      </c>
      <c r="X1246" s="2">
        <f ca="1"/>
        <v>25.364921196259012</v>
      </c>
      <c r="AG1246" s="2">
        <f ca="1"/>
        <v>0.8320150525632235</v>
      </c>
      <c r="AH1246" s="2" t="str">
        <f ca="1"/>
        <v>Bad</v>
      </c>
    </row>
    <row r="1247" spans="2:34">
      <c r="B1247" s="2">
        <f ca="1"/>
        <v>0.11892137341649711</v>
      </c>
      <c r="O1247" s="2">
        <f ca="1"/>
        <v>-0.18947399111873739</v>
      </c>
      <c r="X1247" s="2">
        <f ca="1"/>
        <v>32.721915326973097</v>
      </c>
      <c r="AG1247" s="2">
        <f ca="1"/>
        <v>0.56524138830397752</v>
      </c>
      <c r="AH1247" s="2" t="str">
        <f ca="1"/>
        <v>Bad</v>
      </c>
    </row>
    <row r="1248" spans="2:34">
      <c r="B1248" s="2">
        <f ca="1"/>
        <v>0.86973948949140212</v>
      </c>
      <c r="O1248" s="2">
        <f ca="1"/>
        <v>0.2823942926923898</v>
      </c>
      <c r="X1248" s="2">
        <f ca="1"/>
        <v>26.229094025736096</v>
      </c>
      <c r="AG1248" s="2">
        <f ca="1"/>
        <v>1.7197440052422852E-2</v>
      </c>
      <c r="AH1248" s="2" t="str">
        <f ca="1"/>
        <v>Good</v>
      </c>
    </row>
    <row r="1249" spans="2:34">
      <c r="B1249" s="2">
        <f ca="1"/>
        <v>0.66308283108858901</v>
      </c>
      <c r="O1249" s="2">
        <f ca="1"/>
        <v>1.6213390280379671</v>
      </c>
      <c r="X1249" s="2">
        <f ca="1"/>
        <v>40.711128960423082</v>
      </c>
      <c r="AG1249" s="2">
        <f ca="1"/>
        <v>0.66192280965173067</v>
      </c>
      <c r="AH1249" s="2" t="str">
        <f ca="1"/>
        <v>Bad</v>
      </c>
    </row>
    <row r="1250" spans="2:34">
      <c r="B1250" s="2">
        <f ca="1"/>
        <v>0.34054092724656582</v>
      </c>
      <c r="O1250" s="2">
        <f ca="1"/>
        <v>-0.91768705041468124</v>
      </c>
      <c r="X1250" s="2">
        <f ca="1"/>
        <v>47.172002455192114</v>
      </c>
      <c r="AG1250" s="2">
        <f ca="1"/>
        <v>0.42634059565001392</v>
      </c>
      <c r="AH1250" s="2" t="str">
        <f ca="1"/>
        <v>Bad</v>
      </c>
    </row>
    <row r="1251" spans="2:34">
      <c r="B1251" s="2">
        <f ca="1"/>
        <v>0.65675221415216112</v>
      </c>
      <c r="O1251" s="2">
        <f ca="1"/>
        <v>-0.10494577769697566</v>
      </c>
      <c r="X1251" s="2">
        <f ca="1"/>
        <v>33.511367909206385</v>
      </c>
      <c r="AG1251" s="2">
        <f ca="1"/>
        <v>0.5260077308460076</v>
      </c>
      <c r="AH1251" s="2" t="str">
        <f ca="1"/>
        <v>Bad</v>
      </c>
    </row>
    <row r="1252" spans="2:34">
      <c r="B1252" s="2">
        <f ca="1"/>
        <v>0.7670832606696234</v>
      </c>
      <c r="O1252" s="2">
        <f ca="1"/>
        <v>0.18537270056871463</v>
      </c>
      <c r="X1252" s="2">
        <f ca="1"/>
        <v>52.099937384383033</v>
      </c>
      <c r="AG1252" s="2">
        <f ca="1"/>
        <v>0.92172936795362337</v>
      </c>
      <c r="AH1252" s="2" t="str">
        <f ca="1"/>
        <v>Bad</v>
      </c>
    </row>
    <row r="1253" spans="2:34">
      <c r="B1253" s="2">
        <f ca="1"/>
        <v>0.92666869762241855</v>
      </c>
      <c r="O1253" s="2">
        <f ca="1"/>
        <v>-0.27858337333437222</v>
      </c>
      <c r="X1253" s="2">
        <f ca="1"/>
        <v>64.806791830469422</v>
      </c>
      <c r="AG1253" s="2">
        <f ca="1"/>
        <v>0.6447576091199394</v>
      </c>
      <c r="AH1253" s="2" t="str">
        <f ca="1"/>
        <v>Bad</v>
      </c>
    </row>
    <row r="1254" spans="2:34">
      <c r="B1254" s="2">
        <f ca="1"/>
        <v>9.5586933649235872E-2</v>
      </c>
      <c r="O1254" s="2">
        <f ca="1"/>
        <v>6.6665338134749813E-2</v>
      </c>
      <c r="X1254" s="2">
        <f ca="1"/>
        <v>67.333420075844387</v>
      </c>
      <c r="AG1254" s="2">
        <f ca="1"/>
        <v>0.92759783701821674</v>
      </c>
      <c r="AH1254" s="2" t="str">
        <f ca="1"/>
        <v>Bad</v>
      </c>
    </row>
    <row r="1255" spans="2:34">
      <c r="B1255" s="2">
        <f ca="1"/>
        <v>0.77907767115170001</v>
      </c>
      <c r="O1255" s="2">
        <f ca="1"/>
        <v>-0.46244937992123325</v>
      </c>
      <c r="X1255" s="2">
        <f ca="1"/>
        <v>61.804366650317974</v>
      </c>
      <c r="AG1255" s="2">
        <f ca="1"/>
        <v>4.5501546860689634E-2</v>
      </c>
      <c r="AH1255" s="2" t="str">
        <f ca="1"/>
        <v>Good</v>
      </c>
    </row>
    <row r="1256" spans="2:34">
      <c r="B1256" s="2">
        <f ca="1"/>
        <v>0.84313217750979286</v>
      </c>
      <c r="O1256" s="2">
        <f ca="1"/>
        <v>-0.69759455885282751</v>
      </c>
      <c r="X1256" s="2">
        <f ca="1"/>
        <v>58.837973236494392</v>
      </c>
      <c r="AG1256" s="2">
        <f ca="1"/>
        <v>0.82413994262494605</v>
      </c>
      <c r="AH1256" s="2" t="str">
        <f ca="1"/>
        <v>Bad</v>
      </c>
    </row>
    <row r="1257" spans="2:34">
      <c r="B1257" s="2">
        <f ca="1"/>
        <v>0.44569008751073835</v>
      </c>
      <c r="O1257" s="2">
        <f ca="1"/>
        <v>-0.5674746697528994</v>
      </c>
      <c r="X1257" s="2">
        <f ca="1"/>
        <v>43.020578400615044</v>
      </c>
      <c r="AG1257" s="2">
        <f ca="1"/>
        <v>0.49925100498935882</v>
      </c>
      <c r="AH1257" s="2" t="str">
        <f ca="1"/>
        <v>Bad</v>
      </c>
    </row>
    <row r="1258" spans="2:34">
      <c r="B1258" s="2">
        <f ca="1"/>
        <v>0.4911382988704236</v>
      </c>
      <c r="O1258" s="2">
        <f ca="1"/>
        <v>2.0646905382246117</v>
      </c>
      <c r="X1258" s="2">
        <f ca="1"/>
        <v>47.516480572718422</v>
      </c>
      <c r="AG1258" s="2">
        <f ca="1"/>
        <v>0.19436456201317709</v>
      </c>
      <c r="AH1258" s="2" t="str">
        <f ca="1"/>
        <v>OK</v>
      </c>
    </row>
    <row r="1259" spans="2:34">
      <c r="B1259" s="2">
        <f ca="1"/>
        <v>0.40863951627940653</v>
      </c>
      <c r="O1259" s="2">
        <f ca="1"/>
        <v>-1.7185126399611779</v>
      </c>
      <c r="X1259" s="2">
        <f ca="1"/>
        <v>56.195019054809812</v>
      </c>
      <c r="AG1259" s="2">
        <f ca="1"/>
        <v>0.12329639838404383</v>
      </c>
      <c r="AH1259" s="2" t="str">
        <f ca="1"/>
        <v>OK</v>
      </c>
    </row>
    <row r="1260" spans="2:34">
      <c r="B1260" s="2">
        <f ca="1"/>
        <v>0.67586627520984988</v>
      </c>
      <c r="O1260" s="2">
        <f ca="1"/>
        <v>-0.24735183247597478</v>
      </c>
      <c r="X1260" s="2">
        <f ca="1"/>
        <v>44.2896440967329</v>
      </c>
      <c r="AG1260" s="2">
        <f ca="1"/>
        <v>0.37008242072959319</v>
      </c>
      <c r="AH1260" s="2" t="str">
        <f ca="1"/>
        <v>OK</v>
      </c>
    </row>
    <row r="1261" spans="2:34">
      <c r="B1261" s="2">
        <f ca="1"/>
        <v>0.86159788466797327</v>
      </c>
      <c r="O1261" s="2">
        <f ca="1"/>
        <v>1.5203019000873874</v>
      </c>
      <c r="X1261" s="2">
        <f ca="1"/>
        <v>34.999820887278787</v>
      </c>
      <c r="AG1261" s="2">
        <f ca="1"/>
        <v>0.91173398345065104</v>
      </c>
      <c r="AH1261" s="2" t="str">
        <f ca="1"/>
        <v>Bad</v>
      </c>
    </row>
    <row r="1262" spans="2:34">
      <c r="B1262" s="2">
        <f ca="1"/>
        <v>0.29853351028443265</v>
      </c>
      <c r="O1262" s="2">
        <f ca="1"/>
        <v>0.58893646142874467</v>
      </c>
      <c r="X1262" s="2">
        <f ca="1"/>
        <v>37.748719653209626</v>
      </c>
      <c r="AG1262" s="2">
        <f ca="1"/>
        <v>0.73940093244803062</v>
      </c>
      <c r="AH1262" s="2" t="str">
        <f ca="1"/>
        <v>Bad</v>
      </c>
    </row>
    <row r="1263" spans="2:34">
      <c r="B1263" s="2">
        <f ca="1"/>
        <v>0.30248786506579095</v>
      </c>
      <c r="O1263" s="2">
        <f ca="1"/>
        <v>1.1215374432559877</v>
      </c>
      <c r="X1263" s="2">
        <f ca="1"/>
        <v>76.409498040822086</v>
      </c>
      <c r="AG1263" s="2">
        <f ca="1"/>
        <v>0.8219563253980382</v>
      </c>
      <c r="AH1263" s="2" t="str">
        <f ca="1"/>
        <v>Bad</v>
      </c>
    </row>
    <row r="1264" spans="2:34">
      <c r="B1264" s="2">
        <f ca="1"/>
        <v>0.11900710791556479</v>
      </c>
      <c r="O1264" s="2">
        <f ca="1"/>
        <v>5.6525815064282989E-2</v>
      </c>
      <c r="X1264" s="2">
        <f ca="1"/>
        <v>48.100124174717742</v>
      </c>
      <c r="AG1264" s="2">
        <f ca="1"/>
        <v>0.18342605562670933</v>
      </c>
      <c r="AH1264" s="2" t="str">
        <f ca="1"/>
        <v>OK</v>
      </c>
    </row>
    <row r="1265" spans="2:34">
      <c r="B1265" s="2">
        <f ca="1"/>
        <v>2.1499779744427849E-2</v>
      </c>
      <c r="O1265" s="2">
        <f ca="1"/>
        <v>-0.25901484129267105</v>
      </c>
      <c r="X1265" s="2">
        <f ca="1"/>
        <v>55.945369258446824</v>
      </c>
      <c r="AG1265" s="2">
        <f ca="1"/>
        <v>0.9555964474110743</v>
      </c>
      <c r="AH1265" s="2" t="str">
        <f ca="1"/>
        <v>Bad</v>
      </c>
    </row>
    <row r="1266" spans="2:34">
      <c r="B1266" s="2">
        <f ca="1"/>
        <v>0.8072736136026577</v>
      </c>
      <c r="O1266" s="2">
        <f ca="1"/>
        <v>-1.086358060343102</v>
      </c>
      <c r="X1266" s="2">
        <f ca="1"/>
        <v>50.603126759074925</v>
      </c>
      <c r="AG1266" s="2">
        <f ca="1"/>
        <v>0.38020980073492638</v>
      </c>
      <c r="AH1266" s="2" t="str">
        <f ca="1"/>
        <v>OK</v>
      </c>
    </row>
    <row r="1267" spans="2:34">
      <c r="B1267" s="2">
        <f ca="1"/>
        <v>0.8473723642652693</v>
      </c>
      <c r="O1267" s="2">
        <f ca="1"/>
        <v>-0.42515056543197893</v>
      </c>
      <c r="X1267" s="2">
        <f ca="1"/>
        <v>34.726969231298355</v>
      </c>
      <c r="AG1267" s="2">
        <f ca="1"/>
        <v>0.40269492979234078</v>
      </c>
      <c r="AH1267" s="2" t="str">
        <f ca="1"/>
        <v>Bad</v>
      </c>
    </row>
    <row r="1268" spans="2:34">
      <c r="B1268" s="2">
        <f ca="1"/>
        <v>0.82924405069014528</v>
      </c>
      <c r="O1268" s="2">
        <f ca="1"/>
        <v>2.2214734223005985</v>
      </c>
      <c r="X1268" s="2">
        <f ca="1"/>
        <v>40.09405545850661</v>
      </c>
      <c r="AG1268" s="2">
        <f ca="1"/>
        <v>0.37024100891187905</v>
      </c>
      <c r="AH1268" s="2" t="str">
        <f ca="1"/>
        <v>OK</v>
      </c>
    </row>
    <row r="1269" spans="2:34">
      <c r="B1269" s="2">
        <f ca="1"/>
        <v>0.33722258446594289</v>
      </c>
      <c r="O1269" s="2">
        <f ca="1"/>
        <v>-2.1680092866364973</v>
      </c>
      <c r="X1269" s="2">
        <f ca="1"/>
        <v>66.680719353608737</v>
      </c>
      <c r="AG1269" s="2">
        <f ca="1"/>
        <v>1.6064067140826754E-2</v>
      </c>
      <c r="AH1269" s="2" t="str">
        <f ca="1"/>
        <v>Good</v>
      </c>
    </row>
    <row r="1270" spans="2:34">
      <c r="B1270" s="2">
        <f ca="1"/>
        <v>3.0544895614962986E-2</v>
      </c>
      <c r="O1270" s="2">
        <f ca="1"/>
        <v>0.76745499321156196</v>
      </c>
      <c r="X1270" s="2">
        <f ca="1"/>
        <v>32.081781634202088</v>
      </c>
      <c r="AG1270" s="2">
        <f ca="1"/>
        <v>0.6659748004328474</v>
      </c>
      <c r="AH1270" s="2" t="str">
        <f ca="1"/>
        <v>Bad</v>
      </c>
    </row>
    <row r="1271" spans="2:34">
      <c r="B1271" s="2">
        <f ca="1"/>
        <v>0.70126483344925084</v>
      </c>
      <c r="O1271" s="2">
        <f ca="1"/>
        <v>-6.4116134026536958E-2</v>
      </c>
      <c r="X1271" s="2">
        <f ca="1"/>
        <v>64.182298800333797</v>
      </c>
      <c r="AG1271" s="2">
        <f ca="1"/>
        <v>0.45303513478616875</v>
      </c>
      <c r="AH1271" s="2" t="str">
        <f ca="1"/>
        <v>Bad</v>
      </c>
    </row>
    <row r="1272" spans="2:34">
      <c r="B1272" s="2">
        <f ca="1"/>
        <v>0.92527774644609218</v>
      </c>
      <c r="O1272" s="2">
        <f ca="1"/>
        <v>-2.0252671803136164</v>
      </c>
      <c r="X1272" s="2">
        <f ca="1"/>
        <v>55.179745247007055</v>
      </c>
      <c r="AG1272" s="2">
        <f ca="1"/>
        <v>0.24921134580763837</v>
      </c>
      <c r="AH1272" s="2" t="str">
        <f ca="1"/>
        <v>OK</v>
      </c>
    </row>
    <row r="1273" spans="2:34">
      <c r="B1273" s="2">
        <f ca="1"/>
        <v>8.766929452029637E-2</v>
      </c>
      <c r="O1273" s="2">
        <f ca="1"/>
        <v>0.68133237657344525</v>
      </c>
      <c r="X1273" s="2">
        <f ca="1"/>
        <v>53.615835585854072</v>
      </c>
      <c r="AG1273" s="2">
        <f ca="1"/>
        <v>7.3731145109100948E-2</v>
      </c>
      <c r="AH1273" s="2" t="str">
        <f ca="1"/>
        <v>OK</v>
      </c>
    </row>
    <row r="1274" spans="2:34">
      <c r="B1274" s="2">
        <f ca="1"/>
        <v>0.89677859907291646</v>
      </c>
      <c r="O1274" s="2">
        <f ca="1"/>
        <v>-1.0683477294042245</v>
      </c>
      <c r="X1274" s="2">
        <f ca="1"/>
        <v>29.567186944705544</v>
      </c>
      <c r="AG1274" s="2">
        <f ca="1"/>
        <v>0.91396488438654377</v>
      </c>
      <c r="AH1274" s="2" t="str">
        <f ca="1"/>
        <v>Bad</v>
      </c>
    </row>
    <row r="1275" spans="2:34">
      <c r="B1275" s="2">
        <f ca="1"/>
        <v>0.1817025642185901</v>
      </c>
      <c r="O1275" s="2">
        <f ca="1"/>
        <v>-0.34618359194504439</v>
      </c>
      <c r="X1275" s="2">
        <f ca="1"/>
        <v>31.577571340295911</v>
      </c>
      <c r="AG1275" s="2">
        <f ca="1"/>
        <v>0.9390536674474006</v>
      </c>
      <c r="AH1275" s="2" t="str">
        <f ca="1"/>
        <v>Bad</v>
      </c>
    </row>
    <row r="1276" spans="2:34">
      <c r="B1276" s="2">
        <f ca="1"/>
        <v>0.15194104180733148</v>
      </c>
      <c r="O1276" s="2">
        <f ca="1"/>
        <v>-2.5549127546110615</v>
      </c>
      <c r="X1276" s="2">
        <f ca="1"/>
        <v>26.087230267169502</v>
      </c>
      <c r="AG1276" s="2">
        <f ca="1"/>
        <v>2.6488025216840461E-2</v>
      </c>
      <c r="AH1276" s="2" t="str">
        <f ca="1"/>
        <v>Good</v>
      </c>
    </row>
    <row r="1277" spans="2:34">
      <c r="B1277" s="2">
        <f ca="1"/>
        <v>0.65793569317856404</v>
      </c>
      <c r="O1277" s="2">
        <f ca="1"/>
        <v>-0.16641905718511324</v>
      </c>
      <c r="X1277" s="2">
        <f ca="1"/>
        <v>38.594994702543353</v>
      </c>
      <c r="AG1277" s="2">
        <f ca="1"/>
        <v>0.10778339634778766</v>
      </c>
      <c r="AH1277" s="2" t="str">
        <f ca="1"/>
        <v>OK</v>
      </c>
    </row>
    <row r="1278" spans="2:34">
      <c r="B1278" s="2">
        <f ca="1"/>
        <v>0.18308288810618412</v>
      </c>
      <c r="O1278" s="2">
        <f ca="1"/>
        <v>1.3354803116157121</v>
      </c>
      <c r="X1278" s="2">
        <f ca="1"/>
        <v>39.949992666029466</v>
      </c>
      <c r="AG1278" s="2">
        <f ca="1"/>
        <v>4.692195391386611E-2</v>
      </c>
      <c r="AH1278" s="2" t="str">
        <f ca="1"/>
        <v>Good</v>
      </c>
    </row>
    <row r="1279" spans="2:34">
      <c r="B1279" s="2">
        <f ca="1"/>
        <v>0.26674376872510663</v>
      </c>
      <c r="O1279" s="2">
        <f ca="1"/>
        <v>1.1128478959294066</v>
      </c>
      <c r="X1279" s="2">
        <f ca="1"/>
        <v>45.269017772452912</v>
      </c>
      <c r="AG1279" s="2">
        <f ca="1"/>
        <v>0.14241879860141182</v>
      </c>
      <c r="AH1279" s="2" t="str">
        <f ca="1"/>
        <v>OK</v>
      </c>
    </row>
    <row r="1280" spans="2:34">
      <c r="B1280" s="2">
        <f ca="1"/>
        <v>6.6258436588446878E-2</v>
      </c>
      <c r="O1280" s="2">
        <f ca="1"/>
        <v>0.83558397223475345</v>
      </c>
      <c r="X1280" s="2">
        <f ca="1"/>
        <v>49.067688268360463</v>
      </c>
      <c r="AG1280" s="2">
        <f ca="1"/>
        <v>0.36481703383780362</v>
      </c>
      <c r="AH1280" s="2" t="str">
        <f ca="1"/>
        <v>OK</v>
      </c>
    </row>
    <row r="1281" spans="2:34">
      <c r="B1281" s="2">
        <f ca="1"/>
        <v>0.11652931118729715</v>
      </c>
      <c r="O1281" s="2">
        <f ca="1"/>
        <v>0.88326467088323635</v>
      </c>
      <c r="X1281" s="2">
        <f ca="1"/>
        <v>37.721827197585952</v>
      </c>
      <c r="AG1281" s="2">
        <f ca="1"/>
        <v>3.1097115709086243E-2</v>
      </c>
      <c r="AH1281" s="2" t="str">
        <f ca="1"/>
        <v>Good</v>
      </c>
    </row>
    <row r="1282" spans="2:34">
      <c r="B1282" s="2">
        <f ca="1"/>
        <v>0.80205765612421653</v>
      </c>
      <c r="O1282" s="2">
        <f ca="1"/>
        <v>-7.7509949365626177E-2</v>
      </c>
      <c r="X1282" s="2">
        <f ca="1"/>
        <v>57.370364956446252</v>
      </c>
      <c r="AG1282" s="2">
        <f ca="1"/>
        <v>0.76250651209932063</v>
      </c>
      <c r="AH1282" s="2" t="str">
        <f ca="1"/>
        <v>Bad</v>
      </c>
    </row>
    <row r="1283" spans="2:34">
      <c r="B1283" s="2">
        <f ca="1"/>
        <v>0.42686589411320308</v>
      </c>
      <c r="O1283" s="2">
        <f ca="1"/>
        <v>0.81667657232209334</v>
      </c>
      <c r="X1283" s="2">
        <f ca="1"/>
        <v>62.078641516709979</v>
      </c>
      <c r="AG1283" s="2">
        <f ca="1"/>
        <v>0.87911786492451505</v>
      </c>
      <c r="AH1283" s="2" t="str">
        <f ca="1"/>
        <v>Bad</v>
      </c>
    </row>
    <row r="1284" spans="2:34">
      <c r="B1284" s="2">
        <f ca="1"/>
        <v>0.60163029942463608</v>
      </c>
      <c r="O1284" s="2">
        <f ca="1"/>
        <v>1.451246857717972E-3</v>
      </c>
      <c r="X1284" s="2">
        <f ca="1"/>
        <v>63.695787893957188</v>
      </c>
      <c r="AG1284" s="2">
        <f ca="1"/>
        <v>0.71587494077238856</v>
      </c>
      <c r="AH1284" s="2" t="str">
        <f ca="1"/>
        <v>Bad</v>
      </c>
    </row>
    <row r="1285" spans="2:34">
      <c r="B1285" s="2">
        <f ca="1"/>
        <v>0.43980288369265219</v>
      </c>
      <c r="O1285" s="2">
        <f ca="1"/>
        <v>0.54562923929963325</v>
      </c>
      <c r="X1285" s="2">
        <f ca="1"/>
        <v>64.256644894651814</v>
      </c>
      <c r="AG1285" s="2">
        <f ca="1"/>
        <v>0.63146068640806785</v>
      </c>
      <c r="AH1285" s="2" t="str">
        <f ca="1"/>
        <v>Bad</v>
      </c>
    </row>
    <row r="1286" spans="2:34">
      <c r="B1286" s="2">
        <f ca="1"/>
        <v>0.92728477197413883</v>
      </c>
      <c r="O1286" s="2">
        <f ca="1"/>
        <v>1.2994766802773865</v>
      </c>
      <c r="X1286" s="2">
        <f ca="1"/>
        <v>47.076507275676093</v>
      </c>
      <c r="AG1286" s="2">
        <f ca="1"/>
        <v>0.4581192539631318</v>
      </c>
      <c r="AH1286" s="2" t="str">
        <f ca="1"/>
        <v>Bad</v>
      </c>
    </row>
    <row r="1287" spans="2:34">
      <c r="B1287" s="2">
        <f ca="1"/>
        <v>6.5875423831968094E-2</v>
      </c>
      <c r="O1287" s="2">
        <f ca="1"/>
        <v>0.23685571700307087</v>
      </c>
      <c r="X1287" s="2">
        <f ca="1"/>
        <v>72.879730445841261</v>
      </c>
      <c r="AG1287" s="2">
        <f ca="1"/>
        <v>0.73255349538337078</v>
      </c>
      <c r="AH1287" s="2" t="str">
        <f ca="1"/>
        <v>Bad</v>
      </c>
    </row>
    <row r="1288" spans="2:34">
      <c r="B1288" s="2">
        <f ca="1"/>
        <v>0.63129098942801809</v>
      </c>
      <c r="O1288" s="2">
        <f ca="1"/>
        <v>0.20823932806981837</v>
      </c>
      <c r="X1288" s="2">
        <f ca="1"/>
        <v>66.149419424939865</v>
      </c>
      <c r="AG1288" s="2">
        <f ca="1"/>
        <v>0.43060122421400737</v>
      </c>
      <c r="AH1288" s="2" t="str">
        <f ca="1"/>
        <v>Bad</v>
      </c>
    </row>
    <row r="1289" spans="2:34">
      <c r="B1289" s="2">
        <f ca="1"/>
        <v>0.99373720030652901</v>
      </c>
      <c r="O1289" s="2">
        <f ca="1"/>
        <v>-1.219082737305796</v>
      </c>
      <c r="X1289" s="2">
        <f ca="1"/>
        <v>23.238777284743527</v>
      </c>
      <c r="AG1289" s="2">
        <f ca="1"/>
        <v>0.30145378651323029</v>
      </c>
      <c r="AH1289" s="2" t="str">
        <f ca="1"/>
        <v>OK</v>
      </c>
    </row>
    <row r="1290" spans="2:34">
      <c r="B1290" s="2">
        <f ca="1"/>
        <v>0.96885524125817901</v>
      </c>
      <c r="O1290" s="2">
        <f ca="1"/>
        <v>-1.7220362441636446E-2</v>
      </c>
      <c r="X1290" s="2">
        <f ca="1"/>
        <v>66.014786152343959</v>
      </c>
      <c r="AG1290" s="2">
        <f ca="1"/>
        <v>0.30179034811078065</v>
      </c>
      <c r="AH1290" s="2" t="str">
        <f ca="1"/>
        <v>OK</v>
      </c>
    </row>
    <row r="1291" spans="2:34">
      <c r="B1291" s="2">
        <f ca="1"/>
        <v>0.64078151023087893</v>
      </c>
      <c r="O1291" s="2">
        <f ca="1"/>
        <v>-1.2964814701121308</v>
      </c>
      <c r="X1291" s="2">
        <f ca="1"/>
        <v>39.284070882773165</v>
      </c>
      <c r="AG1291" s="2">
        <f ca="1"/>
        <v>0.58703643083601964</v>
      </c>
      <c r="AH1291" s="2" t="str">
        <f ca="1"/>
        <v>Bad</v>
      </c>
    </row>
    <row r="1292" spans="2:34">
      <c r="B1292" s="2">
        <f ca="1"/>
        <v>0.38929948147067051</v>
      </c>
      <c r="O1292" s="2">
        <f ca="1"/>
        <v>0.80045118400289339</v>
      </c>
      <c r="X1292" s="2">
        <f ca="1"/>
        <v>51.273586639822206</v>
      </c>
      <c r="AG1292" s="2">
        <f ca="1"/>
        <v>0.45599256020115697</v>
      </c>
      <c r="AH1292" s="2" t="str">
        <f ca="1"/>
        <v>Bad</v>
      </c>
    </row>
    <row r="1293" spans="2:34">
      <c r="B1293" s="2">
        <f ca="1"/>
        <v>0.60567444334996567</v>
      </c>
      <c r="O1293" s="2">
        <f ca="1"/>
        <v>-1.5410098965852763</v>
      </c>
      <c r="X1293" s="2">
        <f ca="1"/>
        <v>50.206618900755686</v>
      </c>
      <c r="AG1293" s="2">
        <f ca="1"/>
        <v>0.86054791694964083</v>
      </c>
      <c r="AH1293" s="2" t="str">
        <f ca="1"/>
        <v>Bad</v>
      </c>
    </row>
    <row r="1294" spans="2:34">
      <c r="B1294" s="2">
        <f ca="1"/>
        <v>1.496432243762813E-2</v>
      </c>
      <c r="O1294" s="2">
        <f ca="1"/>
        <v>-1.6200989043639606</v>
      </c>
      <c r="X1294" s="2">
        <f ca="1"/>
        <v>32.742593336737379</v>
      </c>
      <c r="AG1294" s="2">
        <f ca="1"/>
        <v>0.96955582269064688</v>
      </c>
      <c r="AH1294" s="2" t="str">
        <f ca="1"/>
        <v>Bad</v>
      </c>
    </row>
    <row r="1295" spans="2:34">
      <c r="B1295" s="2">
        <f ca="1"/>
        <v>0.23294820930106575</v>
      </c>
      <c r="O1295" s="2">
        <f ca="1"/>
        <v>1.0935487853087986</v>
      </c>
      <c r="X1295" s="2">
        <f ca="1"/>
        <v>30.89141195022124</v>
      </c>
      <c r="AG1295" s="2">
        <f ca="1"/>
        <v>0.58401828772350295</v>
      </c>
      <c r="AH1295" s="2" t="str">
        <f ca="1"/>
        <v>Bad</v>
      </c>
    </row>
    <row r="1296" spans="2:34">
      <c r="B1296" s="2">
        <f ca="1"/>
        <v>0.33208846878798304</v>
      </c>
      <c r="O1296" s="2">
        <f ca="1"/>
        <v>1.9559389183883542</v>
      </c>
      <c r="X1296" s="2">
        <f ca="1"/>
        <v>63.873036386046763</v>
      </c>
      <c r="AG1296" s="2">
        <f ca="1"/>
        <v>0.190979689004521</v>
      </c>
      <c r="AH1296" s="2" t="str">
        <f ca="1"/>
        <v>OK</v>
      </c>
    </row>
    <row r="1297" spans="2:34">
      <c r="B1297" s="2">
        <f ca="1"/>
        <v>0.17625417751068539</v>
      </c>
      <c r="O1297" s="2">
        <f ca="1"/>
        <v>0.39758578955661839</v>
      </c>
      <c r="X1297" s="2">
        <f ca="1"/>
        <v>53.274258932263734</v>
      </c>
      <c r="AG1297" s="2">
        <f ca="1"/>
        <v>0.55268264553718205</v>
      </c>
      <c r="AH1297" s="2" t="str">
        <f ca="1"/>
        <v>Bad</v>
      </c>
    </row>
    <row r="1298" spans="2:34">
      <c r="B1298" s="2">
        <f ca="1"/>
        <v>0.94723080601078524</v>
      </c>
      <c r="O1298" s="2">
        <f ca="1"/>
        <v>2.4963729070225176</v>
      </c>
      <c r="X1298" s="2">
        <f ca="1"/>
        <v>59.981789664436612</v>
      </c>
      <c r="AG1298" s="2">
        <f ca="1"/>
        <v>3.4203943104943679E-2</v>
      </c>
      <c r="AH1298" s="2" t="str">
        <f ca="1"/>
        <v>Good</v>
      </c>
    </row>
    <row r="1299" spans="2:34">
      <c r="B1299" s="2">
        <f ca="1"/>
        <v>0.39450196247026836</v>
      </c>
      <c r="O1299" s="2">
        <f ca="1"/>
        <v>0.18826849979783536</v>
      </c>
      <c r="X1299" s="2">
        <f ca="1"/>
        <v>59.472992486733993</v>
      </c>
      <c r="AG1299" s="2">
        <f ca="1"/>
        <v>0.76787559393862104</v>
      </c>
      <c r="AH1299" s="2" t="str">
        <f ca="1"/>
        <v>Bad</v>
      </c>
    </row>
    <row r="1300" spans="2:34">
      <c r="B1300" s="2">
        <f ca="1"/>
        <v>0.20675138620925537</v>
      </c>
      <c r="O1300" s="2">
        <f ca="1"/>
        <v>0.45518367059820036</v>
      </c>
      <c r="X1300" s="2">
        <f ca="1"/>
        <v>60.929878481738726</v>
      </c>
      <c r="AG1300" s="2">
        <f ca="1"/>
        <v>0.71846889642575262</v>
      </c>
      <c r="AH1300" s="2" t="str">
        <f ca="1"/>
        <v>Bad</v>
      </c>
    </row>
    <row r="1301" spans="2:34">
      <c r="B1301" s="2">
        <f ca="1"/>
        <v>0.43506582503682423</v>
      </c>
      <c r="O1301" s="2">
        <f ca="1"/>
        <v>5.0929361247943887E-2</v>
      </c>
      <c r="X1301" s="2">
        <f ca="1"/>
        <v>58.570146508876078</v>
      </c>
      <c r="AG1301" s="2">
        <f ca="1"/>
        <v>0.26292255298068534</v>
      </c>
      <c r="AH1301" s="2" t="str">
        <f ca="1"/>
        <v>OK</v>
      </c>
    </row>
    <row r="1302" spans="2:34">
      <c r="B1302" s="2">
        <f ca="1"/>
        <v>0.23125071741974024</v>
      </c>
      <c r="O1302" s="2">
        <f ca="1"/>
        <v>-0.75055744588223083</v>
      </c>
      <c r="X1302" s="2">
        <f ca="1"/>
        <v>41.812402083635192</v>
      </c>
      <c r="AG1302" s="2">
        <f ca="1"/>
        <v>3.0592745562709966E-2</v>
      </c>
      <c r="AH1302" s="2" t="str">
        <f ca="1"/>
        <v>Good</v>
      </c>
    </row>
    <row r="1303" spans="2:34">
      <c r="B1303" s="2">
        <f ca="1"/>
        <v>0.70801563309517901</v>
      </c>
      <c r="O1303" s="2">
        <f ca="1"/>
        <v>-1.3801512023271441</v>
      </c>
      <c r="X1303" s="2">
        <f ca="1"/>
        <v>36.305021477791939</v>
      </c>
      <c r="AG1303" s="2">
        <f ca="1"/>
        <v>0.15333125337017983</v>
      </c>
      <c r="AH1303" s="2" t="str">
        <f ca="1"/>
        <v>OK</v>
      </c>
    </row>
    <row r="1304" spans="2:34">
      <c r="B1304" s="2">
        <f ca="1"/>
        <v>0.96250675373467587</v>
      </c>
      <c r="O1304" s="2">
        <f ca="1"/>
        <v>-0.99449242751647138</v>
      </c>
      <c r="X1304" s="2">
        <f ca="1"/>
        <v>58.805414923034249</v>
      </c>
      <c r="AG1304" s="2">
        <f ca="1"/>
        <v>0.38657103234861356</v>
      </c>
      <c r="AH1304" s="2" t="str">
        <f ca="1"/>
        <v>OK</v>
      </c>
    </row>
    <row r="1305" spans="2:34">
      <c r="B1305" s="2">
        <f ca="1"/>
        <v>0.64125009014538215</v>
      </c>
      <c r="O1305" s="2">
        <f ca="1"/>
        <v>0.13174722994623481</v>
      </c>
      <c r="X1305" s="2">
        <f ca="1"/>
        <v>84.970766518874967</v>
      </c>
      <c r="AG1305" s="2">
        <f ca="1"/>
        <v>0.566607795934575</v>
      </c>
      <c r="AH1305" s="2" t="str">
        <f ca="1"/>
        <v>Bad</v>
      </c>
    </row>
    <row r="1306" spans="2:34">
      <c r="B1306" s="2">
        <f ca="1"/>
        <v>0.74592388104495599</v>
      </c>
      <c r="O1306" s="2">
        <f ca="1"/>
        <v>0.77008583933786168</v>
      </c>
      <c r="X1306" s="2">
        <f ca="1"/>
        <v>56.060475243371386</v>
      </c>
      <c r="AG1306" s="2">
        <f ca="1"/>
        <v>0.45116785512509505</v>
      </c>
      <c r="AH1306" s="2" t="str">
        <f ca="1"/>
        <v>Bad</v>
      </c>
    </row>
    <row r="1307" spans="2:34">
      <c r="B1307" s="2">
        <f ca="1"/>
        <v>0.88140706343002484</v>
      </c>
      <c r="O1307" s="2">
        <f ca="1"/>
        <v>0.70517603494151104</v>
      </c>
      <c r="X1307" s="2">
        <f ca="1"/>
        <v>21.313929374746799</v>
      </c>
      <c r="AG1307" s="2">
        <f ca="1"/>
        <v>6.1407376069960273E-2</v>
      </c>
      <c r="AH1307" s="2" t="str">
        <f ca="1"/>
        <v>OK</v>
      </c>
    </row>
    <row r="1308" spans="2:34">
      <c r="B1308" s="2">
        <f ca="1"/>
        <v>0.32184477155463065</v>
      </c>
      <c r="O1308" s="2">
        <f ca="1"/>
        <v>-0.39228785866088556</v>
      </c>
      <c r="X1308" s="2">
        <f ca="1"/>
        <v>58.103917075863137</v>
      </c>
      <c r="AG1308" s="2">
        <f ca="1"/>
        <v>0.50057903006795379</v>
      </c>
      <c r="AH1308" s="2" t="str">
        <f ca="1"/>
        <v>Bad</v>
      </c>
    </row>
    <row r="1309" spans="2:34">
      <c r="B1309" s="2">
        <f ca="1"/>
        <v>0.2425215717252629</v>
      </c>
      <c r="O1309" s="2">
        <f ca="1"/>
        <v>1.7789580359220702</v>
      </c>
      <c r="X1309" s="2">
        <f ca="1"/>
        <v>60.776272258599782</v>
      </c>
      <c r="AG1309" s="2">
        <f ca="1"/>
        <v>0.62660556506643172</v>
      </c>
      <c r="AH1309" s="2" t="str">
        <f ca="1"/>
        <v>Bad</v>
      </c>
    </row>
    <row r="1310" spans="2:34">
      <c r="B1310" s="2">
        <f ca="1"/>
        <v>5.0456603521803256E-2</v>
      </c>
      <c r="O1310" s="2">
        <f ca="1"/>
        <v>1.5757926894303127</v>
      </c>
      <c r="X1310" s="2">
        <f ca="1"/>
        <v>51.534138490041727</v>
      </c>
      <c r="AG1310" s="2">
        <f ca="1"/>
        <v>0.72802392503790503</v>
      </c>
      <c r="AH1310" s="2" t="str">
        <f ca="1"/>
        <v>Bad</v>
      </c>
    </row>
    <row r="1311" spans="2:34">
      <c r="B1311" s="2">
        <f ca="1"/>
        <v>0.9715016360693105</v>
      </c>
      <c r="O1311" s="2">
        <f ca="1"/>
        <v>1.0427233829788318</v>
      </c>
      <c r="X1311" s="2">
        <f ca="1"/>
        <v>71.97736636181348</v>
      </c>
      <c r="AG1311" s="2">
        <f ca="1"/>
        <v>0.80051032512648956</v>
      </c>
      <c r="AH1311" s="2" t="str">
        <f ca="1"/>
        <v>Bad</v>
      </c>
    </row>
    <row r="1312" spans="2:34">
      <c r="B1312" s="2">
        <f ca="1"/>
        <v>6.3507036740475087E-2</v>
      </c>
      <c r="O1312" s="2">
        <f ca="1"/>
        <v>-0.67012306795251175</v>
      </c>
      <c r="X1312" s="2">
        <f ca="1"/>
        <v>43.673234881853766</v>
      </c>
      <c r="AG1312" s="2">
        <f ca="1"/>
        <v>0.52828233269207203</v>
      </c>
      <c r="AH1312" s="2" t="str">
        <f ca="1"/>
        <v>Bad</v>
      </c>
    </row>
    <row r="1313" spans="2:34">
      <c r="B1313" s="2">
        <f ca="1"/>
        <v>0.37555681071577252</v>
      </c>
      <c r="O1313" s="2">
        <f ca="1"/>
        <v>-1.3983384864227042</v>
      </c>
      <c r="X1313" s="2">
        <f ca="1"/>
        <v>63.668304113918602</v>
      </c>
      <c r="AG1313" s="2">
        <f ca="1"/>
        <v>0.17413613261096361</v>
      </c>
      <c r="AH1313" s="2" t="str">
        <f ca="1"/>
        <v>OK</v>
      </c>
    </row>
    <row r="1314" spans="2:34">
      <c r="B1314" s="2">
        <f ca="1"/>
        <v>4.0939791265736325E-2</v>
      </c>
      <c r="O1314" s="2">
        <f ca="1"/>
        <v>-1.2413703729262688</v>
      </c>
      <c r="X1314" s="2">
        <f ca="1"/>
        <v>73.40729638235814</v>
      </c>
      <c r="AG1314" s="2">
        <f ca="1"/>
        <v>9.3598884140436489E-2</v>
      </c>
      <c r="AH1314" s="2" t="str">
        <f ca="1"/>
        <v>OK</v>
      </c>
    </row>
    <row r="1315" spans="2:34">
      <c r="B1315" s="2">
        <f ca="1"/>
        <v>0.1170942985518475</v>
      </c>
      <c r="O1315" s="2">
        <f ca="1"/>
        <v>-0.15621737732139251</v>
      </c>
      <c r="X1315" s="2">
        <f ca="1"/>
        <v>66.41226688611296</v>
      </c>
      <c r="AG1315" s="2">
        <f ca="1"/>
        <v>0.91752937162839876</v>
      </c>
      <c r="AH1315" s="2" t="str">
        <f ca="1"/>
        <v>Bad</v>
      </c>
    </row>
    <row r="1316" spans="2:34">
      <c r="B1316" s="2">
        <f ca="1"/>
        <v>0.20476345917713346</v>
      </c>
      <c r="O1316" s="2">
        <f ca="1"/>
        <v>0.62321520742601078</v>
      </c>
      <c r="X1316" s="2">
        <f ca="1"/>
        <v>52.689284875650095</v>
      </c>
      <c r="AG1316" s="2">
        <f ca="1"/>
        <v>1.5158089800031194E-2</v>
      </c>
      <c r="AH1316" s="2" t="str">
        <f ca="1"/>
        <v>Good</v>
      </c>
    </row>
    <row r="1317" spans="2:34">
      <c r="B1317" s="2">
        <f ca="1"/>
        <v>0.40190823181185542</v>
      </c>
      <c r="O1317" s="2">
        <f ca="1"/>
        <v>-0.11282918176724681</v>
      </c>
      <c r="X1317" s="2">
        <f ca="1"/>
        <v>53.535917002566087</v>
      </c>
      <c r="AG1317" s="2">
        <f ca="1"/>
        <v>0.4211280748524544</v>
      </c>
      <c r="AH1317" s="2" t="str">
        <f ca="1"/>
        <v>Bad</v>
      </c>
    </row>
    <row r="1318" spans="2:34">
      <c r="B1318" s="2">
        <f ca="1"/>
        <v>0.14817726273949994</v>
      </c>
      <c r="O1318" s="2">
        <f ca="1"/>
        <v>-0.16100156728912957</v>
      </c>
      <c r="X1318" s="2">
        <f ca="1"/>
        <v>67.044849655393762</v>
      </c>
      <c r="AG1318" s="2">
        <f ca="1"/>
        <v>7.5408873294078971E-2</v>
      </c>
      <c r="AH1318" s="2" t="str">
        <f ca="1"/>
        <v>OK</v>
      </c>
    </row>
    <row r="1319" spans="2:34">
      <c r="B1319" s="2">
        <f ca="1"/>
        <v>0.86791243454948264</v>
      </c>
      <c r="O1319" s="2">
        <f ca="1"/>
        <v>5.9630776420116736E-2</v>
      </c>
      <c r="X1319" s="2">
        <f ca="1"/>
        <v>34.844063554516858</v>
      </c>
      <c r="AG1319" s="2">
        <f ca="1"/>
        <v>0.96609446636224927</v>
      </c>
      <c r="AH1319" s="2" t="str">
        <f ca="1"/>
        <v>Bad</v>
      </c>
    </row>
    <row r="1320" spans="2:34">
      <c r="B1320" s="2">
        <f ca="1"/>
        <v>0.8491740662984868</v>
      </c>
      <c r="O1320" s="2">
        <f ca="1"/>
        <v>0.64229219356695844</v>
      </c>
      <c r="X1320" s="2">
        <f ca="1"/>
        <v>29.504906490098612</v>
      </c>
      <c r="AG1320" s="2">
        <f ca="1"/>
        <v>5.6884185945400789E-2</v>
      </c>
      <c r="AH1320" s="2" t="str">
        <f ca="1"/>
        <v>OK</v>
      </c>
    </row>
    <row r="1321" spans="2:34">
      <c r="B1321" s="2">
        <f ca="1"/>
        <v>0.52245074460781837</v>
      </c>
      <c r="O1321" s="2">
        <f ca="1"/>
        <v>-1.5464513869339043</v>
      </c>
      <c r="X1321" s="2">
        <f ca="1"/>
        <v>51.039506104007692</v>
      </c>
      <c r="AG1321" s="2">
        <f ca="1"/>
        <v>0.86936791640711797</v>
      </c>
      <c r="AH1321" s="2" t="str">
        <f ca="1"/>
        <v>Bad</v>
      </c>
    </row>
    <row r="1322" spans="2:34">
      <c r="B1322" s="2">
        <f ca="1"/>
        <v>0.25153081259065946</v>
      </c>
      <c r="O1322" s="2">
        <f ca="1"/>
        <v>-0.13448021761618237</v>
      </c>
      <c r="X1322" s="2">
        <f ca="1"/>
        <v>40.075606228493413</v>
      </c>
      <c r="AG1322" s="2">
        <f ca="1"/>
        <v>0.10719973593868981</v>
      </c>
      <c r="AH1322" s="2" t="str">
        <f ca="1"/>
        <v>OK</v>
      </c>
    </row>
    <row r="1323" spans="2:34">
      <c r="B1323" s="2">
        <f ca="1"/>
        <v>0.38484146840253253</v>
      </c>
      <c r="O1323" s="2">
        <f ca="1"/>
        <v>0.33167627852725434</v>
      </c>
      <c r="X1323" s="2">
        <f ca="1"/>
        <v>48.054621156082973</v>
      </c>
      <c r="AG1323" s="2">
        <f ca="1"/>
        <v>0.99335039948109327</v>
      </c>
      <c r="AH1323" s="2" t="str">
        <f ca="1"/>
        <v>Bad</v>
      </c>
    </row>
    <row r="1324" spans="2:34">
      <c r="B1324" s="2">
        <f ca="1"/>
        <v>0.46099088197996063</v>
      </c>
      <c r="O1324" s="2">
        <f ca="1"/>
        <v>1.4332305094403104</v>
      </c>
      <c r="X1324" s="2">
        <f ca="1"/>
        <v>69.487456227215063</v>
      </c>
      <c r="AG1324" s="2">
        <f ca="1"/>
        <v>0.13898914308558541</v>
      </c>
      <c r="AH1324" s="2" t="str">
        <f ca="1"/>
        <v>OK</v>
      </c>
    </row>
    <row r="1325" spans="2:34">
      <c r="B1325" s="2">
        <f ca="1"/>
        <v>0.77552293794364813</v>
      </c>
      <c r="O1325" s="2">
        <f ca="1"/>
        <v>1.4052039186550758</v>
      </c>
      <c r="X1325" s="2">
        <f ca="1"/>
        <v>28.268189432502481</v>
      </c>
      <c r="AG1325" s="2">
        <f ca="1"/>
        <v>0.11907837758782081</v>
      </c>
      <c r="AH1325" s="2" t="str">
        <f ca="1"/>
        <v>OK</v>
      </c>
    </row>
    <row r="1326" spans="2:34">
      <c r="B1326" s="2">
        <f ca="1"/>
        <v>0.31157414001296169</v>
      </c>
      <c r="O1326" s="2">
        <f ca="1"/>
        <v>0.16712882371663723</v>
      </c>
      <c r="X1326" s="2">
        <f ca="1"/>
        <v>50.510286335626546</v>
      </c>
      <c r="AG1326" s="2">
        <f ca="1"/>
        <v>0.72462413955271732</v>
      </c>
      <c r="AH1326" s="2" t="str">
        <f ca="1"/>
        <v>Bad</v>
      </c>
    </row>
    <row r="1327" spans="2:34">
      <c r="B1327" s="2">
        <f ca="1"/>
        <v>0.65680841258677125</v>
      </c>
      <c r="O1327" s="2">
        <f ca="1"/>
        <v>-1.1615501809805604</v>
      </c>
      <c r="X1327" s="2">
        <f ca="1"/>
        <v>51.118381830457182</v>
      </c>
      <c r="AG1327" s="2">
        <f ca="1"/>
        <v>0.93253023208800201</v>
      </c>
      <c r="AH1327" s="2" t="str">
        <f ca="1"/>
        <v>Bad</v>
      </c>
    </row>
    <row r="1328" spans="2:34">
      <c r="B1328" s="2">
        <f ca="1"/>
        <v>0.96373213373294497</v>
      </c>
      <c r="O1328" s="2">
        <f ca="1"/>
        <v>-6.7872742300746402E-3</v>
      </c>
      <c r="X1328" s="2">
        <f ca="1"/>
        <v>27.611725092320661</v>
      </c>
      <c r="AG1328" s="2">
        <f ca="1"/>
        <v>5.535927243868155E-2</v>
      </c>
      <c r="AH1328" s="2" t="str">
        <f ca="1"/>
        <v>OK</v>
      </c>
    </row>
    <row r="1329" spans="2:34">
      <c r="B1329" s="2">
        <f ca="1"/>
        <v>0.78977133559289392</v>
      </c>
      <c r="O1329" s="2">
        <f ca="1"/>
        <v>1.7185934187113476</v>
      </c>
      <c r="X1329" s="2">
        <f ca="1"/>
        <v>64.720088872758041</v>
      </c>
      <c r="AG1329" s="2">
        <f ca="1"/>
        <v>0.78188324426179157</v>
      </c>
      <c r="AH1329" s="2" t="str">
        <f ca="1"/>
        <v>Bad</v>
      </c>
    </row>
    <row r="1330" spans="2:34">
      <c r="B1330" s="2">
        <f ca="1"/>
        <v>0.12964919935539521</v>
      </c>
      <c r="O1330" s="2">
        <f ca="1"/>
        <v>1.3820658520489211</v>
      </c>
      <c r="X1330" s="2">
        <f ca="1"/>
        <v>80.677341727693289</v>
      </c>
      <c r="AG1330" s="2">
        <f ca="1"/>
        <v>0.36626515314483976</v>
      </c>
      <c r="AH1330" s="2" t="str">
        <f ca="1"/>
        <v>OK</v>
      </c>
    </row>
    <row r="1331" spans="2:34">
      <c r="B1331" s="2">
        <f ca="1"/>
        <v>0.73107397374300165</v>
      </c>
      <c r="O1331" s="2">
        <f ca="1"/>
        <v>0.89950383181825755</v>
      </c>
      <c r="X1331" s="2">
        <f ca="1"/>
        <v>76.42755161231733</v>
      </c>
      <c r="AG1331" s="2">
        <f ca="1"/>
        <v>0.3222354506104359</v>
      </c>
      <c r="AH1331" s="2" t="str">
        <f ca="1"/>
        <v>OK</v>
      </c>
    </row>
    <row r="1332" spans="2:34">
      <c r="B1332" s="2">
        <f ca="1"/>
        <v>0.51244630667648461</v>
      </c>
      <c r="O1332" s="2">
        <f ca="1"/>
        <v>1.2750391965753498</v>
      </c>
      <c r="X1332" s="2">
        <f ca="1"/>
        <v>35.355164168430903</v>
      </c>
      <c r="AG1332" s="2">
        <f ca="1"/>
        <v>3.0641928975562838E-2</v>
      </c>
      <c r="AH1332" s="2" t="str">
        <f ca="1"/>
        <v>Good</v>
      </c>
    </row>
    <row r="1333" spans="2:34">
      <c r="B1333" s="2">
        <f ca="1"/>
        <v>0.81221757979875742</v>
      </c>
      <c r="O1333" s="2">
        <f ca="1"/>
        <v>1.5723053957404516</v>
      </c>
      <c r="X1333" s="2">
        <f ca="1"/>
        <v>65.241595409767484</v>
      </c>
      <c r="AG1333" s="2">
        <f ca="1"/>
        <v>0.35511865426375389</v>
      </c>
      <c r="AH1333" s="2" t="str">
        <f ca="1"/>
        <v>OK</v>
      </c>
    </row>
    <row r="1334" spans="2:34">
      <c r="B1334" s="2">
        <f ca="1"/>
        <v>0.53373898738290348</v>
      </c>
      <c r="O1334" s="2">
        <f ca="1"/>
        <v>0.7470780178558919</v>
      </c>
      <c r="X1334" s="2">
        <f ca="1"/>
        <v>59.717098438086524</v>
      </c>
      <c r="AG1334" s="2">
        <f ca="1"/>
        <v>0.53818375983093469</v>
      </c>
      <c r="AH1334" s="2" t="str">
        <f ca="1"/>
        <v>Bad</v>
      </c>
    </row>
    <row r="1335" spans="2:34">
      <c r="B1335" s="2">
        <f ca="1"/>
        <v>0.44357056296894726</v>
      </c>
      <c r="O1335" s="2">
        <f ca="1"/>
        <v>1.4446048638013613</v>
      </c>
      <c r="X1335" s="2">
        <f ca="1"/>
        <v>57.985007194086222</v>
      </c>
      <c r="AG1335" s="2">
        <f ca="1"/>
        <v>0.79895137845853226</v>
      </c>
      <c r="AH1335" s="2" t="str">
        <f ca="1"/>
        <v>Bad</v>
      </c>
    </row>
    <row r="1336" spans="2:34">
      <c r="B1336" s="2">
        <f ca="1"/>
        <v>0.86594948993313592</v>
      </c>
      <c r="O1336" s="2">
        <f ca="1"/>
        <v>0.94233627105726936</v>
      </c>
      <c r="X1336" s="2">
        <f ca="1"/>
        <v>64.57486606660288</v>
      </c>
      <c r="AG1336" s="2">
        <f ca="1"/>
        <v>0.80667339730181742</v>
      </c>
      <c r="AH1336" s="2" t="str">
        <f ca="1"/>
        <v>Bad</v>
      </c>
    </row>
    <row r="1337" spans="2:34">
      <c r="B1337" s="2">
        <f ca="1"/>
        <v>0.17865411213566884</v>
      </c>
      <c r="O1337" s="2">
        <f ca="1"/>
        <v>0.5306581892322626</v>
      </c>
      <c r="X1337" s="2">
        <f ca="1"/>
        <v>49.590030289629887</v>
      </c>
      <c r="AG1337" s="2">
        <f ca="1"/>
        <v>0.5697711184209564</v>
      </c>
      <c r="AH1337" s="2" t="str">
        <f ca="1"/>
        <v>Bad</v>
      </c>
    </row>
    <row r="1338" spans="2:34">
      <c r="B1338" s="2">
        <f ca="1"/>
        <v>0.61733440174119769</v>
      </c>
      <c r="O1338" s="2">
        <f ca="1"/>
        <v>1.3055999534458858</v>
      </c>
      <c r="X1338" s="2">
        <f ca="1"/>
        <v>41.128112571596731</v>
      </c>
      <c r="AG1338" s="2">
        <f ca="1"/>
        <v>0.88838694113406169</v>
      </c>
      <c r="AH1338" s="2" t="str">
        <f ca="1"/>
        <v>Bad</v>
      </c>
    </row>
    <row r="1339" spans="2:34">
      <c r="B1339" s="2">
        <f ca="1"/>
        <v>0.74637126852495728</v>
      </c>
      <c r="O1339" s="2">
        <f ca="1"/>
        <v>-0.14645776886761966</v>
      </c>
      <c r="X1339" s="2">
        <f ca="1"/>
        <v>53.178350723823335</v>
      </c>
      <c r="AG1339" s="2">
        <f ca="1"/>
        <v>0.81337644812802234</v>
      </c>
      <c r="AH1339" s="2" t="str">
        <f ca="1"/>
        <v>Bad</v>
      </c>
    </row>
    <row r="1340" spans="2:34">
      <c r="B1340" s="2">
        <f ca="1"/>
        <v>4.8422377151863483E-2</v>
      </c>
      <c r="O1340" s="2">
        <f ca="1"/>
        <v>-1.1516825125982566</v>
      </c>
      <c r="X1340" s="2">
        <f ca="1"/>
        <v>32.255528355062935</v>
      </c>
      <c r="AG1340" s="2">
        <f ca="1"/>
        <v>0.12709963797950219</v>
      </c>
      <c r="AH1340" s="2" t="str">
        <f ca="1"/>
        <v>OK</v>
      </c>
    </row>
    <row r="1341" spans="2:34">
      <c r="B1341" s="2">
        <f ca="1"/>
        <v>0.2991761543428002</v>
      </c>
      <c r="O1341" s="2">
        <f ca="1"/>
        <v>-1.3982004214988391</v>
      </c>
      <c r="X1341" s="2">
        <f ca="1"/>
        <v>56.79095307197413</v>
      </c>
      <c r="AG1341" s="2">
        <f ca="1"/>
        <v>0.67759749948255843</v>
      </c>
      <c r="AH1341" s="2" t="str">
        <f ca="1"/>
        <v>Bad</v>
      </c>
    </row>
    <row r="1342" spans="2:34">
      <c r="B1342" s="2">
        <f ca="1"/>
        <v>0.71047878566954314</v>
      </c>
      <c r="O1342" s="2">
        <f ca="1"/>
        <v>0.25776686092125239</v>
      </c>
      <c r="X1342" s="2">
        <f ca="1"/>
        <v>49.567684349914188</v>
      </c>
      <c r="AG1342" s="2">
        <f ca="1"/>
        <v>0.57423363429284713</v>
      </c>
      <c r="AH1342" s="2" t="str">
        <f ca="1"/>
        <v>Bad</v>
      </c>
    </row>
    <row r="1343" spans="2:34">
      <c r="B1343" s="2">
        <f ca="1"/>
        <v>0.2516839661346133</v>
      </c>
      <c r="O1343" s="2">
        <f ca="1"/>
        <v>0.27539562059484202</v>
      </c>
      <c r="X1343" s="2">
        <f ca="1"/>
        <v>43.145076405921891</v>
      </c>
      <c r="AG1343" s="2">
        <f ca="1"/>
        <v>0.85940050965842296</v>
      </c>
      <c r="AH1343" s="2" t="str">
        <f ca="1"/>
        <v>Bad</v>
      </c>
    </row>
    <row r="1344" spans="2:34">
      <c r="B1344" s="2">
        <f ca="1"/>
        <v>0.65524994940253634</v>
      </c>
      <c r="O1344" s="2">
        <f ca="1"/>
        <v>-0.70697902557100223</v>
      </c>
      <c r="X1344" s="2">
        <f ca="1"/>
        <v>71.424685278842816</v>
      </c>
      <c r="AG1344" s="2">
        <f ca="1"/>
        <v>0.91977362826539144</v>
      </c>
      <c r="AH1344" s="2" t="str">
        <f ca="1"/>
        <v>Bad</v>
      </c>
    </row>
    <row r="1345" spans="2:34">
      <c r="B1345" s="2">
        <f ca="1"/>
        <v>0.85871208837553992</v>
      </c>
      <c r="O1345" s="2">
        <f ca="1"/>
        <v>-0.47297071146682723</v>
      </c>
      <c r="X1345" s="2">
        <f ca="1"/>
        <v>42.83224749494444</v>
      </c>
      <c r="AG1345" s="2">
        <f ca="1"/>
        <v>0.26789371846518928</v>
      </c>
      <c r="AH1345" s="2" t="str">
        <f ca="1"/>
        <v>OK</v>
      </c>
    </row>
    <row r="1346" spans="2:34">
      <c r="B1346" s="2">
        <f ca="1"/>
        <v>0.31415777499794451</v>
      </c>
      <c r="O1346" s="2">
        <f ca="1"/>
        <v>-0.21535426104340075</v>
      </c>
      <c r="X1346" s="2">
        <f ca="1"/>
        <v>61.675236629728502</v>
      </c>
      <c r="AG1346" s="2">
        <f ca="1"/>
        <v>0.35177888758865161</v>
      </c>
      <c r="AH1346" s="2" t="str">
        <f ca="1"/>
        <v>OK</v>
      </c>
    </row>
    <row r="1347" spans="2:34">
      <c r="B1347" s="2">
        <f ca="1"/>
        <v>0.41423944417708736</v>
      </c>
      <c r="O1347" s="2">
        <f ca="1"/>
        <v>-0.59691560345875594</v>
      </c>
      <c r="X1347" s="2">
        <f ca="1"/>
        <v>40.240621013322482</v>
      </c>
      <c r="AG1347" s="2">
        <f ca="1"/>
        <v>0.79723472221165492</v>
      </c>
      <c r="AH1347" s="2" t="str">
        <f ca="1"/>
        <v>Bad</v>
      </c>
    </row>
    <row r="1348" spans="2:34">
      <c r="B1348" s="2">
        <f ca="1"/>
        <v>0.60587814634720805</v>
      </c>
      <c r="O1348" s="2">
        <f ca="1"/>
        <v>0.23490731306610352</v>
      </c>
      <c r="X1348" s="2">
        <f ca="1"/>
        <v>64.353377097394613</v>
      </c>
      <c r="AG1348" s="2">
        <f ca="1"/>
        <v>0.20150308536578754</v>
      </c>
      <c r="AH1348" s="2" t="str">
        <f ca="1"/>
        <v>OK</v>
      </c>
    </row>
    <row r="1349" spans="2:34">
      <c r="B1349" s="2">
        <f ca="1"/>
        <v>0.30484465484720014</v>
      </c>
      <c r="O1349" s="2">
        <f ca="1"/>
        <v>-0.87626973205118708</v>
      </c>
      <c r="X1349" s="2">
        <f ca="1"/>
        <v>46.654245241475479</v>
      </c>
      <c r="AG1349" s="2">
        <f ca="1"/>
        <v>0.61809589564874456</v>
      </c>
      <c r="AH1349" s="2" t="str">
        <f ca="1"/>
        <v>Bad</v>
      </c>
    </row>
    <row r="1350" spans="2:34">
      <c r="B1350" s="2">
        <f ca="1"/>
        <v>0.84513404525638647</v>
      </c>
      <c r="O1350" s="2">
        <f ca="1"/>
        <v>-1.1597763817209645</v>
      </c>
      <c r="X1350" s="2">
        <f ca="1"/>
        <v>33.847235472372034</v>
      </c>
      <c r="AG1350" s="2">
        <f ca="1"/>
        <v>0.49577565764013687</v>
      </c>
      <c r="AH1350" s="2" t="str">
        <f ca="1"/>
        <v>Bad</v>
      </c>
    </row>
    <row r="1351" spans="2:34">
      <c r="B1351" s="2">
        <f ca="1"/>
        <v>0.20414883022973651</v>
      </c>
      <c r="O1351" s="2">
        <f ca="1"/>
        <v>0.23799760423888205</v>
      </c>
      <c r="X1351" s="2">
        <f ca="1"/>
        <v>51.996420581120319</v>
      </c>
      <c r="AG1351" s="2">
        <f ca="1"/>
        <v>0.60138302905367058</v>
      </c>
      <c r="AH1351" s="2" t="str">
        <f ca="1"/>
        <v>Bad</v>
      </c>
    </row>
    <row r="1352" spans="2:34">
      <c r="B1352" s="2">
        <f ca="1"/>
        <v>0.51480851819866258</v>
      </c>
      <c r="O1352" s="2">
        <f ca="1"/>
        <v>1.4652571191740211</v>
      </c>
      <c r="X1352" s="2">
        <f ca="1"/>
        <v>31.524895276216807</v>
      </c>
      <c r="AG1352" s="2">
        <f ca="1"/>
        <v>0.41927543948675661</v>
      </c>
      <c r="AH1352" s="2" t="str">
        <f ca="1"/>
        <v>Bad</v>
      </c>
    </row>
    <row r="1353" spans="2:34">
      <c r="B1353" s="2">
        <f ca="1"/>
        <v>0.30088280448295701</v>
      </c>
      <c r="O1353" s="2">
        <f ca="1"/>
        <v>-0.54824201589625698</v>
      </c>
      <c r="X1353" s="2">
        <f ca="1"/>
        <v>75.469679789271012</v>
      </c>
      <c r="AG1353" s="2">
        <f ca="1"/>
        <v>0.54023985274424469</v>
      </c>
      <c r="AH1353" s="2" t="str">
        <f ca="1"/>
        <v>Bad</v>
      </c>
    </row>
    <row r="1354" spans="2:34">
      <c r="B1354" s="2">
        <f ca="1"/>
        <v>0.31490095488851044</v>
      </c>
      <c r="O1354" s="2">
        <f ca="1"/>
        <v>0.21274358368142834</v>
      </c>
      <c r="X1354" s="2">
        <f ca="1"/>
        <v>43.43867457385003</v>
      </c>
      <c r="AG1354" s="2">
        <f ca="1"/>
        <v>0.60895580770696323</v>
      </c>
      <c r="AH1354" s="2" t="str">
        <f ca="1"/>
        <v>Bad</v>
      </c>
    </row>
    <row r="1355" spans="2:34">
      <c r="B1355" s="2">
        <f ca="1"/>
        <v>0.19931858103371836</v>
      </c>
      <c r="O1355" s="2">
        <f ca="1"/>
        <v>-1.4826960976513046</v>
      </c>
      <c r="X1355" s="2">
        <f ca="1"/>
        <v>51.475108662628571</v>
      </c>
      <c r="AG1355" s="2">
        <f ca="1"/>
        <v>0.71119453874434058</v>
      </c>
      <c r="AH1355" s="2" t="str">
        <f ca="1"/>
        <v>Bad</v>
      </c>
    </row>
    <row r="1356" spans="2:34">
      <c r="B1356" s="2">
        <f ca="1"/>
        <v>0.15695556294598934</v>
      </c>
      <c r="O1356" s="2">
        <f ca="1"/>
        <v>0.59250544743433398</v>
      </c>
      <c r="X1356" s="2">
        <f ca="1"/>
        <v>39.25334211579581</v>
      </c>
      <c r="AG1356" s="2">
        <f ca="1"/>
        <v>0.12088607116477856</v>
      </c>
      <c r="AH1356" s="2" t="str">
        <f ca="1"/>
        <v>OK</v>
      </c>
    </row>
    <row r="1357" spans="2:34">
      <c r="B1357" s="2">
        <f ca="1"/>
        <v>0.42678304356711827</v>
      </c>
      <c r="O1357" s="2">
        <f ca="1"/>
        <v>0.19034186354215027</v>
      </c>
      <c r="X1357" s="2">
        <f ca="1"/>
        <v>46.220897983201837</v>
      </c>
      <c r="AG1357" s="2">
        <f ca="1"/>
        <v>0.36797097301519677</v>
      </c>
      <c r="AH1357" s="2" t="str">
        <f ca="1"/>
        <v>OK</v>
      </c>
    </row>
    <row r="1358" spans="2:34">
      <c r="B1358" s="2">
        <f ca="1"/>
        <v>0.21141782996602543</v>
      </c>
      <c r="O1358" s="2">
        <f ca="1"/>
        <v>-0.12032408337893172</v>
      </c>
      <c r="X1358" s="2">
        <f ca="1"/>
        <v>62.175539018418185</v>
      </c>
      <c r="AG1358" s="2">
        <f ca="1"/>
        <v>0.15882944000217725</v>
      </c>
      <c r="AH1358" s="2" t="str">
        <f ca="1"/>
        <v>OK</v>
      </c>
    </row>
    <row r="1359" spans="2:34">
      <c r="B1359" s="2">
        <f ca="1"/>
        <v>0.9604423466917078</v>
      </c>
      <c r="O1359" s="2">
        <f ca="1"/>
        <v>0.80763819027086581</v>
      </c>
      <c r="X1359" s="2">
        <f ca="1"/>
        <v>56.727505288752056</v>
      </c>
      <c r="AG1359" s="2">
        <f ca="1"/>
        <v>0.37117658266584175</v>
      </c>
      <c r="AH1359" s="2" t="str">
        <f ca="1"/>
        <v>OK</v>
      </c>
    </row>
    <row r="1360" spans="2:34">
      <c r="B1360" s="2">
        <f ca="1"/>
        <v>0.13546903930866039</v>
      </c>
      <c r="O1360" s="2">
        <f ca="1"/>
        <v>1.9289449605780783E-2</v>
      </c>
      <c r="X1360" s="2">
        <f ca="1"/>
        <v>29.92867149666661</v>
      </c>
      <c r="AG1360" s="2">
        <f ca="1"/>
        <v>0.31080704343470456</v>
      </c>
      <c r="AH1360" s="2" t="str">
        <f ca="1"/>
        <v>OK</v>
      </c>
    </row>
    <row r="1361" spans="2:34">
      <c r="B1361" s="2">
        <f ca="1"/>
        <v>0.47242918773015097</v>
      </c>
      <c r="O1361" s="2">
        <f ca="1"/>
        <v>0.75008399400519654</v>
      </c>
      <c r="X1361" s="2">
        <f ca="1"/>
        <v>29.473127641004343</v>
      </c>
      <c r="AG1361" s="2">
        <f ca="1"/>
        <v>0.44204404063173541</v>
      </c>
      <c r="AH1361" s="2" t="str">
        <f ca="1"/>
        <v>Bad</v>
      </c>
    </row>
    <row r="1362" spans="2:34">
      <c r="B1362" s="2">
        <f ca="1"/>
        <v>0.94897146714924863</v>
      </c>
      <c r="O1362" s="2">
        <f ca="1"/>
        <v>1.01680898281665</v>
      </c>
      <c r="X1362" s="2">
        <f ca="1"/>
        <v>82.782324952911324</v>
      </c>
      <c r="AG1362" s="2">
        <f ca="1"/>
        <v>0.15485677421233168</v>
      </c>
      <c r="AH1362" s="2" t="str">
        <f ca="1"/>
        <v>OK</v>
      </c>
    </row>
    <row r="1363" spans="2:34">
      <c r="B1363" s="2">
        <f ca="1"/>
        <v>0.87734705017253845</v>
      </c>
      <c r="O1363" s="2">
        <f ca="1"/>
        <v>-0.96607988656705768</v>
      </c>
      <c r="X1363" s="2">
        <f ca="1"/>
        <v>31.999687305855179</v>
      </c>
      <c r="AG1363" s="2">
        <f ca="1"/>
        <v>0.32400642848109529</v>
      </c>
      <c r="AH1363" s="2" t="str">
        <f ca="1"/>
        <v>OK</v>
      </c>
    </row>
    <row r="1364" spans="2:34">
      <c r="B1364" s="2">
        <f ca="1"/>
        <v>0.89308515612741357</v>
      </c>
      <c r="O1364" s="2">
        <f ca="1"/>
        <v>-2.2787566707376614</v>
      </c>
      <c r="X1364" s="2">
        <f ca="1"/>
        <v>39.78756438230932</v>
      </c>
      <c r="AG1364" s="2">
        <f ca="1"/>
        <v>0.42524864339435053</v>
      </c>
      <c r="AH1364" s="2" t="str">
        <f ca="1"/>
        <v>Bad</v>
      </c>
    </row>
    <row r="1365" spans="2:34">
      <c r="B1365" s="2">
        <f ca="1"/>
        <v>0.45500363065898353</v>
      </c>
      <c r="O1365" s="2">
        <f ca="1"/>
        <v>-1.2158959155473368</v>
      </c>
      <c r="X1365" s="2">
        <f ca="1"/>
        <v>52.670567737447769</v>
      </c>
      <c r="AG1365" s="2">
        <f ca="1"/>
        <v>0.44623088142101874</v>
      </c>
      <c r="AH1365" s="2" t="str">
        <f ca="1"/>
        <v>Bad</v>
      </c>
    </row>
    <row r="1366" spans="2:34">
      <c r="B1366" s="2">
        <f ca="1"/>
        <v>0.74044555036492987</v>
      </c>
      <c r="O1366" s="2">
        <f ca="1"/>
        <v>0.90979264371372326</v>
      </c>
      <c r="X1366" s="2">
        <f ca="1"/>
        <v>39.211535955974178</v>
      </c>
      <c r="AG1366" s="2">
        <f ca="1"/>
        <v>0.39951424308833672</v>
      </c>
      <c r="AH1366" s="2" t="str">
        <f ca="1"/>
        <v>OK</v>
      </c>
    </row>
    <row r="1367" spans="2:34">
      <c r="B1367" s="2">
        <f ca="1"/>
        <v>0.19547042423714411</v>
      </c>
      <c r="O1367" s="2">
        <f ca="1"/>
        <v>-0.93188693282085511</v>
      </c>
      <c r="X1367" s="2">
        <f ca="1"/>
        <v>44.267919533448712</v>
      </c>
      <c r="AG1367" s="2">
        <f ca="1"/>
        <v>0.74499685378471847</v>
      </c>
      <c r="AH1367" s="2" t="str">
        <f ca="1"/>
        <v>Bad</v>
      </c>
    </row>
    <row r="1368" spans="2:34">
      <c r="B1368" s="2">
        <f ca="1"/>
        <v>0.65615014337801791</v>
      </c>
      <c r="O1368" s="2">
        <f ca="1"/>
        <v>0.32848053996119253</v>
      </c>
      <c r="X1368" s="2">
        <f ca="1"/>
        <v>28.772532969282018</v>
      </c>
      <c r="AG1368" s="2">
        <f ca="1"/>
        <v>0.71167552279012858</v>
      </c>
      <c r="AH1368" s="2" t="str">
        <f ca="1"/>
        <v>Bad</v>
      </c>
    </row>
    <row r="1369" spans="2:34">
      <c r="B1369" s="2">
        <f ca="1"/>
        <v>8.9012479200790695E-2</v>
      </c>
      <c r="O1369" s="2">
        <f ca="1"/>
        <v>-1.1828903552568273</v>
      </c>
      <c r="X1369" s="2">
        <f ca="1"/>
        <v>46.228659784230075</v>
      </c>
      <c r="AG1369" s="2">
        <f ca="1"/>
        <v>0.81817864145355035</v>
      </c>
      <c r="AH1369" s="2" t="str">
        <f ca="1"/>
        <v>Bad</v>
      </c>
    </row>
    <row r="1370" spans="2:34">
      <c r="B1370" s="2">
        <f ca="1"/>
        <v>0.66773088682786241</v>
      </c>
      <c r="O1370" s="2">
        <f ca="1"/>
        <v>-0.19296140739621231</v>
      </c>
      <c r="X1370" s="2">
        <f ca="1"/>
        <v>37.226898412538333</v>
      </c>
      <c r="AG1370" s="2">
        <f ca="1"/>
        <v>0.19670018288310653</v>
      </c>
      <c r="AH1370" s="2" t="str">
        <f ca="1"/>
        <v>OK</v>
      </c>
    </row>
    <row r="1371" spans="2:34">
      <c r="B1371" s="2">
        <f ca="1"/>
        <v>0.5300433319768767</v>
      </c>
      <c r="O1371" s="2">
        <f ca="1"/>
        <v>-0.72245806370567778</v>
      </c>
      <c r="X1371" s="2">
        <f ca="1"/>
        <v>84.986889699188097</v>
      </c>
      <c r="AG1371" s="2">
        <f ca="1"/>
        <v>0.72200422235228556</v>
      </c>
      <c r="AH1371" s="2" t="str">
        <f ca="1"/>
        <v>Bad</v>
      </c>
    </row>
    <row r="1372" spans="2:34">
      <c r="B1372" s="2">
        <f ca="1"/>
        <v>0.9123839330748551</v>
      </c>
      <c r="O1372" s="2">
        <f ca="1"/>
        <v>0.78018974801945618</v>
      </c>
      <c r="X1372" s="2">
        <f ca="1"/>
        <v>25.4039492681976</v>
      </c>
      <c r="AG1372" s="2">
        <f ca="1"/>
        <v>0.455006948706141</v>
      </c>
      <c r="AH1372" s="2" t="str">
        <f ca="1"/>
        <v>Bad</v>
      </c>
    </row>
    <row r="1373" spans="2:34">
      <c r="B1373" s="2">
        <f ca="1"/>
        <v>4.2141699435422897E-3</v>
      </c>
      <c r="O1373" s="2">
        <f ca="1"/>
        <v>1.2436740019514756</v>
      </c>
      <c r="X1373" s="2">
        <f ca="1"/>
        <v>49.330425008969449</v>
      </c>
      <c r="AG1373" s="2">
        <f ca="1"/>
        <v>0.13290350868058454</v>
      </c>
      <c r="AH1373" s="2" t="str">
        <f ca="1"/>
        <v>OK</v>
      </c>
    </row>
    <row r="1374" spans="2:34">
      <c r="B1374" s="2">
        <f ca="1"/>
        <v>0.91172110199228573</v>
      </c>
      <c r="O1374" s="2">
        <f ca="1"/>
        <v>2.5060642761285097</v>
      </c>
      <c r="X1374" s="2">
        <f ca="1"/>
        <v>34.118948080476962</v>
      </c>
      <c r="AG1374" s="2">
        <f ca="1"/>
        <v>0.35622700193932699</v>
      </c>
      <c r="AH1374" s="2" t="str">
        <f ca="1"/>
        <v>OK</v>
      </c>
    </row>
    <row r="1375" spans="2:34">
      <c r="B1375" s="2">
        <f ca="1"/>
        <v>0.51259679736988839</v>
      </c>
      <c r="O1375" s="2">
        <f ca="1"/>
        <v>1.260949614191943</v>
      </c>
      <c r="X1375" s="2">
        <f ca="1"/>
        <v>58.673084674840496</v>
      </c>
      <c r="AG1375" s="2">
        <f ca="1"/>
        <v>0.43646790352667009</v>
      </c>
      <c r="AH1375" s="2" t="str">
        <f ca="1"/>
        <v>Bad</v>
      </c>
    </row>
    <row r="1376" spans="2:34">
      <c r="B1376" s="2">
        <f ca="1"/>
        <v>0.70739152879288514</v>
      </c>
      <c r="O1376" s="2">
        <f ca="1"/>
        <v>0.75013319712141246</v>
      </c>
      <c r="X1376" s="2">
        <f ca="1"/>
        <v>31.020509468612044</v>
      </c>
      <c r="AG1376" s="2">
        <f ca="1"/>
        <v>0.60966781549732518</v>
      </c>
      <c r="AH1376" s="2" t="str">
        <f ca="1"/>
        <v>Bad</v>
      </c>
    </row>
    <row r="1377" spans="2:34">
      <c r="B1377" s="2">
        <f ca="1"/>
        <v>0.49268786458637415</v>
      </c>
      <c r="O1377" s="2">
        <f ca="1"/>
        <v>0.1241211804877993</v>
      </c>
      <c r="X1377" s="2">
        <f ca="1"/>
        <v>57.861736413550446</v>
      </c>
      <c r="AG1377" s="2">
        <f ca="1"/>
        <v>0.67337782392334389</v>
      </c>
      <c r="AH1377" s="2" t="str">
        <f ca="1"/>
        <v>Bad</v>
      </c>
    </row>
    <row r="1378" spans="2:34">
      <c r="B1378" s="2">
        <f ca="1"/>
        <v>0.36897204337501566</v>
      </c>
      <c r="O1378" s="2">
        <f ca="1"/>
        <v>-1.0137319542035896</v>
      </c>
      <c r="X1378" s="2">
        <f ca="1"/>
        <v>28.916189976318634</v>
      </c>
      <c r="AG1378" s="2">
        <f ca="1"/>
        <v>0.91163972657070813</v>
      </c>
      <c r="AH1378" s="2" t="str">
        <f ca="1"/>
        <v>Bad</v>
      </c>
    </row>
    <row r="1379" spans="2:34">
      <c r="B1379" s="2">
        <f ca="1"/>
        <v>0.82491331582345695</v>
      </c>
      <c r="O1379" s="2">
        <f ca="1"/>
        <v>1.2815452196146502</v>
      </c>
      <c r="X1379" s="2">
        <f ca="1"/>
        <v>50.350445600005372</v>
      </c>
      <c r="AG1379" s="2">
        <f ca="1"/>
        <v>0.98552667396700788</v>
      </c>
      <c r="AH1379" s="2" t="str">
        <f ca="1"/>
        <v>Bad</v>
      </c>
    </row>
    <row r="1380" spans="2:34">
      <c r="B1380" s="2">
        <f ca="1"/>
        <v>8.2030145021918965E-2</v>
      </c>
      <c r="O1380" s="2">
        <f ca="1"/>
        <v>0.82337862805181028</v>
      </c>
      <c r="X1380" s="2">
        <f ca="1"/>
        <v>65.364469194425666</v>
      </c>
      <c r="AG1380" s="2">
        <f ca="1"/>
        <v>0.66415930564201253</v>
      </c>
      <c r="AH1380" s="2" t="str">
        <f ca="1"/>
        <v>Bad</v>
      </c>
    </row>
    <row r="1381" spans="2:34">
      <c r="B1381" s="2">
        <f ca="1"/>
        <v>0.62388818297954174</v>
      </c>
      <c r="O1381" s="2">
        <f ca="1"/>
        <v>0.66140867595947972</v>
      </c>
      <c r="X1381" s="2">
        <f ca="1"/>
        <v>74.040932182513359</v>
      </c>
      <c r="AG1381" s="2">
        <f ca="1"/>
        <v>0.88667598119446889</v>
      </c>
      <c r="AH1381" s="2" t="str">
        <f ca="1"/>
        <v>Bad</v>
      </c>
    </row>
    <row r="1382" spans="2:34">
      <c r="B1382" s="2">
        <f ca="1"/>
        <v>0.67359844614560971</v>
      </c>
      <c r="O1382" s="2">
        <f ca="1"/>
        <v>-0.66741851277482311</v>
      </c>
      <c r="X1382" s="2">
        <f ca="1"/>
        <v>53.623623097228574</v>
      </c>
      <c r="AG1382" s="2">
        <f ca="1"/>
        <v>0.1450396057925154</v>
      </c>
      <c r="AH1382" s="2" t="str">
        <f ca="1"/>
        <v>OK</v>
      </c>
    </row>
    <row r="1383" spans="2:34">
      <c r="B1383" s="2">
        <f ca="1"/>
        <v>0.14761781287888009</v>
      </c>
      <c r="O1383" s="2">
        <f ca="1"/>
        <v>-1.1205311602844161</v>
      </c>
      <c r="X1383" s="2">
        <f ca="1"/>
        <v>25.569552934940191</v>
      </c>
      <c r="AG1383" s="2">
        <f ca="1"/>
        <v>0.65831628326333802</v>
      </c>
      <c r="AH1383" s="2" t="str">
        <f ca="1"/>
        <v>Bad</v>
      </c>
    </row>
    <row r="1384" spans="2:34">
      <c r="B1384" s="2">
        <f ca="1"/>
        <v>0.55495371801278304</v>
      </c>
      <c r="O1384" s="2">
        <f ca="1"/>
        <v>-0.65695239751524714</v>
      </c>
      <c r="X1384" s="2">
        <f ca="1"/>
        <v>51.080276995953255</v>
      </c>
      <c r="AG1384" s="2">
        <f ca="1"/>
        <v>0.9979147662907526</v>
      </c>
      <c r="AH1384" s="2" t="str">
        <f ca="1"/>
        <v>Bad</v>
      </c>
    </row>
    <row r="1385" spans="2:34">
      <c r="B1385" s="2">
        <f ca="1"/>
        <v>0.82473146953116894</v>
      </c>
      <c r="O1385" s="2">
        <f ca="1"/>
        <v>0.38357059583774095</v>
      </c>
      <c r="X1385" s="2">
        <f ca="1"/>
        <v>69.079814360385996</v>
      </c>
      <c r="AG1385" s="2">
        <f ca="1"/>
        <v>0.56891416298866515</v>
      </c>
      <c r="AH1385" s="2" t="str">
        <f ca="1"/>
        <v>Bad</v>
      </c>
    </row>
    <row r="1386" spans="2:34">
      <c r="B1386" s="2">
        <f ca="1"/>
        <v>0.59900839345537493</v>
      </c>
      <c r="O1386" s="2">
        <f ca="1"/>
        <v>-0.30897055535099383</v>
      </c>
      <c r="X1386" s="2">
        <f ca="1"/>
        <v>37.953288205166899</v>
      </c>
      <c r="AG1386" s="2">
        <f ca="1"/>
        <v>0.75002571956607089</v>
      </c>
      <c r="AH1386" s="2" t="str">
        <f ca="1"/>
        <v>Bad</v>
      </c>
    </row>
    <row r="1387" spans="2:34">
      <c r="B1387" s="2">
        <f ca="1"/>
        <v>0.5809141897241743</v>
      </c>
      <c r="O1387" s="2">
        <f ca="1"/>
        <v>-1.7900992572265642</v>
      </c>
      <c r="X1387" s="2">
        <f ca="1"/>
        <v>82.10108203234698</v>
      </c>
      <c r="AG1387" s="2">
        <f ca="1"/>
        <v>0.83065247625946226</v>
      </c>
      <c r="AH1387" s="2" t="str">
        <f ca="1"/>
        <v>Bad</v>
      </c>
    </row>
    <row r="1388" spans="2:34">
      <c r="B1388" s="2">
        <f ca="1"/>
        <v>0.82399061177568944</v>
      </c>
      <c r="O1388" s="2">
        <f ca="1"/>
        <v>0.23189053983669697</v>
      </c>
      <c r="X1388" s="2">
        <f ca="1"/>
        <v>54.871827458630669</v>
      </c>
      <c r="AG1388" s="2">
        <f ca="1"/>
        <v>0.84818863436071545</v>
      </c>
      <c r="AH1388" s="2" t="str">
        <f ca="1"/>
        <v>Bad</v>
      </c>
    </row>
    <row r="1389" spans="2:34">
      <c r="B1389" s="2">
        <f ca="1"/>
        <v>0.64670769144946871</v>
      </c>
      <c r="O1389" s="2">
        <f ca="1"/>
        <v>-0.50720799386359749</v>
      </c>
      <c r="X1389" s="2">
        <f ca="1"/>
        <v>54.576886473672971</v>
      </c>
      <c r="AG1389" s="2">
        <f ca="1"/>
        <v>0.26061717669979445</v>
      </c>
      <c r="AH1389" s="2" t="str">
        <f ca="1"/>
        <v>OK</v>
      </c>
    </row>
    <row r="1390" spans="2:34">
      <c r="B1390" s="2">
        <f ca="1"/>
        <v>0.38792681358357917</v>
      </c>
      <c r="O1390" s="2">
        <f ca="1"/>
        <v>1.4518066547717279</v>
      </c>
      <c r="X1390" s="2">
        <f ca="1"/>
        <v>55.365371977378324</v>
      </c>
      <c r="AG1390" s="2">
        <f ca="1"/>
        <v>0.17911098807028814</v>
      </c>
      <c r="AH1390" s="2" t="str">
        <f ca="1"/>
        <v>OK</v>
      </c>
    </row>
    <row r="1391" spans="2:34">
      <c r="B1391" s="2">
        <f ca="1"/>
        <v>0.64310982796216365</v>
      </c>
      <c r="O1391" s="2">
        <f ca="1"/>
        <v>1.1111322464110474</v>
      </c>
      <c r="X1391" s="2">
        <f ca="1"/>
        <v>75.540409276924365</v>
      </c>
      <c r="AG1391" s="2">
        <f ca="1"/>
        <v>0.17759170318524542</v>
      </c>
      <c r="AH1391" s="2" t="str">
        <f ca="1"/>
        <v>OK</v>
      </c>
    </row>
    <row r="1392" spans="2:34">
      <c r="B1392" s="2">
        <f ca="1"/>
        <v>1.2661734947650327E-2</v>
      </c>
      <c r="O1392" s="2">
        <f ca="1"/>
        <v>8.4832967951608315E-2</v>
      </c>
      <c r="X1392" s="2">
        <f ca="1"/>
        <v>48.339772930100267</v>
      </c>
      <c r="AG1392" s="2">
        <f ca="1"/>
        <v>0.64957755352592472</v>
      </c>
      <c r="AH1392" s="2" t="str">
        <f ca="1"/>
        <v>Bad</v>
      </c>
    </row>
    <row r="1393" spans="2:34">
      <c r="B1393" s="2">
        <f ca="1"/>
        <v>0.89473813403506353</v>
      </c>
      <c r="O1393" s="2">
        <f ca="1"/>
        <v>1.7099006662061045</v>
      </c>
      <c r="X1393" s="2">
        <f ca="1"/>
        <v>52.045726257810053</v>
      </c>
      <c r="AG1393" s="2">
        <f ca="1"/>
        <v>1.7942872346923266E-3</v>
      </c>
      <c r="AH1393" s="2" t="str">
        <f ca="1"/>
        <v>Good</v>
      </c>
    </row>
    <row r="1394" spans="2:34">
      <c r="B1394" s="2">
        <f ca="1"/>
        <v>0.67683274974114815</v>
      </c>
      <c r="O1394" s="2">
        <f ca="1"/>
        <v>3.6603804618196623E-2</v>
      </c>
      <c r="X1394" s="2">
        <f ca="1"/>
        <v>70.824426112226206</v>
      </c>
      <c r="AG1394" s="2">
        <f ca="1"/>
        <v>0.55116636022330434</v>
      </c>
      <c r="AH1394" s="2" t="str">
        <f ca="1"/>
        <v>Bad</v>
      </c>
    </row>
    <row r="1395" spans="2:34">
      <c r="B1395" s="2">
        <f ca="1"/>
        <v>0.33077119547667899</v>
      </c>
      <c r="O1395" s="2">
        <f ca="1"/>
        <v>-0.52534777288234591</v>
      </c>
      <c r="X1395" s="2">
        <f ca="1"/>
        <v>70.671475023377795</v>
      </c>
      <c r="AG1395" s="2">
        <f ca="1"/>
        <v>0.2919093143737046</v>
      </c>
      <c r="AH1395" s="2" t="str">
        <f ca="1"/>
        <v>OK</v>
      </c>
    </row>
    <row r="1396" spans="2:34">
      <c r="B1396" s="2">
        <f ca="1"/>
        <v>0.27101064958391086</v>
      </c>
      <c r="O1396" s="2">
        <f ca="1"/>
        <v>0.57382020127497446</v>
      </c>
      <c r="X1396" s="2">
        <f ca="1"/>
        <v>43.33010522144572</v>
      </c>
      <c r="AG1396" s="2">
        <f ca="1"/>
        <v>0.11850923106886646</v>
      </c>
      <c r="AH1396" s="2" t="str">
        <f ca="1"/>
        <v>OK</v>
      </c>
    </row>
    <row r="1397" spans="2:34">
      <c r="B1397" s="2">
        <f ca="1"/>
        <v>0.30732378322820808</v>
      </c>
      <c r="O1397" s="2">
        <f ca="1"/>
        <v>0.13330123181441761</v>
      </c>
      <c r="X1397" s="2">
        <f ca="1"/>
        <v>33.167805678001436</v>
      </c>
      <c r="AG1397" s="2">
        <f ca="1"/>
        <v>0.27601551183630368</v>
      </c>
      <c r="AH1397" s="2" t="str">
        <f ca="1"/>
        <v>OK</v>
      </c>
    </row>
    <row r="1398" spans="2:34">
      <c r="B1398" s="2">
        <f ca="1"/>
        <v>0.66791750547994977</v>
      </c>
      <c r="O1398" s="2">
        <f ca="1"/>
        <v>-2.4666504015925712</v>
      </c>
      <c r="X1398" s="2">
        <f ca="1"/>
        <v>79.380039338485986</v>
      </c>
      <c r="AG1398" s="2">
        <f ca="1"/>
        <v>0.67685383308404834</v>
      </c>
      <c r="AH1398" s="2" t="str">
        <f ca="1"/>
        <v>Bad</v>
      </c>
    </row>
    <row r="1399" spans="2:34">
      <c r="B1399" s="2">
        <f ca="1"/>
        <v>0.71748705741514329</v>
      </c>
      <c r="O1399" s="2">
        <f ca="1"/>
        <v>-0.99044518531339798</v>
      </c>
      <c r="X1399" s="2">
        <f ca="1"/>
        <v>48.876377909975979</v>
      </c>
      <c r="AG1399" s="2">
        <f ca="1"/>
        <v>0.29390449072054703</v>
      </c>
      <c r="AH1399" s="2" t="str">
        <f ca="1"/>
        <v>OK</v>
      </c>
    </row>
    <row r="1400" spans="2:34">
      <c r="B1400" s="2">
        <f ca="1"/>
        <v>0.11353437677546108</v>
      </c>
      <c r="O1400" s="2">
        <f ca="1"/>
        <v>-2.1050642221675839</v>
      </c>
      <c r="X1400" s="2">
        <f ca="1"/>
        <v>33.890251208428296</v>
      </c>
      <c r="AG1400" s="2">
        <f ca="1"/>
        <v>0.90386559926668153</v>
      </c>
      <c r="AH1400" s="2" t="str">
        <f ca="1"/>
        <v>Bad</v>
      </c>
    </row>
    <row r="1401" spans="2:34">
      <c r="B1401" s="2">
        <f ca="1"/>
        <v>0.88791417902240699</v>
      </c>
      <c r="O1401" s="2">
        <f ca="1"/>
        <v>6.4708452870133465E-2</v>
      </c>
      <c r="X1401" s="2">
        <f ca="1"/>
        <v>38.404140102023462</v>
      </c>
      <c r="AG1401" s="2">
        <f ca="1"/>
        <v>0.82525135871411792</v>
      </c>
      <c r="AH1401" s="2" t="str">
        <f ca="1"/>
        <v>Bad</v>
      </c>
    </row>
    <row r="1402" spans="2:34">
      <c r="B1402" s="2">
        <f ca="1"/>
        <v>0.80442199462538144</v>
      </c>
      <c r="O1402" s="2">
        <f ca="1"/>
        <v>-1.3853295322424568</v>
      </c>
      <c r="X1402" s="2">
        <f ca="1"/>
        <v>26.598602306628475</v>
      </c>
      <c r="AG1402" s="2">
        <f ca="1"/>
        <v>2.7249253941348694E-2</v>
      </c>
      <c r="AH1402" s="2" t="str">
        <f ca="1"/>
        <v>Good</v>
      </c>
    </row>
    <row r="1403" spans="2:34">
      <c r="B1403" s="2">
        <f ca="1"/>
        <v>0.76789314314445178</v>
      </c>
      <c r="O1403" s="2">
        <f ca="1"/>
        <v>9.5305229567537481E-2</v>
      </c>
      <c r="X1403" s="2">
        <f ca="1"/>
        <v>37.023448518662335</v>
      </c>
      <c r="AG1403" s="2">
        <f ca="1"/>
        <v>0.8990274312891382</v>
      </c>
      <c r="AH1403" s="2" t="str">
        <f ca="1"/>
        <v>Bad</v>
      </c>
    </row>
    <row r="1404" spans="2:34">
      <c r="B1404" s="2">
        <f ca="1"/>
        <v>0.30463233441248216</v>
      </c>
      <c r="O1404" s="2">
        <f ca="1"/>
        <v>0.37706459242426899</v>
      </c>
      <c r="X1404" s="2">
        <f ca="1"/>
        <v>23.349364125951617</v>
      </c>
      <c r="AG1404" s="2">
        <f ca="1"/>
        <v>0.1143004999066155</v>
      </c>
      <c r="AH1404" s="2" t="str">
        <f ca="1"/>
        <v>OK</v>
      </c>
    </row>
    <row r="1405" spans="2:34">
      <c r="B1405" s="2">
        <f ca="1"/>
        <v>0.55252165116203855</v>
      </c>
      <c r="O1405" s="2">
        <f ca="1"/>
        <v>0.39098930337307775</v>
      </c>
      <c r="X1405" s="2">
        <f ca="1"/>
        <v>31.701713033400534</v>
      </c>
      <c r="AG1405" s="2">
        <f ca="1"/>
        <v>0.11437667150983</v>
      </c>
      <c r="AH1405" s="2" t="str">
        <f ca="1"/>
        <v>OK</v>
      </c>
    </row>
    <row r="1406" spans="2:34">
      <c r="B1406" s="2">
        <f ca="1"/>
        <v>0.51863662653119702</v>
      </c>
      <c r="O1406" s="2">
        <f ca="1"/>
        <v>-0.55900282038660387</v>
      </c>
      <c r="X1406" s="2">
        <f ca="1"/>
        <v>39.928062365095414</v>
      </c>
      <c r="AG1406" s="2">
        <f ca="1"/>
        <v>0.40630099162053668</v>
      </c>
      <c r="AH1406" s="2" t="str">
        <f ca="1"/>
        <v>Bad</v>
      </c>
    </row>
    <row r="1407" spans="2:34">
      <c r="B1407" s="2">
        <f ca="1"/>
        <v>0.33148543420871146</v>
      </c>
      <c r="O1407" s="2">
        <f ca="1"/>
        <v>0.69238920921973623</v>
      </c>
      <c r="X1407" s="2">
        <f ca="1"/>
        <v>19.785726633773379</v>
      </c>
      <c r="AG1407" s="2">
        <f ca="1"/>
        <v>0.32738141339002347</v>
      </c>
      <c r="AH1407" s="2" t="str">
        <f ca="1"/>
        <v>OK</v>
      </c>
    </row>
    <row r="1408" spans="2:34">
      <c r="B1408" s="2">
        <f ca="1"/>
        <v>0.4386613664182637</v>
      </c>
      <c r="O1408" s="2">
        <f ca="1"/>
        <v>1.2509118653978575</v>
      </c>
      <c r="X1408" s="2">
        <f ca="1"/>
        <v>75.175983896833699</v>
      </c>
      <c r="AG1408" s="2">
        <f ca="1"/>
        <v>0.18983992752006817</v>
      </c>
      <c r="AH1408" s="2" t="str">
        <f ca="1"/>
        <v>OK</v>
      </c>
    </row>
    <row r="1409" spans="2:34">
      <c r="B1409" s="2">
        <f ca="1"/>
        <v>4.1458025598277048E-2</v>
      </c>
      <c r="O1409" s="2">
        <f ca="1"/>
        <v>0.43570782811898046</v>
      </c>
      <c r="X1409" s="2">
        <f ca="1"/>
        <v>42.986763029884955</v>
      </c>
      <c r="AG1409" s="2">
        <f ca="1"/>
        <v>0.1803462245812939</v>
      </c>
      <c r="AH1409" s="2" t="str">
        <f ca="1"/>
        <v>OK</v>
      </c>
    </row>
    <row r="1410" spans="2:34">
      <c r="B1410" s="2">
        <f ca="1"/>
        <v>0.24555457578582418</v>
      </c>
      <c r="O1410" s="2">
        <f ca="1"/>
        <v>-0.95454256307706165</v>
      </c>
      <c r="X1410" s="2">
        <f ca="1"/>
        <v>45.279843121207961</v>
      </c>
      <c r="AG1410" s="2">
        <f ca="1"/>
        <v>0.38058041056249703</v>
      </c>
      <c r="AH1410" s="2" t="str">
        <f ca="1"/>
        <v>OK</v>
      </c>
    </row>
    <row r="1411" spans="2:34">
      <c r="B1411" s="2">
        <f ca="1"/>
        <v>0.29834549668323573</v>
      </c>
      <c r="O1411" s="2">
        <f ca="1"/>
        <v>-0.30656418194506158</v>
      </c>
      <c r="X1411" s="2">
        <f ca="1"/>
        <v>56.759525102486748</v>
      </c>
      <c r="AG1411" s="2">
        <f ca="1"/>
        <v>0.28463076767061257</v>
      </c>
      <c r="AH1411" s="2" t="str">
        <f ca="1"/>
        <v>OK</v>
      </c>
    </row>
    <row r="1412" spans="2:34">
      <c r="B1412" s="2">
        <f ca="1"/>
        <v>0.63308746461528109</v>
      </c>
      <c r="O1412" s="2">
        <f ca="1"/>
        <v>6.6663976510313333E-2</v>
      </c>
      <c r="X1412" s="2">
        <f ca="1"/>
        <v>42.071441183752334</v>
      </c>
      <c r="AG1412" s="2">
        <f ca="1"/>
        <v>0.36127232239096285</v>
      </c>
      <c r="AH1412" s="2" t="str">
        <f ca="1"/>
        <v>OK</v>
      </c>
    </row>
    <row r="1413" spans="2:34">
      <c r="B1413" s="2">
        <f ca="1"/>
        <v>0.83240031942861514</v>
      </c>
      <c r="O1413" s="2">
        <f ca="1"/>
        <v>0.51028296688068697</v>
      </c>
      <c r="X1413" s="2">
        <f ca="1"/>
        <v>56.139995384620718</v>
      </c>
      <c r="AG1413" s="2">
        <f ca="1"/>
        <v>0.3808181267662194</v>
      </c>
      <c r="AH1413" s="2" t="str">
        <f ca="1"/>
        <v>OK</v>
      </c>
    </row>
    <row r="1414" spans="2:34">
      <c r="B1414" s="2">
        <f ca="1"/>
        <v>0.1813268979964775</v>
      </c>
      <c r="O1414" s="2">
        <f ca="1"/>
        <v>1.1242351590124608</v>
      </c>
      <c r="X1414" s="2">
        <f ca="1"/>
        <v>82.784151889895</v>
      </c>
      <c r="AG1414" s="2">
        <f ca="1"/>
        <v>0.56541061705715667</v>
      </c>
      <c r="AH1414" s="2" t="str">
        <f ca="1"/>
        <v>Bad</v>
      </c>
    </row>
    <row r="1415" spans="2:34">
      <c r="B1415" s="2">
        <f ca="1"/>
        <v>0.96317084763244587</v>
      </c>
      <c r="O1415" s="2">
        <f ca="1"/>
        <v>-1.3208951570195544</v>
      </c>
      <c r="X1415" s="2">
        <f ca="1"/>
        <v>34.792113635616332</v>
      </c>
      <c r="AG1415" s="2">
        <f ca="1"/>
        <v>0.4784945757840755</v>
      </c>
      <c r="AH1415" s="2" t="str">
        <f ca="1"/>
        <v>Bad</v>
      </c>
    </row>
    <row r="1416" spans="2:34">
      <c r="B1416" s="2">
        <f ca="1"/>
        <v>0.81141021463308882</v>
      </c>
      <c r="O1416" s="2">
        <f ca="1"/>
        <v>0.9305671422114512</v>
      </c>
      <c r="X1416" s="2">
        <f ca="1"/>
        <v>54.91422005918799</v>
      </c>
      <c r="AG1416" s="2">
        <f ca="1"/>
        <v>0.41165778017495347</v>
      </c>
      <c r="AH1416" s="2" t="str">
        <f ca="1"/>
        <v>Bad</v>
      </c>
    </row>
    <row r="1417" spans="2:34">
      <c r="B1417" s="2">
        <f ca="1"/>
        <v>0.75414994998065743</v>
      </c>
      <c r="O1417" s="2">
        <f ca="1"/>
        <v>-0.55962960094469005</v>
      </c>
      <c r="X1417" s="2">
        <f ca="1"/>
        <v>32.767396232385352</v>
      </c>
      <c r="AG1417" s="2">
        <f ca="1"/>
        <v>0.40684938348319855</v>
      </c>
      <c r="AH1417" s="2" t="str">
        <f ca="1"/>
        <v>Bad</v>
      </c>
    </row>
    <row r="1418" spans="2:34">
      <c r="B1418" s="2">
        <f ca="1"/>
        <v>0.22994058019867492</v>
      </c>
      <c r="O1418" s="2">
        <f ca="1"/>
        <v>0.19817958690316279</v>
      </c>
      <c r="X1418" s="2">
        <f ca="1"/>
        <v>27.941991509908405</v>
      </c>
      <c r="AG1418" s="2">
        <f ca="1"/>
        <v>0.43812977799004704</v>
      </c>
      <c r="AH1418" s="2" t="str">
        <f ca="1"/>
        <v>Bad</v>
      </c>
    </row>
    <row r="1419" spans="2:34">
      <c r="B1419" s="2">
        <f ca="1"/>
        <v>0.55520911091441683</v>
      </c>
      <c r="O1419" s="2">
        <f ca="1"/>
        <v>-0.18377854164982141</v>
      </c>
      <c r="X1419" s="2">
        <f ca="1"/>
        <v>28.819919836926321</v>
      </c>
      <c r="AG1419" s="2">
        <f ca="1"/>
        <v>0.38423325962328492</v>
      </c>
      <c r="AH1419" s="2" t="str">
        <f ca="1"/>
        <v>OK</v>
      </c>
    </row>
    <row r="1420" spans="2:34">
      <c r="B1420" s="2">
        <f ca="1"/>
        <v>0.91461761674371589</v>
      </c>
      <c r="O1420" s="2">
        <f ca="1"/>
        <v>0.3098791183328638</v>
      </c>
      <c r="X1420" s="2">
        <f ca="1"/>
        <v>30.612599253610455</v>
      </c>
      <c r="AG1420" s="2">
        <f ca="1"/>
        <v>0.63947298052264356</v>
      </c>
      <c r="AH1420" s="2" t="str">
        <f ca="1"/>
        <v>Bad</v>
      </c>
    </row>
    <row r="1421" spans="2:34">
      <c r="B1421" s="2">
        <f ca="1"/>
        <v>0.52536596181397188</v>
      </c>
      <c r="O1421" s="2">
        <f ca="1"/>
        <v>-0.1867316293262512</v>
      </c>
      <c r="X1421" s="2">
        <f ca="1"/>
        <v>48.446071398253132</v>
      </c>
      <c r="AG1421" s="2">
        <f ca="1"/>
        <v>0.36214132765391494</v>
      </c>
      <c r="AH1421" s="2" t="str">
        <f ca="1"/>
        <v>OK</v>
      </c>
    </row>
    <row r="1422" spans="2:34">
      <c r="B1422" s="2">
        <f ca="1"/>
        <v>0.31139268512492824</v>
      </c>
      <c r="O1422" s="2">
        <f ca="1"/>
        <v>0.98983261958729085</v>
      </c>
      <c r="X1422" s="2">
        <f ca="1"/>
        <v>55.852201208812822</v>
      </c>
      <c r="AG1422" s="2">
        <f ca="1"/>
        <v>0.90831316792425354</v>
      </c>
      <c r="AH1422" s="2" t="str">
        <f ca="1"/>
        <v>Bad</v>
      </c>
    </row>
    <row r="1423" spans="2:34">
      <c r="B1423" s="2">
        <f ca="1"/>
        <v>0.43504694037614611</v>
      </c>
      <c r="O1423" s="2">
        <f ca="1"/>
        <v>-1.5991705872994153</v>
      </c>
      <c r="X1423" s="2">
        <f ca="1"/>
        <v>24.413038157379884</v>
      </c>
      <c r="AG1423" s="2">
        <f ca="1"/>
        <v>0.83633923994421355</v>
      </c>
      <c r="AH1423" s="2" t="str">
        <f ca="1"/>
        <v>Bad</v>
      </c>
    </row>
    <row r="1424" spans="2:34">
      <c r="B1424" s="2">
        <f ca="1"/>
        <v>0.27553327712308895</v>
      </c>
      <c r="O1424" s="2">
        <f ca="1"/>
        <v>0.38692024866989477</v>
      </c>
      <c r="X1424" s="2">
        <f ca="1"/>
        <v>42.372045063207779</v>
      </c>
      <c r="AG1424" s="2">
        <f ca="1"/>
        <v>0.98136141791738973</v>
      </c>
      <c r="AH1424" s="2" t="str">
        <f ca="1"/>
        <v>Bad</v>
      </c>
    </row>
    <row r="1425" spans="2:34">
      <c r="B1425" s="2">
        <f ca="1"/>
        <v>0.59475085079582568</v>
      </c>
      <c r="O1425" s="2">
        <f ca="1"/>
        <v>1.1964603031094549</v>
      </c>
      <c r="X1425" s="2">
        <f ca="1"/>
        <v>50.784541652215111</v>
      </c>
      <c r="AG1425" s="2">
        <f ca="1"/>
        <v>0.65490590970124329</v>
      </c>
      <c r="AH1425" s="2" t="str">
        <f ca="1"/>
        <v>Bad</v>
      </c>
    </row>
    <row r="1426" spans="2:34">
      <c r="B1426" s="2">
        <f ca="1"/>
        <v>0.31231327259905606</v>
      </c>
      <c r="O1426" s="2">
        <f ca="1"/>
        <v>0.66357322424085485</v>
      </c>
      <c r="X1426" s="2">
        <f ca="1"/>
        <v>52.824725777020056</v>
      </c>
      <c r="AG1426" s="2">
        <f ca="1"/>
        <v>0.23953410481636106</v>
      </c>
      <c r="AH1426" s="2" t="str">
        <f ca="1"/>
        <v>OK</v>
      </c>
    </row>
    <row r="1427" spans="2:34">
      <c r="B1427" s="2">
        <f ca="1"/>
        <v>0.53444618593711546</v>
      </c>
      <c r="O1427" s="2">
        <f ca="1"/>
        <v>-0.42866685403529653</v>
      </c>
      <c r="X1427" s="2">
        <f ca="1"/>
        <v>34.104962587014917</v>
      </c>
      <c r="AG1427" s="2">
        <f ca="1"/>
        <v>0.17427298245123168</v>
      </c>
      <c r="AH1427" s="2" t="str">
        <f ca="1"/>
        <v>OK</v>
      </c>
    </row>
    <row r="1428" spans="2:34">
      <c r="B1428" s="2">
        <f ca="1"/>
        <v>0.99582764953788239</v>
      </c>
      <c r="O1428" s="2">
        <f ca="1"/>
        <v>-1.0494269708966184</v>
      </c>
      <c r="X1428" s="2">
        <f ca="1"/>
        <v>70.231727956295373</v>
      </c>
      <c r="AG1428" s="2">
        <f ca="1"/>
        <v>0.30953890072571033</v>
      </c>
      <c r="AH1428" s="2" t="str">
        <f ca="1"/>
        <v>OK</v>
      </c>
    </row>
    <row r="1429" spans="2:34">
      <c r="B1429" s="2">
        <f ca="1"/>
        <v>0.43972094893544411</v>
      </c>
      <c r="O1429" s="2">
        <f ca="1"/>
        <v>-6.1705554422128508E-2</v>
      </c>
      <c r="X1429" s="2">
        <f ca="1"/>
        <v>46.320241918230224</v>
      </c>
      <c r="AG1429" s="2">
        <f ca="1"/>
        <v>0.86522735233575898</v>
      </c>
      <c r="AH1429" s="2" t="str">
        <f ca="1"/>
        <v>Bad</v>
      </c>
    </row>
    <row r="1430" spans="2:34">
      <c r="B1430" s="2">
        <f ca="1"/>
        <v>1.6064872917568307E-2</v>
      </c>
      <c r="O1430" s="2">
        <f ca="1"/>
        <v>-0.60092353928680675</v>
      </c>
      <c r="X1430" s="2">
        <f ca="1"/>
        <v>52.873080376511425</v>
      </c>
      <c r="AG1430" s="2">
        <f ca="1"/>
        <v>7.4884897744081691E-2</v>
      </c>
      <c r="AH1430" s="2" t="str">
        <f ca="1"/>
        <v>OK</v>
      </c>
    </row>
    <row r="1431" spans="2:34">
      <c r="B1431" s="2">
        <f ca="1"/>
        <v>3.3968128765213157E-2</v>
      </c>
      <c r="O1431" s="2">
        <f ca="1"/>
        <v>-0.98011166238230618</v>
      </c>
      <c r="X1431" s="2">
        <f ca="1"/>
        <v>32.787335622157087</v>
      </c>
      <c r="AG1431" s="2">
        <f ca="1"/>
        <v>0.37306268507433993</v>
      </c>
      <c r="AH1431" s="2" t="str">
        <f ca="1"/>
        <v>OK</v>
      </c>
    </row>
    <row r="1432" spans="2:34">
      <c r="B1432" s="2">
        <f ca="1"/>
        <v>0.17410320995628248</v>
      </c>
      <c r="O1432" s="2">
        <f ca="1"/>
        <v>-2.5193325766897479</v>
      </c>
      <c r="X1432" s="2">
        <f ca="1"/>
        <v>54.657549592513888</v>
      </c>
      <c r="AG1432" s="2">
        <f ca="1"/>
        <v>0.29357893328569706</v>
      </c>
      <c r="AH1432" s="2" t="str">
        <f ca="1"/>
        <v>OK</v>
      </c>
    </row>
    <row r="1433" spans="2:34">
      <c r="B1433" s="2">
        <f ca="1"/>
        <v>0.63145480536304333</v>
      </c>
      <c r="O1433" s="2">
        <f ca="1"/>
        <v>0.22662664548191089</v>
      </c>
      <c r="X1433" s="2">
        <f ca="1"/>
        <v>40.87757137038831</v>
      </c>
      <c r="AG1433" s="2">
        <f ca="1"/>
        <v>0.70090469350556273</v>
      </c>
      <c r="AH1433" s="2" t="str">
        <f ca="1"/>
        <v>Bad</v>
      </c>
    </row>
    <row r="1434" spans="2:34">
      <c r="B1434" s="2">
        <f ca="1"/>
        <v>0.52981744196833991</v>
      </c>
      <c r="O1434" s="2">
        <f ca="1"/>
        <v>0.30944047329579111</v>
      </c>
      <c r="X1434" s="2">
        <f ca="1"/>
        <v>34.538344795053924</v>
      </c>
      <c r="AG1434" s="2">
        <f ca="1"/>
        <v>0.29569839929349562</v>
      </c>
      <c r="AH1434" s="2" t="str">
        <f ca="1"/>
        <v>OK</v>
      </c>
    </row>
    <row r="1435" spans="2:34">
      <c r="B1435" s="2">
        <f ca="1"/>
        <v>0.29051188819818807</v>
      </c>
      <c r="O1435" s="2">
        <f ca="1"/>
        <v>0.62721865490089945</v>
      </c>
      <c r="X1435" s="2">
        <f ca="1"/>
        <v>48.351784435810245</v>
      </c>
      <c r="AG1435" s="2">
        <f ca="1"/>
        <v>3.3780597939059298E-4</v>
      </c>
      <c r="AH1435" s="2" t="str">
        <f ca="1"/>
        <v>Good</v>
      </c>
    </row>
    <row r="1436" spans="2:34">
      <c r="B1436" s="2">
        <f ca="1"/>
        <v>0.81328309147967826</v>
      </c>
      <c r="O1436" s="2">
        <f ca="1"/>
        <v>0.19079680075431199</v>
      </c>
      <c r="X1436" s="2">
        <f ca="1"/>
        <v>69.4274360412589</v>
      </c>
      <c r="AG1436" s="2">
        <f ca="1"/>
        <v>0.88536640446871684</v>
      </c>
      <c r="AH1436" s="2" t="str">
        <f ca="1"/>
        <v>Bad</v>
      </c>
    </row>
    <row r="1437" spans="2:34">
      <c r="B1437" s="2">
        <f ca="1"/>
        <v>0.26652528148946142</v>
      </c>
      <c r="O1437" s="2">
        <f ca="1"/>
        <v>1.1429041515763769</v>
      </c>
      <c r="X1437" s="2">
        <f ca="1"/>
        <v>56.387444641178668</v>
      </c>
      <c r="AG1437" s="2">
        <f ca="1"/>
        <v>0.15974983003048515</v>
      </c>
      <c r="AH1437" s="2" t="str">
        <f ca="1"/>
        <v>OK</v>
      </c>
    </row>
    <row r="1438" spans="2:34">
      <c r="B1438" s="2">
        <f ca="1"/>
        <v>0.43457535886264376</v>
      </c>
      <c r="O1438" s="2">
        <f ca="1"/>
        <v>0.3312079408740527</v>
      </c>
      <c r="X1438" s="2">
        <f ca="1"/>
        <v>56.153237545450196</v>
      </c>
      <c r="AG1438" s="2">
        <f ca="1"/>
        <v>0.38701733518685066</v>
      </c>
      <c r="AH1438" s="2" t="str">
        <f ca="1"/>
        <v>OK</v>
      </c>
    </row>
    <row r="1439" spans="2:34">
      <c r="B1439" s="2">
        <f ca="1"/>
        <v>0.73424872957511433</v>
      </c>
      <c r="O1439" s="2">
        <f ca="1"/>
        <v>0.6691746996115967</v>
      </c>
      <c r="X1439" s="2">
        <f ca="1"/>
        <v>36.834940330787411</v>
      </c>
      <c r="AG1439" s="2">
        <f ca="1"/>
        <v>0.40337772970110253</v>
      </c>
      <c r="AH1439" s="2" t="str">
        <f ca="1"/>
        <v>Bad</v>
      </c>
    </row>
    <row r="1440" spans="2:34">
      <c r="B1440" s="2">
        <f ca="1"/>
        <v>0.70753733959910448</v>
      </c>
      <c r="O1440" s="2">
        <f ca="1"/>
        <v>-1.4429528743887976</v>
      </c>
      <c r="X1440" s="2">
        <f ca="1"/>
        <v>55.933559971011981</v>
      </c>
      <c r="AG1440" s="2">
        <f ca="1"/>
        <v>0.96272209149904953</v>
      </c>
      <c r="AH1440" s="2" t="str">
        <f ca="1"/>
        <v>Bad</v>
      </c>
    </row>
    <row r="1441" spans="2:34">
      <c r="B1441" s="2">
        <f ca="1"/>
        <v>0.2317040592101578</v>
      </c>
      <c r="O1441" s="2">
        <f ca="1"/>
        <v>-2.1198139032963685E-2</v>
      </c>
      <c r="X1441" s="2">
        <f ca="1"/>
        <v>52.537802306109789</v>
      </c>
      <c r="AG1441" s="2">
        <f ca="1"/>
        <v>0.50769685416450172</v>
      </c>
      <c r="AH1441" s="2" t="str">
        <f ca="1"/>
        <v>Bad</v>
      </c>
    </row>
    <row r="1442" spans="2:34">
      <c r="B1442" s="2">
        <f ca="1"/>
        <v>0.15324915596394262</v>
      </c>
      <c r="O1442" s="2">
        <f ca="1"/>
        <v>0.52116199794269302</v>
      </c>
      <c r="X1442" s="2">
        <f ca="1"/>
        <v>38.233182055528111</v>
      </c>
      <c r="AG1442" s="2">
        <f ca="1"/>
        <v>0.6626342269603005</v>
      </c>
      <c r="AH1442" s="2" t="str">
        <f ca="1"/>
        <v>Bad</v>
      </c>
    </row>
    <row r="1443" spans="2:34">
      <c r="B1443" s="2">
        <f ca="1"/>
        <v>0.26964174857733392</v>
      </c>
      <c r="O1443" s="2">
        <f ca="1"/>
        <v>9.3415545928471538E-2</v>
      </c>
      <c r="X1443" s="2">
        <f ca="1"/>
        <v>32.967407447984961</v>
      </c>
      <c r="AG1443" s="2">
        <f ca="1"/>
        <v>0.26059592141589771</v>
      </c>
      <c r="AH1443" s="2" t="str">
        <f ca="1"/>
        <v>OK</v>
      </c>
    </row>
    <row r="1444" spans="2:34">
      <c r="B1444" s="2">
        <f ca="1"/>
        <v>0.40688276505486431</v>
      </c>
      <c r="O1444" s="2">
        <f ca="1"/>
        <v>0.32009404994508184</v>
      </c>
      <c r="X1444" s="2">
        <f ca="1"/>
        <v>50.025686461550535</v>
      </c>
      <c r="AG1444" s="2">
        <f ca="1"/>
        <v>0.92502750233848774</v>
      </c>
      <c r="AH1444" s="2" t="str">
        <f ca="1"/>
        <v>Bad</v>
      </c>
    </row>
    <row r="1445" spans="2:34">
      <c r="B1445" s="2">
        <f ca="1"/>
        <v>0.41830135763202803</v>
      </c>
      <c r="O1445" s="2">
        <f ca="1"/>
        <v>-0.82483281833488031</v>
      </c>
      <c r="X1445" s="2">
        <f ca="1"/>
        <v>50.616754012614756</v>
      </c>
      <c r="AG1445" s="2">
        <f ca="1"/>
        <v>0.41183720863529993</v>
      </c>
      <c r="AH1445" s="2" t="str">
        <f ca="1"/>
        <v>Bad</v>
      </c>
    </row>
    <row r="1446" spans="2:34">
      <c r="B1446" s="2">
        <f ca="1"/>
        <v>0.57915943638583056</v>
      </c>
      <c r="O1446" s="2">
        <f ca="1"/>
        <v>-0.50250437107221746</v>
      </c>
      <c r="X1446" s="2">
        <f ca="1"/>
        <v>54.291936100477365</v>
      </c>
      <c r="AG1446" s="2">
        <f ca="1"/>
        <v>0.29704251183137265</v>
      </c>
      <c r="AH1446" s="2" t="str">
        <f ca="1"/>
        <v>OK</v>
      </c>
    </row>
    <row r="1447" spans="2:34">
      <c r="B1447" s="2">
        <f ca="1"/>
        <v>8.2177406472827785E-2</v>
      </c>
      <c r="O1447" s="2">
        <f ca="1"/>
        <v>0.9594757135558506</v>
      </c>
      <c r="X1447" s="2">
        <f ca="1"/>
        <v>65.601798077674417</v>
      </c>
      <c r="AG1447" s="2">
        <f ca="1"/>
        <v>0.34799673313698887</v>
      </c>
      <c r="AH1447" s="2" t="str">
        <f ca="1"/>
        <v>OK</v>
      </c>
    </row>
    <row r="1448" spans="2:34">
      <c r="B1448" s="2">
        <f ca="1"/>
        <v>8.9989923585093168E-2</v>
      </c>
      <c r="O1448" s="2">
        <f ca="1"/>
        <v>-0.39762226286086455</v>
      </c>
      <c r="X1448" s="2">
        <f ca="1"/>
        <v>54.986742566985683</v>
      </c>
      <c r="AG1448" s="2">
        <f ca="1"/>
        <v>0.75166995054208474</v>
      </c>
      <c r="AH1448" s="2" t="str">
        <f ca="1"/>
        <v>Bad</v>
      </c>
    </row>
    <row r="1449" spans="2:34">
      <c r="B1449" s="2">
        <f ca="1"/>
        <v>5.62281804653324E-2</v>
      </c>
      <c r="O1449" s="2">
        <f ca="1"/>
        <v>-1.0827953105192247</v>
      </c>
      <c r="X1449" s="2">
        <f ca="1"/>
        <v>59.753561882120337</v>
      </c>
      <c r="AG1449" s="2">
        <f ca="1"/>
        <v>0.16303602328404443</v>
      </c>
      <c r="AH1449" s="2" t="str">
        <f ca="1"/>
        <v>OK</v>
      </c>
    </row>
    <row r="1450" spans="2:34">
      <c r="B1450" s="2">
        <f ca="1"/>
        <v>0.32958093184887405</v>
      </c>
      <c r="O1450" s="2">
        <f ca="1"/>
        <v>-0.54401602171031127</v>
      </c>
      <c r="X1450" s="2">
        <f ca="1"/>
        <v>26.130131312831274</v>
      </c>
      <c r="AG1450" s="2">
        <f ca="1"/>
        <v>4.3728370172775533E-2</v>
      </c>
      <c r="AH1450" s="2" t="str">
        <f ca="1"/>
        <v>Good</v>
      </c>
    </row>
    <row r="1451" spans="2:34">
      <c r="B1451" s="2">
        <f ca="1"/>
        <v>0.88319272971449614</v>
      </c>
      <c r="O1451" s="2">
        <f ca="1"/>
        <v>-1.9306371009711516</v>
      </c>
      <c r="X1451" s="2">
        <f ca="1"/>
        <v>45.400632850166993</v>
      </c>
      <c r="AG1451" s="2">
        <f ca="1"/>
        <v>0.43565932341816538</v>
      </c>
      <c r="AH1451" s="2" t="str">
        <f ca="1"/>
        <v>Bad</v>
      </c>
    </row>
    <row r="1452" spans="2:34">
      <c r="B1452" s="2">
        <f ca="1"/>
        <v>1.288958145102348E-2</v>
      </c>
      <c r="O1452" s="2">
        <f ca="1"/>
        <v>-0.88456990508831856</v>
      </c>
      <c r="X1452" s="2">
        <f ca="1"/>
        <v>99.308019907367793</v>
      </c>
      <c r="AG1452" s="2">
        <f ca="1"/>
        <v>0.97508277322041614</v>
      </c>
      <c r="AH1452" s="2" t="str">
        <f ca="1"/>
        <v>Bad</v>
      </c>
    </row>
    <row r="1453" spans="2:34">
      <c r="B1453" s="2">
        <f ca="1"/>
        <v>0.34106185688313539</v>
      </c>
      <c r="O1453" s="2">
        <f ca="1"/>
        <v>-0.98081525565113514</v>
      </c>
      <c r="X1453" s="2">
        <f ca="1"/>
        <v>38.140265656382432</v>
      </c>
      <c r="AG1453" s="2">
        <f ca="1"/>
        <v>0.74389447391905983</v>
      </c>
      <c r="AH1453" s="2" t="str">
        <f ca="1"/>
        <v>Bad</v>
      </c>
    </row>
    <row r="1454" spans="2:34">
      <c r="B1454" s="2">
        <f ca="1"/>
        <v>7.9776887833493904E-2</v>
      </c>
      <c r="O1454" s="2">
        <f ca="1"/>
        <v>0.2171759323303237</v>
      </c>
      <c r="X1454" s="2">
        <f ca="1"/>
        <v>43.327976956461299</v>
      </c>
      <c r="AG1454" s="2">
        <f ca="1"/>
        <v>0.98646109199965459</v>
      </c>
      <c r="AH1454" s="2" t="str">
        <f ca="1"/>
        <v>Bad</v>
      </c>
    </row>
    <row r="1455" spans="2:34">
      <c r="B1455" s="2">
        <f ca="1"/>
        <v>0.8956662846004122</v>
      </c>
      <c r="O1455" s="2">
        <f ca="1"/>
        <v>8.4361728502207509E-2</v>
      </c>
      <c r="X1455" s="2">
        <f ca="1"/>
        <v>53.623903660993633</v>
      </c>
      <c r="AG1455" s="2">
        <f ca="1"/>
        <v>0.84807335117709237</v>
      </c>
      <c r="AH1455" s="2" t="str">
        <f ca="1"/>
        <v>Bad</v>
      </c>
    </row>
    <row r="1456" spans="2:34">
      <c r="B1456" s="2">
        <f ca="1"/>
        <v>0.5465726707517693</v>
      </c>
      <c r="O1456" s="2">
        <f ca="1"/>
        <v>-0.94784275318375277</v>
      </c>
      <c r="X1456" s="2">
        <f ca="1"/>
        <v>47.525109449592541</v>
      </c>
      <c r="AG1456" s="2">
        <f ca="1"/>
        <v>0.80234452200723383</v>
      </c>
      <c r="AH1456" s="2" t="str">
        <f ca="1"/>
        <v>Bad</v>
      </c>
    </row>
    <row r="1457" spans="2:34">
      <c r="B1457" s="2">
        <f ca="1"/>
        <v>0.2837385743159897</v>
      </c>
      <c r="O1457" s="2">
        <f ca="1"/>
        <v>-0.45995380946816261</v>
      </c>
      <c r="X1457" s="2">
        <f ca="1"/>
        <v>39.473889694378435</v>
      </c>
      <c r="AG1457" s="2">
        <f ca="1"/>
        <v>0.61771377355482349</v>
      </c>
      <c r="AH1457" s="2" t="str">
        <f ca="1"/>
        <v>Bad</v>
      </c>
    </row>
    <row r="1458" spans="2:34">
      <c r="B1458" s="2">
        <f ca="1"/>
        <v>0.45054385743898173</v>
      </c>
      <c r="O1458" s="2">
        <f ca="1"/>
        <v>-0.17200184043196812</v>
      </c>
      <c r="X1458" s="2">
        <f ca="1"/>
        <v>59.820853585075469</v>
      </c>
      <c r="AG1458" s="2">
        <f ca="1"/>
        <v>0.45320382165420825</v>
      </c>
      <c r="AH1458" s="2" t="str">
        <f ca="1"/>
        <v>Bad</v>
      </c>
    </row>
    <row r="1459" spans="2:34">
      <c r="B1459" s="2">
        <f ca="1"/>
        <v>0.22528121388601652</v>
      </c>
      <c r="O1459" s="2">
        <f ca="1"/>
        <v>-0.2997116629220698</v>
      </c>
      <c r="X1459" s="2">
        <f ca="1"/>
        <v>74.225901535277927</v>
      </c>
      <c r="AG1459" s="2">
        <f ca="1"/>
        <v>0.29251063846629455</v>
      </c>
      <c r="AH1459" s="2" t="str">
        <f ca="1"/>
        <v>OK</v>
      </c>
    </row>
    <row r="1460" spans="2:34">
      <c r="B1460" s="2">
        <f ca="1"/>
        <v>0.36857224786156828</v>
      </c>
      <c r="O1460" s="2">
        <f ca="1"/>
        <v>0.89877565340902843</v>
      </c>
      <c r="X1460" s="2">
        <f ca="1"/>
        <v>51.292665836988796</v>
      </c>
      <c r="AG1460" s="2">
        <f ca="1"/>
        <v>0.25545924398532827</v>
      </c>
      <c r="AH1460" s="2" t="str">
        <f ca="1"/>
        <v>OK</v>
      </c>
    </row>
    <row r="1461" spans="2:34">
      <c r="B1461" s="2">
        <f ca="1"/>
        <v>0.69065787927508993</v>
      </c>
      <c r="O1461" s="2">
        <f ca="1"/>
        <v>0.84261283028840095</v>
      </c>
      <c r="X1461" s="2">
        <f ca="1"/>
        <v>36.817009501672487</v>
      </c>
      <c r="AG1461" s="2">
        <f ca="1"/>
        <v>3.6786345838796031E-2</v>
      </c>
      <c r="AH1461" s="2" t="str">
        <f ca="1"/>
        <v>Good</v>
      </c>
    </row>
    <row r="1462" spans="2:34">
      <c r="B1462" s="2">
        <f ca="1"/>
        <v>0.16261974464137796</v>
      </c>
      <c r="O1462" s="2">
        <f ca="1"/>
        <v>8.8300223159610877E-2</v>
      </c>
      <c r="X1462" s="2">
        <f ca="1"/>
        <v>29.661005917910717</v>
      </c>
      <c r="AG1462" s="2">
        <f ca="1"/>
        <v>0.85490119715239987</v>
      </c>
      <c r="AH1462" s="2" t="str">
        <f ca="1"/>
        <v>Bad</v>
      </c>
    </row>
    <row r="1463" spans="2:34">
      <c r="B1463" s="2">
        <f ca="1"/>
        <v>0.70873347329533876</v>
      </c>
      <c r="O1463" s="2">
        <f ca="1"/>
        <v>-0.13926403604967921</v>
      </c>
      <c r="X1463" s="2">
        <f ca="1"/>
        <v>79.118109583114247</v>
      </c>
      <c r="AG1463" s="2">
        <f ca="1"/>
        <v>0.46670036274577309</v>
      </c>
      <c r="AH1463" s="2" t="str">
        <f ca="1"/>
        <v>Bad</v>
      </c>
    </row>
    <row r="1464" spans="2:34">
      <c r="B1464" s="2">
        <f ca="1"/>
        <v>0.40738473474930159</v>
      </c>
      <c r="O1464" s="2">
        <f ca="1"/>
        <v>-2.5180025609251007</v>
      </c>
      <c r="X1464" s="2">
        <f ca="1"/>
        <v>41.719444116590438</v>
      </c>
      <c r="AG1464" s="2">
        <f ca="1"/>
        <v>0.37599223190471176</v>
      </c>
      <c r="AH1464" s="2" t="str">
        <f ca="1"/>
        <v>OK</v>
      </c>
    </row>
    <row r="1465" spans="2:34">
      <c r="B1465" s="2">
        <f ca="1"/>
        <v>0.93699813549121047</v>
      </c>
      <c r="O1465" s="2">
        <f ca="1"/>
        <v>-7.7941473375844075E-2</v>
      </c>
      <c r="X1465" s="2">
        <f ca="1"/>
        <v>35.879563911976653</v>
      </c>
      <c r="AG1465" s="2">
        <f ca="1"/>
        <v>0.37410490426270715</v>
      </c>
      <c r="AH1465" s="2" t="str">
        <f ca="1"/>
        <v>OK</v>
      </c>
    </row>
    <row r="1466" spans="2:34">
      <c r="B1466" s="2">
        <f ca="1"/>
        <v>6.8292862150194367E-2</v>
      </c>
      <c r="O1466" s="2">
        <f ca="1"/>
        <v>0.86885299284288331</v>
      </c>
      <c r="X1466" s="2">
        <f ca="1"/>
        <v>51.200006212536934</v>
      </c>
      <c r="AG1466" s="2">
        <f ca="1"/>
        <v>0.78445300040195232</v>
      </c>
      <c r="AH1466" s="2" t="str">
        <f ca="1"/>
        <v>Bad</v>
      </c>
    </row>
    <row r="1467" spans="2:34">
      <c r="B1467" s="2">
        <f ca="1"/>
        <v>0.35807770434827191</v>
      </c>
      <c r="O1467" s="2">
        <f ca="1"/>
        <v>-1.6189664501512873</v>
      </c>
      <c r="X1467" s="2">
        <f ca="1"/>
        <v>56.729460879510114</v>
      </c>
      <c r="AG1467" s="2">
        <f ca="1"/>
        <v>0.91934187231849118</v>
      </c>
      <c r="AH1467" s="2" t="str">
        <f ca="1"/>
        <v>Bad</v>
      </c>
    </row>
    <row r="1468" spans="2:34">
      <c r="B1468" s="2">
        <f ca="1"/>
        <v>0.35988708864262797</v>
      </c>
      <c r="O1468" s="2">
        <f ca="1"/>
        <v>-1.0502082923838243</v>
      </c>
      <c r="X1468" s="2">
        <f ca="1"/>
        <v>47.563064150545983</v>
      </c>
      <c r="AG1468" s="2">
        <f ca="1"/>
        <v>3.6800976143390063E-2</v>
      </c>
      <c r="AH1468" s="2" t="str">
        <f ca="1"/>
        <v>Good</v>
      </c>
    </row>
    <row r="1469" spans="2:34">
      <c r="B1469" s="2">
        <f ca="1"/>
        <v>0.45661741781494958</v>
      </c>
      <c r="O1469" s="2">
        <f ca="1"/>
        <v>-0.40342412686382589</v>
      </c>
      <c r="X1469" s="2">
        <f ca="1"/>
        <v>42.7328363739041</v>
      </c>
      <c r="AG1469" s="2">
        <f ca="1"/>
        <v>0.75706744354604205</v>
      </c>
      <c r="AH1469" s="2" t="str">
        <f ca="1"/>
        <v>Bad</v>
      </c>
    </row>
    <row r="1470" spans="2:34">
      <c r="B1470" s="2">
        <f ca="1"/>
        <v>0.39069722531199336</v>
      </c>
      <c r="O1470" s="2">
        <f ca="1"/>
        <v>-6.2866840102904333E-3</v>
      </c>
      <c r="X1470" s="2">
        <f ca="1"/>
        <v>41.582188070976052</v>
      </c>
      <c r="AG1470" s="2">
        <f ca="1"/>
        <v>0.38697169834899259</v>
      </c>
      <c r="AH1470" s="2" t="str">
        <f ca="1"/>
        <v>OK</v>
      </c>
    </row>
    <row r="1471" spans="2:34">
      <c r="B1471" s="2">
        <f ca="1"/>
        <v>0.86340319673772115</v>
      </c>
      <c r="O1471" s="2">
        <f ca="1"/>
        <v>-0.43165986689665342</v>
      </c>
      <c r="X1471" s="2">
        <f ca="1"/>
        <v>56.608720756073787</v>
      </c>
      <c r="AG1471" s="2">
        <f ca="1"/>
        <v>0.26795454913786054</v>
      </c>
      <c r="AH1471" s="2" t="str">
        <f ca="1"/>
        <v>OK</v>
      </c>
    </row>
    <row r="1472" spans="2:34">
      <c r="B1472" s="2">
        <f ca="1"/>
        <v>0.64310404197380033</v>
      </c>
      <c r="O1472" s="2">
        <f ca="1"/>
        <v>2.3917789487916421</v>
      </c>
      <c r="X1472" s="2">
        <f ca="1"/>
        <v>80.7064905556242</v>
      </c>
      <c r="AG1472" s="2">
        <f ca="1"/>
        <v>0.43384022073058226</v>
      </c>
      <c r="AH1472" s="2" t="str">
        <f ca="1"/>
        <v>Bad</v>
      </c>
    </row>
    <row r="1473" spans="2:34">
      <c r="B1473" s="2">
        <f ca="1"/>
        <v>0.89863462681252271</v>
      </c>
      <c r="O1473" s="2">
        <f ca="1"/>
        <v>-0.65684769381033692</v>
      </c>
      <c r="X1473" s="2">
        <f ca="1"/>
        <v>58.101815004777791</v>
      </c>
      <c r="AG1473" s="2">
        <f ca="1"/>
        <v>0.68185850256164837</v>
      </c>
      <c r="AH1473" s="2" t="str">
        <f ca="1"/>
        <v>Bad</v>
      </c>
    </row>
    <row r="1474" spans="2:34">
      <c r="B1474" s="2">
        <f ca="1"/>
        <v>0.79900443883010341</v>
      </c>
      <c r="O1474" s="2">
        <f ca="1"/>
        <v>0.6507539829393727</v>
      </c>
      <c r="X1474" s="2">
        <f ca="1"/>
        <v>56.751196402725654</v>
      </c>
      <c r="AG1474" s="2">
        <f ca="1"/>
        <v>0.70744292121980235</v>
      </c>
      <c r="AH1474" s="2" t="str">
        <f ca="1"/>
        <v>Bad</v>
      </c>
    </row>
    <row r="1475" spans="2:34">
      <c r="B1475" s="2">
        <f ca="1"/>
        <v>0.55686584109279536</v>
      </c>
      <c r="O1475" s="2">
        <f ca="1"/>
        <v>-3.2578843082833977</v>
      </c>
      <c r="X1475" s="2">
        <f ca="1"/>
        <v>55.272740060519503</v>
      </c>
      <c r="AG1475" s="2">
        <f ca="1"/>
        <v>0.62048373743521701</v>
      </c>
      <c r="AH1475" s="2" t="str">
        <f ca="1"/>
        <v>Bad</v>
      </c>
    </row>
    <row r="1476" spans="2:34">
      <c r="B1476" s="2">
        <f ca="1"/>
        <v>7.9528864203607386E-2</v>
      </c>
      <c r="O1476" s="2">
        <f ca="1"/>
        <v>6.3838161755093326E-2</v>
      </c>
      <c r="X1476" s="2">
        <f ca="1"/>
        <v>47.661242815068967</v>
      </c>
      <c r="AG1476" s="2">
        <f ca="1"/>
        <v>0.82201700988183402</v>
      </c>
      <c r="AH1476" s="2" t="str">
        <f ca="1"/>
        <v>Bad</v>
      </c>
    </row>
    <row r="1477" spans="2:34">
      <c r="B1477" s="2">
        <f ca="1"/>
        <v>0.24084513236850902</v>
      </c>
      <c r="O1477" s="2">
        <f ca="1"/>
        <v>0.57564353263671331</v>
      </c>
      <c r="X1477" s="2">
        <f ca="1"/>
        <v>22.011816497266125</v>
      </c>
      <c r="AG1477" s="2">
        <f ca="1"/>
        <v>0.36089440473412049</v>
      </c>
      <c r="AH1477" s="2" t="str">
        <f ca="1"/>
        <v>OK</v>
      </c>
    </row>
    <row r="1478" spans="2:34">
      <c r="B1478" s="2">
        <f ca="1"/>
        <v>0.38441633493616667</v>
      </c>
      <c r="O1478" s="2">
        <f ca="1"/>
        <v>-0.37225600588553714</v>
      </c>
      <c r="X1478" s="2">
        <f ca="1"/>
        <v>76.738929283755056</v>
      </c>
      <c r="AG1478" s="2">
        <f ca="1"/>
        <v>0.37219549495129622</v>
      </c>
      <c r="AH1478" s="2" t="str">
        <f ca="1"/>
        <v>OK</v>
      </c>
    </row>
    <row r="1479" spans="2:34">
      <c r="B1479" s="2">
        <f ca="1"/>
        <v>0.59767397431963976</v>
      </c>
      <c r="O1479" s="2">
        <f ca="1"/>
        <v>-1.0423335572739636</v>
      </c>
      <c r="X1479" s="2">
        <f ca="1"/>
        <v>55.00990745866681</v>
      </c>
      <c r="AG1479" s="2">
        <f ca="1"/>
        <v>0.38466344792814366</v>
      </c>
      <c r="AH1479" s="2" t="str">
        <f ca="1"/>
        <v>OK</v>
      </c>
    </row>
    <row r="1480" spans="2:34">
      <c r="B1480" s="2">
        <f ca="1"/>
        <v>0.25993365135875601</v>
      </c>
      <c r="O1480" s="2">
        <f ca="1"/>
        <v>-1.183045594616434</v>
      </c>
      <c r="X1480" s="2">
        <f ca="1"/>
        <v>53.272293094165029</v>
      </c>
      <c r="AG1480" s="2">
        <f ca="1"/>
        <v>0.92115319601385615</v>
      </c>
      <c r="AH1480" s="2" t="str">
        <f ca="1"/>
        <v>Bad</v>
      </c>
    </row>
    <row r="1481" spans="2:34">
      <c r="B1481" s="2">
        <f ca="1"/>
        <v>0.99490633827556563</v>
      </c>
      <c r="O1481" s="2">
        <f ca="1"/>
        <v>-1.1325532482378311</v>
      </c>
      <c r="X1481" s="2">
        <f ca="1"/>
        <v>56.21795018168374</v>
      </c>
      <c r="AG1481" s="2">
        <f ca="1"/>
        <v>0.29382551902139253</v>
      </c>
      <c r="AH1481" s="2" t="str">
        <f ca="1"/>
        <v>OK</v>
      </c>
    </row>
    <row r="1482" spans="2:34">
      <c r="B1482" s="2">
        <f ca="1"/>
        <v>0.88854432687777574</v>
      </c>
      <c r="O1482" s="2">
        <f ca="1"/>
        <v>0.99290037836742251</v>
      </c>
      <c r="X1482" s="2">
        <f ca="1"/>
        <v>32.665081310287711</v>
      </c>
      <c r="AG1482" s="2">
        <f ca="1"/>
        <v>0.42867196267155006</v>
      </c>
      <c r="AH1482" s="2" t="str">
        <f ca="1"/>
        <v>Bad</v>
      </c>
    </row>
    <row r="1483" spans="2:34">
      <c r="B1483" s="2">
        <f ca="1"/>
        <v>0.998014696311182</v>
      </c>
      <c r="O1483" s="2">
        <f ca="1"/>
        <v>-7.8675531308723304E-2</v>
      </c>
      <c r="X1483" s="2">
        <f ca="1"/>
        <v>36.575291866806793</v>
      </c>
      <c r="AG1483" s="2">
        <f ca="1"/>
        <v>0.213656865020315</v>
      </c>
      <c r="AH1483" s="2" t="str">
        <f ca="1"/>
        <v>OK</v>
      </c>
    </row>
    <row r="1484" spans="2:34">
      <c r="B1484" s="2">
        <f ca="1"/>
        <v>6.3913158056900787E-3</v>
      </c>
      <c r="O1484" s="2">
        <f ca="1"/>
        <v>-0.39227401187564903</v>
      </c>
      <c r="X1484" s="2">
        <f ca="1"/>
        <v>37.416030078939897</v>
      </c>
      <c r="AG1484" s="2">
        <f ca="1"/>
        <v>5.0287109365150462E-2</v>
      </c>
      <c r="AH1484" s="2" t="str">
        <f ca="1"/>
        <v>OK</v>
      </c>
    </row>
    <row r="1485" spans="2:34">
      <c r="B1485" s="2">
        <f ca="1"/>
        <v>0.28201214151955245</v>
      </c>
      <c r="O1485" s="2">
        <f ca="1"/>
        <v>-0.53403497583772697</v>
      </c>
      <c r="X1485" s="2">
        <f ca="1"/>
        <v>54.792463369132051</v>
      </c>
      <c r="AG1485" s="2">
        <f ca="1"/>
        <v>0.54528374589589923</v>
      </c>
      <c r="AH1485" s="2" t="str">
        <f ca="1"/>
        <v>Bad</v>
      </c>
    </row>
    <row r="1486" spans="2:34">
      <c r="B1486" s="2">
        <f ca="1"/>
        <v>0.97366738949296261</v>
      </c>
      <c r="O1486" s="2">
        <f ca="1"/>
        <v>-1.9152318235635581</v>
      </c>
      <c r="X1486" s="2">
        <f ca="1"/>
        <v>61.309660204063228</v>
      </c>
      <c r="AG1486" s="2">
        <f ca="1"/>
        <v>0.64088612477967777</v>
      </c>
      <c r="AH1486" s="2" t="str">
        <f ca="1"/>
        <v>Bad</v>
      </c>
    </row>
    <row r="1487" spans="2:34">
      <c r="B1487" s="2">
        <f ca="1"/>
        <v>0.89541009496702761</v>
      </c>
      <c r="O1487" s="2">
        <f ca="1"/>
        <v>0.27650972411977093</v>
      </c>
      <c r="X1487" s="2">
        <f ca="1"/>
        <v>32.660439081769781</v>
      </c>
      <c r="AG1487" s="2">
        <f ca="1"/>
        <v>0.66316516292846095</v>
      </c>
      <c r="AH1487" s="2" t="str">
        <f ca="1"/>
        <v>Bad</v>
      </c>
    </row>
    <row r="1488" spans="2:34">
      <c r="B1488" s="2">
        <f ca="1"/>
        <v>0.34321834589557132</v>
      </c>
      <c r="O1488" s="2">
        <f ca="1"/>
        <v>0.16892788330722694</v>
      </c>
      <c r="X1488" s="2">
        <f ca="1"/>
        <v>25.956716413874791</v>
      </c>
      <c r="AG1488" s="2">
        <f ca="1"/>
        <v>0.66226471411472132</v>
      </c>
      <c r="AH1488" s="2" t="str">
        <f ca="1"/>
        <v>Bad</v>
      </c>
    </row>
    <row r="1489" spans="2:34">
      <c r="B1489" s="2">
        <f ca="1"/>
        <v>8.1253372463517826E-2</v>
      </c>
      <c r="O1489" s="2">
        <f ca="1"/>
        <v>1.123218745686277</v>
      </c>
      <c r="X1489" s="2">
        <f ca="1"/>
        <v>37.155202591603008</v>
      </c>
      <c r="AG1489" s="2">
        <f ca="1"/>
        <v>0.30997627261701677</v>
      </c>
      <c r="AH1489" s="2" t="str">
        <f ca="1"/>
        <v>OK</v>
      </c>
    </row>
    <row r="1490" spans="2:34">
      <c r="B1490" s="2">
        <f ca="1"/>
        <v>0.40376485064809753</v>
      </c>
      <c r="O1490" s="2">
        <f ca="1"/>
        <v>1.147633493710039</v>
      </c>
      <c r="X1490" s="2">
        <f ca="1"/>
        <v>58.270628881960398</v>
      </c>
      <c r="AG1490" s="2">
        <f ca="1"/>
        <v>0.62486097023562559</v>
      </c>
      <c r="AH1490" s="2" t="str">
        <f ca="1"/>
        <v>Bad</v>
      </c>
    </row>
    <row r="1491" spans="2:34">
      <c r="B1491" s="2">
        <f ca="1"/>
        <v>0.98244426774151861</v>
      </c>
      <c r="O1491" s="2">
        <f ca="1"/>
        <v>-0.65074690933332247</v>
      </c>
      <c r="X1491" s="2">
        <f ca="1"/>
        <v>51.984287556950271</v>
      </c>
      <c r="AG1491" s="2">
        <f ca="1"/>
        <v>0.38357159991570788</v>
      </c>
      <c r="AH1491" s="2" t="str">
        <f ca="1"/>
        <v>OK</v>
      </c>
    </row>
    <row r="1492" spans="2:34">
      <c r="B1492" s="2">
        <f ca="1"/>
        <v>0.19489602339429846</v>
      </c>
      <c r="O1492" s="2">
        <f ca="1"/>
        <v>1.8695150287607676</v>
      </c>
      <c r="X1492" s="2">
        <f ca="1"/>
        <v>25.032608752861751</v>
      </c>
      <c r="AG1492" s="2">
        <f ca="1"/>
        <v>0.94268776685846389</v>
      </c>
      <c r="AH1492" s="2" t="str">
        <f ca="1"/>
        <v>Bad</v>
      </c>
    </row>
    <row r="1493" spans="2:34">
      <c r="B1493" s="2">
        <f ca="1"/>
        <v>8.2087686787303493E-2</v>
      </c>
      <c r="O1493" s="2">
        <f ca="1"/>
        <v>-1.393137344511489</v>
      </c>
      <c r="X1493" s="2">
        <f ca="1"/>
        <v>48.004906536632099</v>
      </c>
      <c r="AG1493" s="2">
        <f ca="1"/>
        <v>0.56702199219252902</v>
      </c>
      <c r="AH1493" s="2" t="str">
        <f ca="1"/>
        <v>Bad</v>
      </c>
    </row>
    <row r="1494" spans="2:34">
      <c r="B1494" s="2">
        <f ca="1"/>
        <v>7.3815589087496525E-2</v>
      </c>
      <c r="O1494" s="2">
        <f ca="1"/>
        <v>-1.3459171993899257</v>
      </c>
      <c r="X1494" s="2">
        <f ca="1"/>
        <v>53.54010360885038</v>
      </c>
      <c r="AG1494" s="2">
        <f ca="1"/>
        <v>0.8608961959088326</v>
      </c>
      <c r="AH1494" s="2" t="str">
        <f ca="1"/>
        <v>Bad</v>
      </c>
    </row>
    <row r="1495" spans="2:34">
      <c r="B1495" s="2">
        <f ca="1"/>
        <v>6.9087380805563425E-2</v>
      </c>
      <c r="O1495" s="2">
        <f ca="1"/>
        <v>0.13736617697564035</v>
      </c>
      <c r="X1495" s="2">
        <f ca="1"/>
        <v>30.328066016713425</v>
      </c>
      <c r="AG1495" s="2">
        <f ca="1"/>
        <v>0.5228008170316496</v>
      </c>
      <c r="AH1495" s="2" t="str">
        <f ca="1"/>
        <v>Bad</v>
      </c>
    </row>
    <row r="1496" spans="2:34">
      <c r="B1496" s="2">
        <f ca="1"/>
        <v>0.74177746518113219</v>
      </c>
      <c r="O1496" s="2">
        <f ca="1"/>
        <v>1.2999735348429675</v>
      </c>
      <c r="X1496" s="2">
        <f ca="1"/>
        <v>42.718971556294825</v>
      </c>
      <c r="AG1496" s="2">
        <f ca="1"/>
        <v>9.5313205676491819E-2</v>
      </c>
      <c r="AH1496" s="2" t="str">
        <f ca="1"/>
        <v>OK</v>
      </c>
    </row>
    <row r="1497" spans="2:34">
      <c r="B1497" s="2">
        <f ca="1"/>
        <v>0.42692401172451055</v>
      </c>
      <c r="O1497" s="2">
        <f ca="1"/>
        <v>-1.0080432253136389</v>
      </c>
      <c r="X1497" s="2">
        <f ca="1"/>
        <v>39.393728160566802</v>
      </c>
      <c r="AG1497" s="2">
        <f ca="1"/>
        <v>0.84852638668830171</v>
      </c>
      <c r="AH1497" s="2" t="str">
        <f ca="1"/>
        <v>Bad</v>
      </c>
    </row>
    <row r="1498" spans="2:34">
      <c r="B1498" s="2">
        <f ca="1"/>
        <v>0.39464105634563329</v>
      </c>
      <c r="O1498" s="2">
        <f ca="1"/>
        <v>1.1961184311150692</v>
      </c>
      <c r="X1498" s="2">
        <f ca="1"/>
        <v>40.996875353291522</v>
      </c>
      <c r="AG1498" s="2">
        <f ca="1"/>
        <v>0.51374631547363792</v>
      </c>
      <c r="AH1498" s="2" t="str">
        <f ca="1"/>
        <v>Bad</v>
      </c>
    </row>
    <row r="1499" spans="2:34">
      <c r="B1499" s="2">
        <f ca="1"/>
        <v>0.52780114880738238</v>
      </c>
      <c r="O1499" s="2">
        <f ca="1"/>
        <v>-0.27223839521861548</v>
      </c>
      <c r="X1499" s="2">
        <f ca="1"/>
        <v>54.721257883891681</v>
      </c>
      <c r="AG1499" s="2">
        <f ca="1"/>
        <v>0.12041521255395593</v>
      </c>
      <c r="AH1499" s="2" t="str">
        <f ca="1"/>
        <v>OK</v>
      </c>
    </row>
    <row r="1500" spans="2:34">
      <c r="B1500" s="2">
        <f ca="1"/>
        <v>0.82623337834358979</v>
      </c>
      <c r="O1500" s="2">
        <f ca="1"/>
        <v>0.14045578558605623</v>
      </c>
      <c r="X1500" s="2">
        <f ca="1"/>
        <v>44.490813683692821</v>
      </c>
      <c r="AG1500" s="2">
        <f ca="1"/>
        <v>0.66718799555473862</v>
      </c>
      <c r="AH1500" s="2" t="str">
        <f ca="1"/>
        <v>Bad</v>
      </c>
    </row>
    <row r="1501" spans="2:34">
      <c r="B1501" s="2">
        <f ca="1"/>
        <v>0.84808025481808458</v>
      </c>
      <c r="O1501" s="2">
        <f ca="1"/>
        <v>-0.19591209223725217</v>
      </c>
      <c r="X1501" s="2">
        <f ca="1"/>
        <v>44.999835267392854</v>
      </c>
      <c r="AG1501" s="2">
        <f ca="1"/>
        <v>0.75290017901424244</v>
      </c>
      <c r="AH1501" s="2" t="str">
        <f ca="1"/>
        <v>Bad</v>
      </c>
    </row>
    <row r="1502" spans="2:34">
      <c r="B1502" s="2">
        <f ca="1"/>
        <v>7.7532406538894261E-2</v>
      </c>
      <c r="O1502" s="2">
        <f ca="1"/>
        <v>-4.8287129200985497E-2</v>
      </c>
      <c r="X1502" s="2">
        <f ca="1"/>
        <v>38.694071745106818</v>
      </c>
      <c r="AG1502" s="2">
        <f ca="1"/>
        <v>0.1610151644832718</v>
      </c>
      <c r="AH1502" s="2" t="str">
        <f ca="1"/>
        <v>OK</v>
      </c>
    </row>
    <row r="1503" spans="2:34">
      <c r="B1503" s="2">
        <f ca="1"/>
        <v>0.71665434556579588</v>
      </c>
      <c r="O1503" s="2">
        <f ca="1"/>
        <v>-1.3191319845532687</v>
      </c>
      <c r="X1503" s="2">
        <f ca="1"/>
        <v>45.019443146995599</v>
      </c>
      <c r="AG1503" s="2">
        <f ca="1"/>
        <v>0.78613680864367397</v>
      </c>
      <c r="AH1503" s="2" t="str">
        <f ca="1"/>
        <v>Bad</v>
      </c>
    </row>
    <row r="1504" spans="2:34">
      <c r="B1504" s="2">
        <f ca="1"/>
        <v>0.58282218234625738</v>
      </c>
      <c r="O1504" s="2">
        <f ca="1"/>
        <v>-0.73484056627091865</v>
      </c>
      <c r="X1504" s="2">
        <f ca="1"/>
        <v>63.567165939722223</v>
      </c>
      <c r="AG1504" s="2">
        <f ca="1"/>
        <v>0.88339612006496404</v>
      </c>
      <c r="AH1504" s="2" t="str">
        <f ca="1"/>
        <v>Bad</v>
      </c>
    </row>
    <row r="1505" spans="2:34">
      <c r="B1505" s="2">
        <f ca="1"/>
        <v>0.88194324305476846</v>
      </c>
      <c r="O1505" s="2">
        <f ca="1"/>
        <v>-0.54932788282530076</v>
      </c>
      <c r="X1505" s="2">
        <f ca="1"/>
        <v>41.950964223948112</v>
      </c>
      <c r="AG1505" s="2">
        <f ca="1"/>
        <v>0.20134026690630491</v>
      </c>
      <c r="AH1505" s="2" t="str">
        <f ca="1"/>
        <v>OK</v>
      </c>
    </row>
    <row r="1506" spans="2:34">
      <c r="B1506" s="2">
        <f ca="1"/>
        <v>0.60380122306430684</v>
      </c>
      <c r="O1506" s="2">
        <f ca="1"/>
        <v>1.7850419285227399</v>
      </c>
      <c r="X1506" s="2">
        <f ca="1"/>
        <v>56.925342503009645</v>
      </c>
      <c r="AG1506" s="2">
        <f ca="1"/>
        <v>7.7848860302517142E-2</v>
      </c>
      <c r="AH1506" s="2" t="str">
        <f ca="1"/>
        <v>OK</v>
      </c>
    </row>
    <row r="1507" spans="2:34">
      <c r="B1507" s="2">
        <f ca="1"/>
        <v>0.11754882309505033</v>
      </c>
      <c r="O1507" s="2">
        <f ca="1"/>
        <v>0.53988822563169769</v>
      </c>
      <c r="X1507" s="2">
        <f ca="1"/>
        <v>35.106851810045072</v>
      </c>
      <c r="AG1507" s="2">
        <f ca="1"/>
        <v>0.92157560464873001</v>
      </c>
      <c r="AH1507" s="2" t="str">
        <f ca="1"/>
        <v>Bad</v>
      </c>
    </row>
    <row r="1508" spans="2:34">
      <c r="B1508" s="2">
        <f ca="1"/>
        <v>0.898507954119939</v>
      </c>
      <c r="O1508" s="2">
        <f ca="1"/>
        <v>0.3591171382883433</v>
      </c>
      <c r="X1508" s="2">
        <f ca="1"/>
        <v>20.675395425582401</v>
      </c>
      <c r="AG1508" s="2">
        <f ca="1"/>
        <v>0.44086799591121806</v>
      </c>
      <c r="AH1508" s="2" t="str">
        <f ca="1"/>
        <v>Bad</v>
      </c>
    </row>
    <row r="1509" spans="2:34">
      <c r="B1509" s="2">
        <f ca="1"/>
        <v>2.3351638860165114E-3</v>
      </c>
      <c r="O1509" s="2">
        <f ca="1"/>
        <v>-1.0510784020778248</v>
      </c>
      <c r="X1509" s="2">
        <f ca="1"/>
        <v>52.288477870891398</v>
      </c>
      <c r="AG1509" s="2">
        <f ca="1"/>
        <v>0.17524545925893853</v>
      </c>
      <c r="AH1509" s="2" t="str">
        <f ca="1"/>
        <v>OK</v>
      </c>
    </row>
    <row r="1510" spans="2:34">
      <c r="B1510" s="2">
        <f ca="1"/>
        <v>0.60561444187113667</v>
      </c>
      <c r="O1510" s="2">
        <f ca="1"/>
        <v>-0.67577117417590549</v>
      </c>
      <c r="X1510" s="2">
        <f ca="1"/>
        <v>40.266843667426464</v>
      </c>
      <c r="AG1510" s="2">
        <f ca="1"/>
        <v>0.24044737992281129</v>
      </c>
      <c r="AH1510" s="2" t="str">
        <f ca="1"/>
        <v>OK</v>
      </c>
    </row>
    <row r="1511" spans="2:34">
      <c r="B1511" s="2">
        <f ca="1"/>
        <v>0.36509073807904979</v>
      </c>
      <c r="O1511" s="2">
        <f ca="1"/>
        <v>0.71321232559940706</v>
      </c>
      <c r="X1511" s="2">
        <f ca="1"/>
        <v>40.991843223859938</v>
      </c>
      <c r="AG1511" s="2">
        <f ca="1"/>
        <v>0.68559435298907712</v>
      </c>
      <c r="AH1511" s="2" t="str">
        <f ca="1"/>
        <v>Bad</v>
      </c>
    </row>
    <row r="1512" spans="2:34">
      <c r="B1512" s="2">
        <f ca="1"/>
        <v>0.31619938676856041</v>
      </c>
      <c r="O1512" s="2">
        <f ca="1"/>
        <v>8.4236575713612274E-2</v>
      </c>
      <c r="X1512" s="2">
        <f ca="1"/>
        <v>35.3795307797768</v>
      </c>
      <c r="AG1512" s="2">
        <f ca="1"/>
        <v>0.24786372657934974</v>
      </c>
      <c r="AH1512" s="2" t="str">
        <f ca="1"/>
        <v>OK</v>
      </c>
    </row>
    <row r="1513" spans="2:34">
      <c r="B1513" s="2">
        <f ca="1"/>
        <v>0.39828875960804377</v>
      </c>
      <c r="O1513" s="2">
        <f ca="1"/>
        <v>4.7454899882651877E-2</v>
      </c>
      <c r="X1513" s="2">
        <f ca="1"/>
        <v>28.442783350083403</v>
      </c>
      <c r="AG1513" s="2">
        <f ca="1"/>
        <v>0.35956521885202064</v>
      </c>
      <c r="AH1513" s="2" t="str">
        <f ca="1"/>
        <v>OK</v>
      </c>
    </row>
    <row r="1514" spans="2:34">
      <c r="B1514" s="2">
        <f ca="1"/>
        <v>0.74279826454927567</v>
      </c>
      <c r="O1514" s="2">
        <f ca="1"/>
        <v>-1.0937195841304597</v>
      </c>
      <c r="X1514" s="2">
        <f ca="1"/>
        <v>48.680982770016747</v>
      </c>
      <c r="AG1514" s="2">
        <f ca="1"/>
        <v>0.46376340486349776</v>
      </c>
      <c r="AH1514" s="2" t="str">
        <f ca="1"/>
        <v>Bad</v>
      </c>
    </row>
    <row r="1515" spans="2:34">
      <c r="B1515" s="2">
        <f ca="1"/>
        <v>0.9341646953061471</v>
      </c>
      <c r="O1515" s="2">
        <f ca="1"/>
        <v>1.0556047167884548</v>
      </c>
      <c r="X1515" s="2">
        <f ca="1"/>
        <v>55.762857437587954</v>
      </c>
      <c r="AG1515" s="2">
        <f ca="1"/>
        <v>0.89859447914657142</v>
      </c>
      <c r="AH1515" s="2" t="str">
        <f ca="1"/>
        <v>Bad</v>
      </c>
    </row>
    <row r="1516" spans="2:34">
      <c r="B1516" s="2">
        <f ca="1"/>
        <v>5.2395570441677863E-2</v>
      </c>
      <c r="O1516" s="2">
        <f ca="1"/>
        <v>1.9979406297881435</v>
      </c>
      <c r="X1516" s="2">
        <f ca="1"/>
        <v>21.163091726706533</v>
      </c>
      <c r="AG1516" s="2">
        <f ca="1"/>
        <v>0.79065107221848963</v>
      </c>
      <c r="AH1516" s="2" t="str">
        <f ca="1"/>
        <v>Bad</v>
      </c>
    </row>
    <row r="1517" spans="2:34">
      <c r="B1517" s="2">
        <f ca="1"/>
        <v>0.40632819546760945</v>
      </c>
      <c r="O1517" s="2">
        <f ca="1"/>
        <v>0.11941931560328822</v>
      </c>
      <c r="X1517" s="2">
        <f ca="1"/>
        <v>55.082621757232303</v>
      </c>
      <c r="AG1517" s="2">
        <f ca="1"/>
        <v>0.22193192374677317</v>
      </c>
      <c r="AH1517" s="2" t="str">
        <f ca="1"/>
        <v>OK</v>
      </c>
    </row>
    <row r="1518" spans="2:34">
      <c r="B1518" s="2">
        <f ca="1"/>
        <v>0.99961657004120186</v>
      </c>
      <c r="O1518" s="2">
        <f ca="1"/>
        <v>-0.56125504605791787</v>
      </c>
      <c r="X1518" s="2">
        <f ca="1"/>
        <v>46.720232328609363</v>
      </c>
      <c r="AG1518" s="2">
        <f ca="1"/>
        <v>0.69166214210671861</v>
      </c>
      <c r="AH1518" s="2" t="str">
        <f ca="1"/>
        <v>Bad</v>
      </c>
    </row>
    <row r="1519" spans="2:34">
      <c r="B1519" s="2">
        <f ca="1"/>
        <v>0.87047105300095362</v>
      </c>
      <c r="O1519" s="2">
        <f ca="1"/>
        <v>-0.67132104686930083</v>
      </c>
      <c r="X1519" s="2">
        <f ca="1"/>
        <v>32.742384978640786</v>
      </c>
      <c r="AG1519" s="2">
        <f ca="1"/>
        <v>0.55051655353567774</v>
      </c>
      <c r="AH1519" s="2" t="str">
        <f ca="1"/>
        <v>Bad</v>
      </c>
    </row>
    <row r="1520" spans="2:34">
      <c r="B1520" s="2">
        <f ca="1"/>
        <v>0.63349920063157472</v>
      </c>
      <c r="O1520" s="2">
        <f ca="1"/>
        <v>1.2516785366641168</v>
      </c>
      <c r="X1520" s="2">
        <f ca="1"/>
        <v>60.936953387533343</v>
      </c>
      <c r="AG1520" s="2">
        <f ca="1"/>
        <v>1.480992686795668E-2</v>
      </c>
      <c r="AH1520" s="2" t="str">
        <f ca="1"/>
        <v>Good</v>
      </c>
    </row>
    <row r="1521" spans="2:34">
      <c r="B1521" s="2">
        <f ca="1"/>
        <v>0.10160838085304857</v>
      </c>
      <c r="O1521" s="2">
        <f ca="1"/>
        <v>5.3420236162681468E-2</v>
      </c>
      <c r="X1521" s="2">
        <f ca="1"/>
        <v>55.102801063002779</v>
      </c>
      <c r="AG1521" s="2">
        <f ca="1"/>
        <v>0.60756826833296129</v>
      </c>
      <c r="AH1521" s="2" t="str">
        <f ca="1"/>
        <v>Bad</v>
      </c>
    </row>
    <row r="1522" spans="2:34">
      <c r="B1522" s="2">
        <f ca="1"/>
        <v>0.71960200729496249</v>
      </c>
      <c r="O1522" s="2">
        <f ca="1"/>
        <v>-0.40330439432604609</v>
      </c>
      <c r="X1522" s="2">
        <f ca="1"/>
        <v>29.358509493157964</v>
      </c>
      <c r="AG1522" s="2">
        <f ca="1"/>
        <v>0.88532835389234821</v>
      </c>
      <c r="AH1522" s="2" t="str">
        <f ca="1"/>
        <v>Bad</v>
      </c>
    </row>
    <row r="1523" spans="2:34">
      <c r="B1523" s="2">
        <f ca="1"/>
        <v>0.97574659681182263</v>
      </c>
      <c r="O1523" s="2">
        <f ca="1"/>
        <v>-0.91385538578509817</v>
      </c>
      <c r="X1523" s="2">
        <f ca="1"/>
        <v>49.740605538878533</v>
      </c>
      <c r="AG1523" s="2">
        <f ca="1"/>
        <v>3.9284806327885891E-2</v>
      </c>
      <c r="AH1523" s="2" t="str">
        <f ca="1"/>
        <v>Good</v>
      </c>
    </row>
    <row r="1524" spans="2:34">
      <c r="B1524" s="2">
        <f ca="1"/>
        <v>0.76890626556529607</v>
      </c>
      <c r="O1524" s="2">
        <f ca="1"/>
        <v>0.90857902021872938</v>
      </c>
      <c r="X1524" s="2">
        <f ca="1"/>
        <v>48.86450756937181</v>
      </c>
      <c r="AG1524" s="2">
        <f ca="1"/>
        <v>2.2614489245463831E-2</v>
      </c>
      <c r="AH1524" s="2" t="str">
        <f ca="1"/>
        <v>Good</v>
      </c>
    </row>
    <row r="1525" spans="2:34">
      <c r="B1525" s="2">
        <f ca="1"/>
        <v>7.36813040391191E-2</v>
      </c>
      <c r="O1525" s="2">
        <f ca="1"/>
        <v>-0.33754370997242683</v>
      </c>
      <c r="X1525" s="2">
        <f ca="1"/>
        <v>68.803799863993532</v>
      </c>
      <c r="AG1525" s="2">
        <f ca="1"/>
        <v>0.2271423879061194</v>
      </c>
      <c r="AH1525" s="2" t="str">
        <f ca="1"/>
        <v>OK</v>
      </c>
    </row>
    <row r="1526" spans="2:34">
      <c r="B1526" s="2">
        <f ca="1"/>
        <v>0.35509621134925817</v>
      </c>
      <c r="O1526" s="2">
        <f ca="1"/>
        <v>0.53957093446406135</v>
      </c>
      <c r="X1526" s="2">
        <f ca="1"/>
        <v>34.672788721304151</v>
      </c>
      <c r="AG1526" s="2">
        <f ca="1"/>
        <v>0.47256197655263188</v>
      </c>
      <c r="AH1526" s="2" t="str">
        <f ca="1"/>
        <v>Bad</v>
      </c>
    </row>
    <row r="1527" spans="2:34">
      <c r="B1527" s="2">
        <f ca="1"/>
        <v>9.0323340173105171E-2</v>
      </c>
      <c r="O1527" s="2">
        <f ca="1"/>
        <v>-1.1706323601739395</v>
      </c>
      <c r="X1527" s="2">
        <f ca="1"/>
        <v>39.198771089724872</v>
      </c>
      <c r="AG1527" s="2">
        <f ca="1"/>
        <v>0.79852008750402592</v>
      </c>
      <c r="AH1527" s="2" t="str">
        <f ca="1"/>
        <v>Bad</v>
      </c>
    </row>
    <row r="1528" spans="2:34">
      <c r="B1528" s="2">
        <f ca="1"/>
        <v>0.36536879922337984</v>
      </c>
      <c r="O1528" s="2">
        <f ca="1"/>
        <v>-1.0758606419002354</v>
      </c>
      <c r="X1528" s="2">
        <f ca="1"/>
        <v>73.98635915789643</v>
      </c>
      <c r="AG1528" s="2">
        <f ca="1"/>
        <v>0.72857725328701117</v>
      </c>
      <c r="AH1528" s="2" t="str">
        <f ca="1"/>
        <v>Bad</v>
      </c>
    </row>
    <row r="1529" spans="2:34">
      <c r="B1529" s="2">
        <f ca="1"/>
        <v>0.65679836996945995</v>
      </c>
      <c r="O1529" s="2">
        <f ca="1"/>
        <v>0.57677150623666151</v>
      </c>
      <c r="X1529" s="2">
        <f ca="1"/>
        <v>57.933254134969154</v>
      </c>
      <c r="AG1529" s="2">
        <f ca="1"/>
        <v>0.32273807878923955</v>
      </c>
      <c r="AH1529" s="2" t="str">
        <f ca="1"/>
        <v>OK</v>
      </c>
    </row>
    <row r="1530" spans="2:34">
      <c r="B1530" s="2">
        <f ca="1"/>
        <v>0.86340561514759839</v>
      </c>
      <c r="O1530" s="2">
        <f ca="1"/>
        <v>1.8989040875785179</v>
      </c>
      <c r="X1530" s="2">
        <f ca="1"/>
        <v>50.447115530444293</v>
      </c>
      <c r="AG1530" s="2">
        <f ca="1"/>
        <v>0.63266017342838365</v>
      </c>
      <c r="AH1530" s="2" t="str">
        <f ca="1"/>
        <v>Bad</v>
      </c>
    </row>
    <row r="1531" spans="2:34">
      <c r="B1531" s="2">
        <f ca="1"/>
        <v>0.73690073644763543</v>
      </c>
      <c r="O1531" s="2">
        <f ca="1"/>
        <v>-0.41261800264904713</v>
      </c>
      <c r="X1531" s="2">
        <f ca="1"/>
        <v>51.957795234927659</v>
      </c>
      <c r="AG1531" s="2">
        <f ca="1"/>
        <v>0.87545035699140117</v>
      </c>
      <c r="AH1531" s="2" t="str">
        <f ca="1"/>
        <v>Bad</v>
      </c>
    </row>
    <row r="1532" spans="2:34">
      <c r="B1532" s="2">
        <f ca="1"/>
        <v>0.55506588862147122</v>
      </c>
      <c r="O1532" s="2">
        <f ca="1"/>
        <v>0.77915557097115729</v>
      </c>
      <c r="X1532" s="2">
        <f ca="1"/>
        <v>69.588670733911698</v>
      </c>
      <c r="AG1532" s="2">
        <f ca="1"/>
        <v>0.53795048697214187</v>
      </c>
      <c r="AH1532" s="2" t="str">
        <f ca="1"/>
        <v>Bad</v>
      </c>
    </row>
    <row r="1533" spans="2:34">
      <c r="B1533" s="2">
        <f ca="1"/>
        <v>0.17940324754064396</v>
      </c>
      <c r="O1533" s="2">
        <f ca="1"/>
        <v>1.1302646317540854</v>
      </c>
      <c r="X1533" s="2">
        <f ca="1"/>
        <v>49.876523609286856</v>
      </c>
      <c r="AG1533" s="2">
        <f ca="1"/>
        <v>0.66954832864623115</v>
      </c>
      <c r="AH1533" s="2" t="str">
        <f ca="1"/>
        <v>Bad</v>
      </c>
    </row>
    <row r="1534" spans="2:34">
      <c r="B1534" s="2">
        <f ca="1"/>
        <v>0.55081128370395271</v>
      </c>
      <c r="O1534" s="2">
        <f ca="1"/>
        <v>-0.60526782294870207</v>
      </c>
      <c r="X1534" s="2">
        <f ca="1"/>
        <v>52.89853074464807</v>
      </c>
      <c r="AG1534" s="2">
        <f ca="1"/>
        <v>0.44145087920285175</v>
      </c>
      <c r="AH1534" s="2" t="str">
        <f ca="1"/>
        <v>Bad</v>
      </c>
    </row>
    <row r="1535" spans="2:34">
      <c r="B1535" s="2">
        <f ca="1"/>
        <v>0.33503095245764691</v>
      </c>
      <c r="O1535" s="2">
        <f ca="1"/>
        <v>1.6635175463977456</v>
      </c>
      <c r="X1535" s="2">
        <f ca="1"/>
        <v>43.901563512172139</v>
      </c>
      <c r="AG1535" s="2">
        <f ca="1"/>
        <v>5.8809837078209748E-2</v>
      </c>
      <c r="AH1535" s="2" t="str">
        <f ca="1"/>
        <v>OK</v>
      </c>
    </row>
    <row r="1536" spans="2:34">
      <c r="B1536" s="2">
        <f ca="1"/>
        <v>0.687521839724345</v>
      </c>
      <c r="O1536" s="2">
        <f ca="1"/>
        <v>-0.39746672808460803</v>
      </c>
      <c r="X1536" s="2">
        <f ca="1"/>
        <v>64.857309863906067</v>
      </c>
      <c r="AG1536" s="2">
        <f ca="1"/>
        <v>0.46039886927609763</v>
      </c>
      <c r="AH1536" s="2" t="str">
        <f ca="1"/>
        <v>Bad</v>
      </c>
    </row>
    <row r="1537" spans="2:34">
      <c r="B1537" s="2">
        <f ca="1"/>
        <v>0.53803251221295767</v>
      </c>
      <c r="O1537" s="2">
        <f ca="1"/>
        <v>-0.29310530534486218</v>
      </c>
      <c r="X1537" s="2">
        <f ca="1"/>
        <v>79.312735399660227</v>
      </c>
      <c r="AG1537" s="2">
        <f ca="1"/>
        <v>0.78296502009030733</v>
      </c>
      <c r="AH1537" s="2" t="str">
        <f ca="1"/>
        <v>Bad</v>
      </c>
    </row>
    <row r="1538" spans="2:34">
      <c r="B1538" s="2">
        <f ca="1"/>
        <v>0.6674081299920207</v>
      </c>
      <c r="O1538" s="2">
        <f ca="1"/>
        <v>0.67957174269149978</v>
      </c>
      <c r="X1538" s="2">
        <f ca="1"/>
        <v>59.543748995684851</v>
      </c>
      <c r="AG1538" s="2">
        <f ca="1"/>
        <v>0.90303913195980834</v>
      </c>
      <c r="AH1538" s="2" t="str">
        <f ca="1"/>
        <v>Bad</v>
      </c>
    </row>
    <row r="1539" spans="2:34">
      <c r="B1539" s="2">
        <f ca="1"/>
        <v>0.78401034527370261</v>
      </c>
      <c r="O1539" s="2">
        <f ca="1"/>
        <v>-1.8447182920813803</v>
      </c>
      <c r="X1539" s="2">
        <f ca="1"/>
        <v>28.423022934389866</v>
      </c>
      <c r="AG1539" s="2">
        <f ca="1"/>
        <v>0.71175917000916056</v>
      </c>
      <c r="AH1539" s="2" t="str">
        <f ca="1"/>
        <v>Bad</v>
      </c>
    </row>
    <row r="1540" spans="2:34">
      <c r="B1540" s="2">
        <f ca="1"/>
        <v>0.98927025986361805</v>
      </c>
      <c r="O1540" s="2">
        <f ca="1"/>
        <v>-1.2555824461483764</v>
      </c>
      <c r="X1540" s="2">
        <f ca="1"/>
        <v>78.482803194804248</v>
      </c>
      <c r="AG1540" s="2">
        <f ca="1"/>
        <v>0.14785276107781309</v>
      </c>
      <c r="AH1540" s="2" t="str">
        <f ca="1"/>
        <v>OK</v>
      </c>
    </row>
    <row r="1541" spans="2:34">
      <c r="B1541" s="2">
        <f ca="1"/>
        <v>0.32758095051534286</v>
      </c>
      <c r="O1541" s="2">
        <f ca="1"/>
        <v>0.94377410979699117</v>
      </c>
      <c r="X1541" s="2">
        <f ca="1"/>
        <v>30.167266598088361</v>
      </c>
      <c r="AG1541" s="2">
        <f ca="1"/>
        <v>0.19010753676736525</v>
      </c>
      <c r="AH1541" s="2" t="str">
        <f ca="1"/>
        <v>OK</v>
      </c>
    </row>
    <row r="1542" spans="2:34">
      <c r="B1542" s="2">
        <f ca="1"/>
        <v>0.62764194867357692</v>
      </c>
      <c r="O1542" s="2">
        <f ca="1"/>
        <v>-0.46827870962309492</v>
      </c>
      <c r="X1542" s="2">
        <f ca="1"/>
        <v>63.390743150785795</v>
      </c>
      <c r="AG1542" s="2">
        <f ca="1"/>
        <v>5.0819888247113587E-2</v>
      </c>
      <c r="AH1542" s="2" t="str">
        <f ca="1"/>
        <v>OK</v>
      </c>
    </row>
    <row r="1543" spans="2:34">
      <c r="B1543" s="2">
        <f ca="1"/>
        <v>0.75374587449939501</v>
      </c>
      <c r="O1543" s="2">
        <f ca="1"/>
        <v>1.3043024452795611</v>
      </c>
      <c r="X1543" s="2">
        <f ca="1"/>
        <v>37.181005581331974</v>
      </c>
      <c r="AG1543" s="2">
        <f ca="1"/>
        <v>0.66346932837010408</v>
      </c>
      <c r="AH1543" s="2" t="str">
        <f ca="1"/>
        <v>Bad</v>
      </c>
    </row>
    <row r="1544" spans="2:34">
      <c r="B1544" s="2">
        <f ca="1"/>
        <v>0.60315885155548421</v>
      </c>
      <c r="O1544" s="2">
        <f ca="1"/>
        <v>0.32881940193613196</v>
      </c>
      <c r="X1544" s="2">
        <f ca="1"/>
        <v>49.595698448190255</v>
      </c>
      <c r="AG1544" s="2">
        <f ca="1"/>
        <v>0.67228895917491394</v>
      </c>
      <c r="AH1544" s="2" t="str">
        <f ca="1"/>
        <v>Bad</v>
      </c>
    </row>
    <row r="1545" spans="2:34">
      <c r="B1545" s="2">
        <f ca="1"/>
        <v>0.8218033143072101</v>
      </c>
      <c r="O1545" s="2">
        <f ca="1"/>
        <v>-0.41809018422903177</v>
      </c>
      <c r="X1545" s="2">
        <f ca="1"/>
        <v>23.981268236924045</v>
      </c>
      <c r="AG1545" s="2">
        <f ca="1"/>
        <v>9.9941894752577642E-3</v>
      </c>
      <c r="AH1545" s="2" t="str">
        <f ca="1"/>
        <v>Good</v>
      </c>
    </row>
    <row r="1546" spans="2:34">
      <c r="B1546" s="2">
        <f ca="1"/>
        <v>0.91466676542515368</v>
      </c>
      <c r="O1546" s="2">
        <f ca="1"/>
        <v>1.3543681433885102</v>
      </c>
      <c r="X1546" s="2">
        <f ca="1"/>
        <v>30.155112385926092</v>
      </c>
      <c r="AG1546" s="2">
        <f ca="1"/>
        <v>0.59205580632022015</v>
      </c>
      <c r="AH1546" s="2" t="str">
        <f ca="1"/>
        <v>Bad</v>
      </c>
    </row>
    <row r="1547" spans="2:34">
      <c r="B1547" s="2">
        <f ca="1"/>
        <v>0.40855696714502243</v>
      </c>
      <c r="O1547" s="2">
        <f ca="1"/>
        <v>0.34953707438709058</v>
      </c>
      <c r="X1547" s="2">
        <f ca="1"/>
        <v>42.546191410928216</v>
      </c>
      <c r="AG1547" s="2">
        <f ca="1"/>
        <v>0.82344920768293495</v>
      </c>
      <c r="AH1547" s="2" t="str">
        <f ca="1"/>
        <v>Bad</v>
      </c>
    </row>
    <row r="1548" spans="2:34">
      <c r="B1548" s="2">
        <f ca="1"/>
        <v>4.0798375431631229E-2</v>
      </c>
      <c r="O1548" s="2">
        <f ca="1"/>
        <v>-1.9931871951274815</v>
      </c>
      <c r="X1548" s="2">
        <f ca="1"/>
        <v>30.170001787018741</v>
      </c>
      <c r="AG1548" s="2">
        <f ca="1"/>
        <v>0.55511665345770123</v>
      </c>
      <c r="AH1548" s="2" t="str">
        <f ca="1"/>
        <v>Bad</v>
      </c>
    </row>
    <row r="1549" spans="2:34">
      <c r="B1549" s="2">
        <f ca="1"/>
        <v>5.3163750546560307E-2</v>
      </c>
      <c r="O1549" s="2">
        <f ca="1"/>
        <v>1.4017536143635014</v>
      </c>
      <c r="X1549" s="2">
        <f ca="1"/>
        <v>39.050606307869543</v>
      </c>
      <c r="AG1549" s="2">
        <f ca="1"/>
        <v>0.89838930153475349</v>
      </c>
      <c r="AH1549" s="2" t="str">
        <f ca="1"/>
        <v>Bad</v>
      </c>
    </row>
    <row r="1550" spans="2:34">
      <c r="B1550" s="2">
        <f ca="1"/>
        <v>0.62048881602506389</v>
      </c>
      <c r="O1550" s="2">
        <f ca="1"/>
        <v>0.56440899231417874</v>
      </c>
      <c r="X1550" s="2">
        <f ca="1"/>
        <v>39.985126700115465</v>
      </c>
      <c r="AG1550" s="2">
        <f ca="1"/>
        <v>0.988400216526236</v>
      </c>
      <c r="AH1550" s="2" t="str">
        <f ca="1"/>
        <v>Bad</v>
      </c>
    </row>
    <row r="1551" spans="2:34">
      <c r="B1551" s="2">
        <f ca="1"/>
        <v>0.11765725412528938</v>
      </c>
      <c r="O1551" s="2">
        <f ca="1"/>
        <v>0.10429559547711825</v>
      </c>
      <c r="X1551" s="2">
        <f ca="1"/>
        <v>70.407231574684516</v>
      </c>
      <c r="AG1551" s="2">
        <f ca="1"/>
        <v>0.52782008211304321</v>
      </c>
      <c r="AH1551" s="2" t="str">
        <f ca="1"/>
        <v>Bad</v>
      </c>
    </row>
    <row r="1552" spans="2:34">
      <c r="B1552" s="2">
        <f ca="1"/>
        <v>0.90575012263686694</v>
      </c>
      <c r="O1552" s="2">
        <f ca="1"/>
        <v>-1.883474637165035</v>
      </c>
      <c r="X1552" s="2">
        <f ca="1"/>
        <v>51.572594449710124</v>
      </c>
      <c r="AG1552" s="2">
        <f ca="1"/>
        <v>0.63135708433269788</v>
      </c>
      <c r="AH1552" s="2" t="str">
        <f ca="1"/>
        <v>Bad</v>
      </c>
    </row>
    <row r="1553" spans="2:34">
      <c r="B1553" s="2">
        <f ca="1"/>
        <v>0.7535436693290618</v>
      </c>
      <c r="O1553" s="2">
        <f ca="1"/>
        <v>1.462298360208659</v>
      </c>
      <c r="X1553" s="2">
        <f ca="1"/>
        <v>52.30052485186026</v>
      </c>
      <c r="AG1553" s="2">
        <f ca="1"/>
        <v>0.74459938169444051</v>
      </c>
      <c r="AH1553" s="2" t="str">
        <f ca="1"/>
        <v>Bad</v>
      </c>
    </row>
    <row r="1554" spans="2:34">
      <c r="B1554" s="2">
        <f ca="1"/>
        <v>0.47376313449717244</v>
      </c>
      <c r="O1554" s="2">
        <f ca="1"/>
        <v>-0.33161608944893178</v>
      </c>
      <c r="X1554" s="2">
        <f ca="1"/>
        <v>56.901845449263071</v>
      </c>
      <c r="AG1554" s="2">
        <f ca="1"/>
        <v>3.5768879948625099E-2</v>
      </c>
      <c r="AH1554" s="2" t="str">
        <f ca="1"/>
        <v>Good</v>
      </c>
    </row>
    <row r="1555" spans="2:34">
      <c r="B1555" s="2">
        <f ca="1"/>
        <v>5.4906071234239961E-2</v>
      </c>
      <c r="O1555" s="2">
        <f ca="1"/>
        <v>-0.10028021425018142</v>
      </c>
      <c r="X1555" s="2">
        <f ca="1"/>
        <v>45.38181191148594</v>
      </c>
      <c r="AG1555" s="2">
        <f ca="1"/>
        <v>0.65914577595380286</v>
      </c>
      <c r="AH1555" s="2" t="str">
        <f ca="1"/>
        <v>Bad</v>
      </c>
    </row>
    <row r="1556" spans="2:34">
      <c r="B1556" s="2">
        <f ca="1"/>
        <v>0.34372613942415886</v>
      </c>
      <c r="O1556" s="2">
        <f ca="1"/>
        <v>-0.89537290976730455</v>
      </c>
      <c r="X1556" s="2">
        <f ca="1"/>
        <v>47.026911064817256</v>
      </c>
      <c r="AG1556" s="2">
        <f ca="1"/>
        <v>0.57390139453225619</v>
      </c>
      <c r="AH1556" s="2" t="str">
        <f ca="1"/>
        <v>Bad</v>
      </c>
    </row>
    <row r="1557" spans="2:34">
      <c r="B1557" s="2">
        <f ca="1"/>
        <v>0.12407439169253354</v>
      </c>
      <c r="O1557" s="2">
        <f ca="1"/>
        <v>-1.250911488208698</v>
      </c>
      <c r="X1557" s="2">
        <f ca="1"/>
        <v>54.642930436416933</v>
      </c>
      <c r="AG1557" s="2">
        <f ca="1"/>
        <v>0.92345463916989501</v>
      </c>
      <c r="AH1557" s="2" t="str">
        <f ca="1"/>
        <v>Bad</v>
      </c>
    </row>
    <row r="1558" spans="2:34">
      <c r="B1558" s="2">
        <f ca="1"/>
        <v>0.70987281531482105</v>
      </c>
      <c r="O1558" s="2">
        <f ca="1"/>
        <v>-0.69102365963920387</v>
      </c>
      <c r="X1558" s="2">
        <f ca="1"/>
        <v>43.881642190110483</v>
      </c>
      <c r="AG1558" s="2">
        <f ca="1"/>
        <v>0.43495845347785922</v>
      </c>
      <c r="AH1558" s="2" t="str">
        <f ca="1"/>
        <v>Bad</v>
      </c>
    </row>
    <row r="1559" spans="2:34">
      <c r="B1559" s="2">
        <f ca="1"/>
        <v>2.2663548671427058E-2</v>
      </c>
      <c r="O1559" s="2">
        <f ca="1"/>
        <v>0.59748785333005794</v>
      </c>
      <c r="X1559" s="2">
        <f ca="1"/>
        <v>59.416953237642289</v>
      </c>
      <c r="AG1559" s="2">
        <f ca="1"/>
        <v>0.25609397094082365</v>
      </c>
      <c r="AH1559" s="2" t="str">
        <f ca="1"/>
        <v>OK</v>
      </c>
    </row>
    <row r="1560" spans="2:34">
      <c r="B1560" s="2">
        <f ca="1"/>
        <v>0.65250830089965639</v>
      </c>
      <c r="O1560" s="2">
        <f ca="1"/>
        <v>0.38882728613511669</v>
      </c>
      <c r="X1560" s="2">
        <f ca="1"/>
        <v>39.313867633296333</v>
      </c>
      <c r="AG1560" s="2">
        <f ca="1"/>
        <v>0.47235685957086249</v>
      </c>
      <c r="AH1560" s="2" t="str">
        <f ca="1"/>
        <v>Bad</v>
      </c>
    </row>
    <row r="1561" spans="2:34">
      <c r="B1561" s="2">
        <f ca="1"/>
        <v>0.98573786741027125</v>
      </c>
      <c r="O1561" s="2">
        <f ca="1"/>
        <v>0.37034463997710254</v>
      </c>
      <c r="X1561" s="2">
        <f ca="1"/>
        <v>35.380188140843188</v>
      </c>
      <c r="AG1561" s="2">
        <f ca="1"/>
        <v>0.67645043550993056</v>
      </c>
      <c r="AH1561" s="2" t="str">
        <f ca="1"/>
        <v>Bad</v>
      </c>
    </row>
    <row r="1562" spans="2:34">
      <c r="B1562" s="2">
        <f ca="1"/>
        <v>0.98678554971320009</v>
      </c>
      <c r="O1562" s="2">
        <f ca="1"/>
        <v>0.63822397630637162</v>
      </c>
      <c r="X1562" s="2">
        <f ca="1"/>
        <v>47.254539978478576</v>
      </c>
      <c r="AG1562" s="2">
        <f ca="1"/>
        <v>4.8928444592017284E-2</v>
      </c>
      <c r="AH1562" s="2" t="str">
        <f ca="1"/>
        <v>Good</v>
      </c>
    </row>
    <row r="1563" spans="2:34">
      <c r="B1563" s="2">
        <f ca="1"/>
        <v>0.2202009269554146</v>
      </c>
      <c r="O1563" s="2">
        <f ca="1"/>
        <v>-0.64877650642445261</v>
      </c>
      <c r="X1563" s="2">
        <f ca="1"/>
        <v>33.776044082720148</v>
      </c>
      <c r="AG1563" s="2">
        <f ca="1"/>
        <v>0.36936274171827832</v>
      </c>
      <c r="AH1563" s="2" t="str">
        <f ca="1"/>
        <v>OK</v>
      </c>
    </row>
    <row r="1564" spans="2:34">
      <c r="B1564" s="2">
        <f ca="1"/>
        <v>0.58346808833756492</v>
      </c>
      <c r="O1564" s="2">
        <f ca="1"/>
        <v>-0.57583546749572601</v>
      </c>
      <c r="X1564" s="2">
        <f ca="1"/>
        <v>28.555327519114542</v>
      </c>
      <c r="AG1564" s="2">
        <f ca="1"/>
        <v>0.33898903319224338</v>
      </c>
      <c r="AH1564" s="2" t="str">
        <f ca="1"/>
        <v>OK</v>
      </c>
    </row>
    <row r="1565" spans="2:34">
      <c r="B1565" s="2">
        <f ca="1"/>
        <v>0.88485829797850202</v>
      </c>
      <c r="O1565" s="2">
        <f ca="1"/>
        <v>0.57706693749827909</v>
      </c>
      <c r="X1565" s="2">
        <f ca="1"/>
        <v>44.980580888092035</v>
      </c>
      <c r="AG1565" s="2">
        <f ca="1"/>
        <v>0.30631627141729867</v>
      </c>
      <c r="AH1565" s="2" t="str">
        <f ca="1"/>
        <v>OK</v>
      </c>
    </row>
    <row r="1566" spans="2:34">
      <c r="B1566" s="2">
        <f ca="1"/>
        <v>0.77034278238204879</v>
      </c>
      <c r="O1566" s="2">
        <f ca="1"/>
        <v>-1.2313053383823571</v>
      </c>
      <c r="X1566" s="2">
        <f ca="1"/>
        <v>65.365337659189535</v>
      </c>
      <c r="AG1566" s="2">
        <f ca="1"/>
        <v>2.2281931602416982E-3</v>
      </c>
      <c r="AH1566" s="2" t="str">
        <f ca="1"/>
        <v>Good</v>
      </c>
    </row>
    <row r="1567" spans="2:34">
      <c r="B1567" s="2">
        <f ca="1"/>
        <v>0.93453574750237967</v>
      </c>
      <c r="O1567" s="2">
        <f ca="1"/>
        <v>-2.0570913581827739</v>
      </c>
      <c r="X1567" s="2">
        <f ca="1"/>
        <v>59.827932102890074</v>
      </c>
      <c r="AG1567" s="2">
        <f ca="1"/>
        <v>0.99687653493461048</v>
      </c>
      <c r="AH1567" s="2" t="str">
        <f ca="1"/>
        <v>Bad</v>
      </c>
    </row>
    <row r="1568" spans="2:34">
      <c r="B1568" s="2">
        <f ca="1"/>
        <v>0.57991195824477271</v>
      </c>
      <c r="O1568" s="2">
        <f ca="1"/>
        <v>-0.38977499184162689</v>
      </c>
      <c r="X1568" s="2">
        <f ca="1"/>
        <v>46.677748658354474</v>
      </c>
      <c r="AG1568" s="2">
        <f ca="1"/>
        <v>0.58854995981382086</v>
      </c>
      <c r="AH1568" s="2" t="str">
        <f ca="1"/>
        <v>Bad</v>
      </c>
    </row>
    <row r="1569" spans="2:34">
      <c r="B1569" s="2">
        <f ca="1"/>
        <v>0.16094747038079404</v>
      </c>
      <c r="O1569" s="2">
        <f ca="1"/>
        <v>1.8825854289615254</v>
      </c>
      <c r="X1569" s="2">
        <f ca="1"/>
        <v>64.996197789984464</v>
      </c>
      <c r="AG1569" s="2">
        <f ca="1"/>
        <v>0.44052891896827417</v>
      </c>
      <c r="AH1569" s="2" t="str">
        <f ca="1"/>
        <v>Bad</v>
      </c>
    </row>
    <row r="1570" spans="2:34">
      <c r="B1570" s="2">
        <f ca="1"/>
        <v>0.6917618017838143</v>
      </c>
      <c r="O1570" s="2">
        <f ca="1"/>
        <v>-0.47223019800304622</v>
      </c>
      <c r="X1570" s="2">
        <f ca="1"/>
        <v>23.732844289876116</v>
      </c>
      <c r="AG1570" s="2">
        <f ca="1"/>
        <v>0.69889753814631805</v>
      </c>
      <c r="AH1570" s="2" t="str">
        <f ca="1"/>
        <v>Bad</v>
      </c>
    </row>
    <row r="1571" spans="2:34">
      <c r="B1571" s="2">
        <f ca="1"/>
        <v>0.96035152785055922</v>
      </c>
      <c r="O1571" s="2">
        <f ca="1"/>
        <v>-0.61574671155401073</v>
      </c>
      <c r="X1571" s="2">
        <f ca="1"/>
        <v>48.180955783101155</v>
      </c>
      <c r="AG1571" s="2">
        <f ca="1"/>
        <v>0.136055907610654</v>
      </c>
      <c r="AH1571" s="2" t="str">
        <f ca="1"/>
        <v>OK</v>
      </c>
    </row>
    <row r="1572" spans="2:34">
      <c r="B1572" s="2">
        <f ca="1"/>
        <v>0.27904879900839896</v>
      </c>
      <c r="O1572" s="2">
        <f ca="1"/>
        <v>-0.24846594598425531</v>
      </c>
      <c r="X1572" s="2">
        <f ca="1"/>
        <v>58.248666062470733</v>
      </c>
      <c r="AG1572" s="2">
        <f ca="1"/>
        <v>0.2995206302342579</v>
      </c>
      <c r="AH1572" s="2" t="str">
        <f ca="1"/>
        <v>OK</v>
      </c>
    </row>
    <row r="1573" spans="2:34">
      <c r="B1573" s="2">
        <f ca="1"/>
        <v>0.74010456172095562</v>
      </c>
      <c r="O1573" s="2">
        <f ca="1"/>
        <v>0.82262194855191029</v>
      </c>
      <c r="X1573" s="2">
        <f ca="1"/>
        <v>83.210581319808881</v>
      </c>
      <c r="AG1573" s="2">
        <f ca="1"/>
        <v>0.38689819201092646</v>
      </c>
      <c r="AH1573" s="2" t="str">
        <f ca="1"/>
        <v>OK</v>
      </c>
    </row>
    <row r="1574" spans="2:34">
      <c r="B1574" s="2">
        <f ca="1"/>
        <v>0.9392784709106623</v>
      </c>
      <c r="O1574" s="2">
        <f ca="1"/>
        <v>-1.3089874026976083</v>
      </c>
      <c r="X1574" s="2">
        <f ca="1"/>
        <v>55.401036772265336</v>
      </c>
      <c r="AG1574" s="2">
        <f ca="1"/>
        <v>0.61783108225273398</v>
      </c>
      <c r="AH1574" s="2" t="str">
        <f ca="1"/>
        <v>Bad</v>
      </c>
    </row>
    <row r="1575" spans="2:34">
      <c r="B1575" s="2">
        <f ca="1"/>
        <v>0.81161445866424908</v>
      </c>
      <c r="O1575" s="2">
        <f ca="1"/>
        <v>-3.864019771796426E-3</v>
      </c>
      <c r="X1575" s="2">
        <f ca="1"/>
        <v>30.531267616741545</v>
      </c>
      <c r="AG1575" s="2">
        <f ca="1"/>
        <v>0.98170253549638553</v>
      </c>
      <c r="AH1575" s="2" t="str">
        <f ca="1"/>
        <v>Bad</v>
      </c>
    </row>
    <row r="1576" spans="2:34">
      <c r="B1576" s="2">
        <f ca="1"/>
        <v>0.30928878685959527</v>
      </c>
      <c r="O1576" s="2">
        <f ca="1"/>
        <v>0.21664713335209479</v>
      </c>
      <c r="X1576" s="2">
        <f ca="1"/>
        <v>36.297820552525636</v>
      </c>
      <c r="AG1576" s="2">
        <f ca="1"/>
        <v>0.98599627347507579</v>
      </c>
      <c r="AH1576" s="2" t="str">
        <f ca="1"/>
        <v>Bad</v>
      </c>
    </row>
    <row r="1577" spans="2:34">
      <c r="B1577" s="2">
        <f ca="1"/>
        <v>0.62732419562916997</v>
      </c>
      <c r="O1577" s="2">
        <f ca="1"/>
        <v>7.9718164656437645E-3</v>
      </c>
      <c r="X1577" s="2">
        <f ca="1"/>
        <v>87.273804190812427</v>
      </c>
      <c r="AG1577" s="2">
        <f ca="1"/>
        <v>0.10394795674568869</v>
      </c>
      <c r="AH1577" s="2" t="str">
        <f ca="1"/>
        <v>OK</v>
      </c>
    </row>
    <row r="1578" spans="2:34">
      <c r="B1578" s="2">
        <f ca="1"/>
        <v>0.51918236445911581</v>
      </c>
      <c r="O1578" s="2">
        <f ca="1"/>
        <v>-0.78852751261987342</v>
      </c>
      <c r="X1578" s="2">
        <f ca="1"/>
        <v>60.989397509732804</v>
      </c>
      <c r="AG1578" s="2">
        <f ca="1"/>
        <v>0.92014750152171909</v>
      </c>
      <c r="AH1578" s="2" t="str">
        <f ca="1"/>
        <v>Bad</v>
      </c>
    </row>
    <row r="1579" spans="2:34">
      <c r="B1579" s="2">
        <f ca="1"/>
        <v>0.70158266223871224</v>
      </c>
      <c r="O1579" s="2">
        <f ca="1"/>
        <v>0.82100257330954607</v>
      </c>
      <c r="X1579" s="2">
        <f ca="1"/>
        <v>36.284319366862412</v>
      </c>
      <c r="AG1579" s="2">
        <f ca="1"/>
        <v>0.89787655062963334</v>
      </c>
      <c r="AH1579" s="2" t="str">
        <f ca="1"/>
        <v>Bad</v>
      </c>
    </row>
    <row r="1580" spans="2:34">
      <c r="B1580" s="2">
        <f ca="1"/>
        <v>0.30864033404754099</v>
      </c>
      <c r="O1580" s="2">
        <f ca="1"/>
        <v>-0.35670507206988639</v>
      </c>
      <c r="X1580" s="2">
        <f ca="1"/>
        <v>54.474235185311201</v>
      </c>
      <c r="AG1580" s="2">
        <f ca="1"/>
        <v>0.87659296096209882</v>
      </c>
      <c r="AH1580" s="2" t="str">
        <f ca="1"/>
        <v>Bad</v>
      </c>
    </row>
    <row r="1581" spans="2:34">
      <c r="B1581" s="2">
        <f ca="1"/>
        <v>0.71042572215534117</v>
      </c>
      <c r="O1581" s="2">
        <f ca="1"/>
        <v>-7.2364075330671657E-2</v>
      </c>
      <c r="X1581" s="2">
        <f ca="1"/>
        <v>46.859765798494387</v>
      </c>
      <c r="AG1581" s="2">
        <f ca="1"/>
        <v>0.24253064248189204</v>
      </c>
      <c r="AH1581" s="2" t="str">
        <f ca="1"/>
        <v>OK</v>
      </c>
    </row>
    <row r="1582" spans="2:34">
      <c r="B1582" s="2">
        <f ca="1"/>
        <v>0.96339654463309832</v>
      </c>
      <c r="O1582" s="2">
        <f ca="1"/>
        <v>1.2925372756302032</v>
      </c>
      <c r="X1582" s="2">
        <f ca="1"/>
        <v>43.171010859785852</v>
      </c>
      <c r="AG1582" s="2">
        <f ca="1"/>
        <v>3.3160289855006075E-2</v>
      </c>
      <c r="AH1582" s="2" t="str">
        <f ca="1"/>
        <v>Good</v>
      </c>
    </row>
    <row r="1583" spans="2:34">
      <c r="B1583" s="2">
        <f ca="1"/>
        <v>0.3999915319865881</v>
      </c>
      <c r="O1583" s="2">
        <f ca="1"/>
        <v>-0.62120721248510002</v>
      </c>
      <c r="X1583" s="2">
        <f ca="1"/>
        <v>56.419713731443004</v>
      </c>
      <c r="AG1583" s="2">
        <f ca="1"/>
        <v>0.30966086981666319</v>
      </c>
      <c r="AH1583" s="2" t="str">
        <f ca="1"/>
        <v>OK</v>
      </c>
    </row>
    <row r="1584" spans="2:34">
      <c r="B1584" s="2">
        <f ca="1"/>
        <v>0.17338647784577632</v>
      </c>
      <c r="O1584" s="2">
        <f ca="1"/>
        <v>-1.4638297314033279</v>
      </c>
      <c r="X1584" s="2">
        <f ca="1"/>
        <v>34.127496373394109</v>
      </c>
      <c r="AG1584" s="2">
        <f ca="1"/>
        <v>0.14762492290946105</v>
      </c>
      <c r="AH1584" s="2" t="str">
        <f ca="1"/>
        <v>OK</v>
      </c>
    </row>
    <row r="1585" spans="2:34">
      <c r="B1585" s="2">
        <f ca="1"/>
        <v>0.99006952100013201</v>
      </c>
      <c r="O1585" s="2">
        <f ca="1"/>
        <v>0.17996537969062334</v>
      </c>
      <c r="X1585" s="2">
        <f ca="1"/>
        <v>50.078649412606154</v>
      </c>
      <c r="AG1585" s="2">
        <f ca="1"/>
        <v>0.51605193594572629</v>
      </c>
      <c r="AH1585" s="2" t="str">
        <f ca="1"/>
        <v>Bad</v>
      </c>
    </row>
    <row r="1586" spans="2:34">
      <c r="B1586" s="2">
        <f ca="1"/>
        <v>0.88376030020440077</v>
      </c>
      <c r="O1586" s="2">
        <f ca="1"/>
        <v>1.2855370933123051</v>
      </c>
      <c r="X1586" s="2">
        <f ca="1"/>
        <v>35.542126012117812</v>
      </c>
      <c r="AG1586" s="2">
        <f ca="1"/>
        <v>0.33090751771506777</v>
      </c>
      <c r="AH1586" s="2" t="str">
        <f ca="1"/>
        <v>OK</v>
      </c>
    </row>
    <row r="1587" spans="2:34">
      <c r="B1587" s="2">
        <f ca="1"/>
        <v>0.38783176154608445</v>
      </c>
      <c r="O1587" s="2">
        <f ca="1"/>
        <v>-0.58845451827814921</v>
      </c>
      <c r="X1587" s="2">
        <f ca="1"/>
        <v>45.587014399879379</v>
      </c>
      <c r="AG1587" s="2">
        <f ca="1"/>
        <v>0.72512590894282702</v>
      </c>
      <c r="AH1587" s="2" t="str">
        <f ca="1"/>
        <v>Bad</v>
      </c>
    </row>
    <row r="1588" spans="2:34">
      <c r="B1588" s="2">
        <f ca="1"/>
        <v>0.50801883593979258</v>
      </c>
      <c r="O1588" s="2">
        <f ca="1"/>
        <v>0.78511982345067055</v>
      </c>
      <c r="X1588" s="2">
        <f ca="1"/>
        <v>49.89235767748351</v>
      </c>
      <c r="AG1588" s="2">
        <f ca="1"/>
        <v>0.10467248053749012</v>
      </c>
      <c r="AH1588" s="2" t="str">
        <f ca="1"/>
        <v>OK</v>
      </c>
    </row>
    <row r="1589" spans="2:34">
      <c r="B1589" s="2">
        <f ca="1"/>
        <v>0.71013886861427178</v>
      </c>
      <c r="O1589" s="2">
        <f ca="1"/>
        <v>-2.165793724122179</v>
      </c>
      <c r="X1589" s="2">
        <f ca="1"/>
        <v>64.705551399350952</v>
      </c>
      <c r="AG1589" s="2">
        <f ca="1"/>
        <v>0.59255514884029314</v>
      </c>
      <c r="AH1589" s="2" t="str">
        <f ca="1"/>
        <v>Bad</v>
      </c>
    </row>
    <row r="1590" spans="2:34">
      <c r="B1590" s="2">
        <f ca="1"/>
        <v>0.55640553114588975</v>
      </c>
      <c r="O1590" s="2">
        <f ca="1"/>
        <v>-0.25097488258840472</v>
      </c>
      <c r="X1590" s="2">
        <f ca="1"/>
        <v>58.43934464668871</v>
      </c>
      <c r="AG1590" s="2">
        <f ca="1"/>
        <v>0.83768728531817738</v>
      </c>
      <c r="AH1590" s="2" t="str">
        <f ca="1"/>
        <v>Bad</v>
      </c>
    </row>
    <row r="1591" spans="2:34">
      <c r="B1591" s="2">
        <f ca="1"/>
        <v>0.72109336878220964</v>
      </c>
      <c r="O1591" s="2">
        <f ca="1"/>
        <v>1.4699784118422921</v>
      </c>
      <c r="X1591" s="2">
        <f ca="1"/>
        <v>37.827994861853817</v>
      </c>
      <c r="AG1591" s="2">
        <f ca="1"/>
        <v>0.22615230757321969</v>
      </c>
      <c r="AH1591" s="2" t="str">
        <f ca="1"/>
        <v>OK</v>
      </c>
    </row>
    <row r="1592" spans="2:34">
      <c r="B1592" s="2">
        <f ca="1"/>
        <v>0.49601276938264682</v>
      </c>
      <c r="O1592" s="2">
        <f ca="1"/>
        <v>0.74985465742388568</v>
      </c>
      <c r="X1592" s="2">
        <f ca="1"/>
        <v>44.722185312301129</v>
      </c>
      <c r="AG1592" s="2">
        <f ca="1"/>
        <v>0.56187736145138634</v>
      </c>
      <c r="AH1592" s="2" t="str">
        <f ca="1"/>
        <v>Bad</v>
      </c>
    </row>
    <row r="1593" spans="2:34">
      <c r="B1593" s="2">
        <f ca="1"/>
        <v>7.8469073005130063E-2</v>
      </c>
      <c r="O1593" s="2">
        <f ca="1"/>
        <v>5.8422047662163891E-2</v>
      </c>
      <c r="X1593" s="2">
        <f ca="1"/>
        <v>74.775045444883091</v>
      </c>
      <c r="AG1593" s="2">
        <f ca="1"/>
        <v>0.16958518893030727</v>
      </c>
      <c r="AH1593" s="2" t="str">
        <f ca="1"/>
        <v>OK</v>
      </c>
    </row>
    <row r="1594" spans="2:34">
      <c r="B1594" s="2">
        <f ca="1"/>
        <v>0.97096804255704772</v>
      </c>
      <c r="O1594" s="2">
        <f ca="1"/>
        <v>-0.20659002006904165</v>
      </c>
      <c r="X1594" s="2">
        <f ca="1"/>
        <v>42.956933777924419</v>
      </c>
      <c r="AG1594" s="2">
        <f ca="1"/>
        <v>0.21510131686088796</v>
      </c>
      <c r="AH1594" s="2" t="str">
        <f ca="1"/>
        <v>OK</v>
      </c>
    </row>
    <row r="1595" spans="2:34">
      <c r="B1595" s="2">
        <f ca="1"/>
        <v>0.15682514698589278</v>
      </c>
      <c r="O1595" s="2">
        <f ca="1"/>
        <v>-1.9279656893734762</v>
      </c>
      <c r="X1595" s="2">
        <f ca="1"/>
        <v>46.510946178846552</v>
      </c>
      <c r="AG1595" s="2">
        <f ca="1"/>
        <v>0.53081906594335848</v>
      </c>
      <c r="AH1595" s="2" t="str">
        <f ca="1"/>
        <v>Bad</v>
      </c>
    </row>
    <row r="1596" spans="2:34">
      <c r="B1596" s="2">
        <f ca="1"/>
        <v>0.84578999323870252</v>
      </c>
      <c r="O1596" s="2">
        <f ca="1"/>
        <v>0.33725804055273489</v>
      </c>
      <c r="X1596" s="2">
        <f ca="1"/>
        <v>51.20265387046765</v>
      </c>
      <c r="AG1596" s="2">
        <f ca="1"/>
        <v>0.68614317515613799</v>
      </c>
      <c r="AH1596" s="2" t="str">
        <f ca="1"/>
        <v>Bad</v>
      </c>
    </row>
    <row r="1597" spans="2:34">
      <c r="B1597" s="2">
        <f ca="1"/>
        <v>0.92917680700436422</v>
      </c>
      <c r="O1597" s="2">
        <f ca="1"/>
        <v>-0.35610678738122742</v>
      </c>
      <c r="X1597" s="2">
        <f ca="1"/>
        <v>41.127789727223373</v>
      </c>
      <c r="AG1597" s="2">
        <f ca="1"/>
        <v>0.16567247654538608</v>
      </c>
      <c r="AH1597" s="2" t="str">
        <f ca="1"/>
        <v>OK</v>
      </c>
    </row>
    <row r="1598" spans="2:34">
      <c r="B1598" s="2">
        <f ca="1"/>
        <v>0.94931296336696414</v>
      </c>
      <c r="O1598" s="2">
        <f ca="1"/>
        <v>-1.687196887620493</v>
      </c>
      <c r="X1598" s="2">
        <f ca="1"/>
        <v>61.224317631739645</v>
      </c>
      <c r="AG1598" s="2">
        <f ca="1"/>
        <v>0.6845974306021112</v>
      </c>
      <c r="AH1598" s="2" t="str">
        <f ca="1"/>
        <v>Bad</v>
      </c>
    </row>
    <row r="1599" spans="2:34">
      <c r="B1599" s="2">
        <f ca="1"/>
        <v>0.11450148191038845</v>
      </c>
      <c r="O1599" s="2">
        <f ca="1"/>
        <v>8.4631887824902469E-2</v>
      </c>
      <c r="X1599" s="2">
        <f ca="1"/>
        <v>50.522287046929712</v>
      </c>
      <c r="AG1599" s="2">
        <f ca="1"/>
        <v>0.11533919830099149</v>
      </c>
      <c r="AH1599" s="2" t="str">
        <f ca="1"/>
        <v>OK</v>
      </c>
    </row>
    <row r="1600" spans="2:34">
      <c r="B1600" s="2">
        <f ca="1"/>
        <v>0.37512247572764768</v>
      </c>
      <c r="O1600" s="2">
        <f ca="1"/>
        <v>-2.2095842611814995</v>
      </c>
      <c r="X1600" s="2">
        <f ca="1"/>
        <v>64.757275951908071</v>
      </c>
      <c r="AG1600" s="2">
        <f ca="1"/>
        <v>0.43217573138065046</v>
      </c>
      <c r="AH1600" s="2" t="str">
        <f ca="1"/>
        <v>Bad</v>
      </c>
    </row>
    <row r="1601" spans="2:34">
      <c r="B1601" s="2">
        <f ca="1"/>
        <v>0.64450818930167775</v>
      </c>
      <c r="O1601" s="2">
        <f ca="1"/>
        <v>-1.5212725467033956</v>
      </c>
      <c r="X1601" s="2">
        <f ca="1"/>
        <v>28.854526640651272</v>
      </c>
      <c r="AG1601" s="2">
        <f ca="1"/>
        <v>0.85058001647862991</v>
      </c>
      <c r="AH1601" s="2" t="str">
        <f ca="1"/>
        <v>Bad</v>
      </c>
    </row>
    <row r="1602" spans="2:34">
      <c r="B1602" s="2">
        <f ca="1"/>
        <v>0.10959883236753232</v>
      </c>
      <c r="O1602" s="2">
        <f ca="1"/>
        <v>-0.27180124079318996</v>
      </c>
      <c r="X1602" s="2">
        <f ca="1"/>
        <v>38.405887057117233</v>
      </c>
      <c r="AG1602" s="2">
        <f ca="1"/>
        <v>0.73198455036792742</v>
      </c>
      <c r="AH1602" s="2" t="str">
        <f ca="1"/>
        <v>Bad</v>
      </c>
    </row>
    <row r="1603" spans="2:34">
      <c r="B1603" s="2">
        <f ca="1"/>
        <v>9.2849295873993931E-2</v>
      </c>
      <c r="O1603" s="2">
        <f ca="1"/>
        <v>0.80643588607173045</v>
      </c>
      <c r="X1603" s="2">
        <f ca="1"/>
        <v>56.893381916538416</v>
      </c>
      <c r="AG1603" s="2">
        <f ca="1"/>
        <v>0.37125640431784013</v>
      </c>
      <c r="AH1603" s="2" t="str">
        <f ca="1"/>
        <v>OK</v>
      </c>
    </row>
    <row r="1604" spans="2:34">
      <c r="B1604" s="2">
        <f ca="1"/>
        <v>0.66228492002573613</v>
      </c>
      <c r="O1604" s="2">
        <f ca="1"/>
        <v>-8.1995412823150954E-2</v>
      </c>
      <c r="X1604" s="2">
        <f ca="1"/>
        <v>32.956164733880648</v>
      </c>
      <c r="AG1604" s="2">
        <f ca="1"/>
        <v>0.62716555370787597</v>
      </c>
      <c r="AH1604" s="2" t="str">
        <f ca="1"/>
        <v>Bad</v>
      </c>
    </row>
    <row r="1605" spans="2:34">
      <c r="B1605" s="2">
        <f ca="1"/>
        <v>0.19668141843971609</v>
      </c>
      <c r="O1605" s="2">
        <f ca="1"/>
        <v>1.3344229201250561</v>
      </c>
      <c r="X1605" s="2">
        <f ca="1"/>
        <v>56.25858000834107</v>
      </c>
      <c r="AG1605" s="2">
        <f ca="1"/>
        <v>0.52776338305205717</v>
      </c>
      <c r="AH1605" s="2" t="str">
        <f ca="1"/>
        <v>Bad</v>
      </c>
    </row>
    <row r="1606" spans="2:34">
      <c r="B1606" s="2">
        <f ca="1"/>
        <v>0.5412800653045895</v>
      </c>
      <c r="O1606" s="2">
        <f ca="1"/>
        <v>0.1814661150508059</v>
      </c>
      <c r="X1606" s="2">
        <f ca="1"/>
        <v>54.828789325113327</v>
      </c>
      <c r="AG1606" s="2">
        <f ca="1"/>
        <v>0.44277617693112736</v>
      </c>
      <c r="AH1606" s="2" t="str">
        <f ca="1"/>
        <v>Bad</v>
      </c>
    </row>
    <row r="1607" spans="2:34">
      <c r="B1607" s="2">
        <f ca="1"/>
        <v>9.1598821904461003E-2</v>
      </c>
      <c r="O1607" s="2">
        <f ca="1"/>
        <v>-1.1160769803377091</v>
      </c>
      <c r="X1607" s="2">
        <f ca="1"/>
        <v>48.315367027771586</v>
      </c>
      <c r="AG1607" s="2">
        <f ca="1"/>
        <v>0.48094337373240581</v>
      </c>
      <c r="AH1607" s="2" t="str">
        <f ca="1"/>
        <v>Bad</v>
      </c>
    </row>
    <row r="1608" spans="2:34">
      <c r="B1608" s="2">
        <f ca="1"/>
        <v>0.90556098796844942</v>
      </c>
      <c r="O1608" s="2">
        <f ca="1"/>
        <v>-0.69616213943740168</v>
      </c>
      <c r="X1608" s="2">
        <f ca="1"/>
        <v>56.621020105820307</v>
      </c>
      <c r="AG1608" s="2">
        <f ca="1"/>
        <v>0.4703024116193415</v>
      </c>
      <c r="AH1608" s="2" t="str">
        <f ca="1"/>
        <v>Bad</v>
      </c>
    </row>
    <row r="1609" spans="2:34">
      <c r="B1609" s="2">
        <f ca="1"/>
        <v>0.14341349526060188</v>
      </c>
      <c r="O1609" s="2">
        <f ca="1"/>
        <v>-1.0211653760810624</v>
      </c>
      <c r="X1609" s="2">
        <f ca="1"/>
        <v>30.94562687865853</v>
      </c>
      <c r="AG1609" s="2">
        <f ca="1"/>
        <v>0.3389236554992483</v>
      </c>
      <c r="AH1609" s="2" t="str">
        <f ca="1"/>
        <v>OK</v>
      </c>
    </row>
    <row r="1610" spans="2:34">
      <c r="B1610" s="2">
        <f ca="1"/>
        <v>9.8337563958946772E-2</v>
      </c>
      <c r="O1610" s="2">
        <f ca="1"/>
        <v>0.63459723111827115</v>
      </c>
      <c r="X1610" s="2">
        <f ca="1"/>
        <v>60.805839494280988</v>
      </c>
      <c r="AG1610" s="2">
        <f ca="1"/>
        <v>0.87332145875427147</v>
      </c>
      <c r="AH1610" s="2" t="str">
        <f ca="1"/>
        <v>Bad</v>
      </c>
    </row>
    <row r="1611" spans="2:34">
      <c r="B1611" s="2">
        <f ca="1"/>
        <v>0.11121718073002018</v>
      </c>
      <c r="O1611" s="2">
        <f ca="1"/>
        <v>0.67978278901190814</v>
      </c>
      <c r="X1611" s="2">
        <f ca="1"/>
        <v>57.564454795903401</v>
      </c>
      <c r="AG1611" s="2">
        <f ca="1"/>
        <v>0.70783485747057329</v>
      </c>
      <c r="AH1611" s="2" t="str">
        <f ca="1"/>
        <v>Bad</v>
      </c>
    </row>
    <row r="1612" spans="2:34">
      <c r="B1612" s="2">
        <f ca="1"/>
        <v>0.28309859436826423</v>
      </c>
      <c r="O1612" s="2">
        <f ca="1"/>
        <v>0.79942742843773196</v>
      </c>
      <c r="X1612" s="2">
        <f ca="1"/>
        <v>85.014410429671273</v>
      </c>
      <c r="AG1612" s="2">
        <f ca="1"/>
        <v>3.2567733834032664E-2</v>
      </c>
      <c r="AH1612" s="2" t="str">
        <f ca="1"/>
        <v>Good</v>
      </c>
    </row>
    <row r="1613" spans="2:34">
      <c r="B1613" s="2">
        <f ca="1"/>
        <v>0.9535963863854453</v>
      </c>
      <c r="O1613" s="2">
        <f ca="1"/>
        <v>0.45082236155121536</v>
      </c>
      <c r="X1613" s="2">
        <f ca="1"/>
        <v>25.044687611908127</v>
      </c>
      <c r="AG1613" s="2">
        <f ca="1"/>
        <v>0.23247677327592475</v>
      </c>
      <c r="AH1613" s="2" t="str">
        <f ca="1"/>
        <v>OK</v>
      </c>
    </row>
    <row r="1614" spans="2:34">
      <c r="B1614" s="2">
        <f ca="1"/>
        <v>7.4225232684208331E-2</v>
      </c>
      <c r="O1614" s="2">
        <f ca="1"/>
        <v>-0.20806165094221982</v>
      </c>
      <c r="X1614" s="2">
        <f ca="1"/>
        <v>42.117424129257103</v>
      </c>
      <c r="AG1614" s="2">
        <f ca="1"/>
        <v>0.16935176492713255</v>
      </c>
      <c r="AH1614" s="2" t="str">
        <f ca="1"/>
        <v>OK</v>
      </c>
    </row>
    <row r="1615" spans="2:34">
      <c r="B1615" s="2">
        <f ca="1"/>
        <v>0.9980000589161222</v>
      </c>
      <c r="O1615" s="2">
        <f ca="1"/>
        <v>0.15427138952782621</v>
      </c>
      <c r="X1615" s="2">
        <f ca="1"/>
        <v>63.751783064610088</v>
      </c>
      <c r="AG1615" s="2">
        <f ca="1"/>
        <v>0.24420331664131556</v>
      </c>
      <c r="AH1615" s="2" t="str">
        <f ca="1"/>
        <v>OK</v>
      </c>
    </row>
    <row r="1616" spans="2:34">
      <c r="B1616" s="2">
        <f ca="1"/>
        <v>0.83047050510982223</v>
      </c>
      <c r="O1616" s="2">
        <f ca="1"/>
        <v>1.1018361292062051</v>
      </c>
      <c r="X1616" s="2">
        <f ca="1"/>
        <v>39.329702042170346</v>
      </c>
      <c r="AG1616" s="2">
        <f ca="1"/>
        <v>0.10055759821660915</v>
      </c>
      <c r="AH1616" s="2" t="str">
        <f ca="1"/>
        <v>OK</v>
      </c>
    </row>
    <row r="1617" spans="2:34">
      <c r="B1617" s="2">
        <f ca="1"/>
        <v>0.48225304156870408</v>
      </c>
      <c r="O1617" s="2">
        <f ca="1"/>
        <v>-0.34299802744003971</v>
      </c>
      <c r="X1617" s="2">
        <f ca="1"/>
        <v>44.298129069262622</v>
      </c>
      <c r="AG1617" s="2">
        <f ca="1"/>
        <v>2.0906021147640619E-2</v>
      </c>
      <c r="AH1617" s="2" t="str">
        <f ca="1"/>
        <v>Good</v>
      </c>
    </row>
    <row r="1618" spans="2:34">
      <c r="B1618" s="2">
        <f ca="1"/>
        <v>0.17915497301984162</v>
      </c>
      <c r="O1618" s="2">
        <f ca="1"/>
        <v>-2.8688982448559735E-3</v>
      </c>
      <c r="X1618" s="2">
        <f ca="1"/>
        <v>35.77241234107138</v>
      </c>
      <c r="AG1618" s="2">
        <f ca="1"/>
        <v>0.41958083313261407</v>
      </c>
      <c r="AH1618" s="2" t="str">
        <f ca="1"/>
        <v>Bad</v>
      </c>
    </row>
    <row r="1619" spans="2:34">
      <c r="B1619" s="2">
        <f ca="1"/>
        <v>0.60989827213946901</v>
      </c>
      <c r="O1619" s="2">
        <f ca="1"/>
        <v>0.32206555902445383</v>
      </c>
      <c r="X1619" s="2">
        <f ca="1"/>
        <v>21.443513224618588</v>
      </c>
      <c r="AG1619" s="2">
        <f ca="1"/>
        <v>0.55393848444804994</v>
      </c>
      <c r="AH1619" s="2" t="str">
        <f ca="1"/>
        <v>Bad</v>
      </c>
    </row>
    <row r="1620" spans="2:34">
      <c r="B1620" s="2">
        <f ca="1"/>
        <v>0.62232903654582494</v>
      </c>
      <c r="O1620" s="2">
        <f ca="1"/>
        <v>-0.58646697611951548</v>
      </c>
      <c r="X1620" s="2">
        <f ca="1"/>
        <v>28.336678246128134</v>
      </c>
      <c r="AG1620" s="2">
        <f ca="1"/>
        <v>0.10828365407904372</v>
      </c>
      <c r="AH1620" s="2" t="str">
        <f ca="1"/>
        <v>OK</v>
      </c>
    </row>
    <row r="1621" spans="2:34">
      <c r="B1621" s="2">
        <f ca="1"/>
        <v>0.38517040243957212</v>
      </c>
      <c r="O1621" s="2">
        <f ca="1"/>
        <v>8.6166537693776538E-2</v>
      </c>
      <c r="X1621" s="2">
        <f ca="1"/>
        <v>55.848035441232469</v>
      </c>
      <c r="AG1621" s="2">
        <f ca="1"/>
        <v>0.54067345788230048</v>
      </c>
      <c r="AH1621" s="2" t="str">
        <f ca="1"/>
        <v>Bad</v>
      </c>
    </row>
    <row r="1622" spans="2:34">
      <c r="B1622" s="2">
        <f ca="1"/>
        <v>0.4879472007197605</v>
      </c>
      <c r="O1622" s="2">
        <f ca="1"/>
        <v>-0.32788415765249024</v>
      </c>
      <c r="X1622" s="2">
        <f ca="1"/>
        <v>44.719038444984356</v>
      </c>
      <c r="AG1622" s="2">
        <f ca="1"/>
        <v>0.75097633014557963</v>
      </c>
      <c r="AH1622" s="2" t="str">
        <f ca="1"/>
        <v>Bad</v>
      </c>
    </row>
    <row r="1623" spans="2:34">
      <c r="B1623" s="2">
        <f ca="1"/>
        <v>0.40787870535182091</v>
      </c>
      <c r="O1623" s="2">
        <f ca="1"/>
        <v>-0.49848517420378552</v>
      </c>
      <c r="X1623" s="2">
        <f ca="1"/>
        <v>56.098316666072144</v>
      </c>
      <c r="AG1623" s="2">
        <f ca="1"/>
        <v>2.0579301404147321E-2</v>
      </c>
      <c r="AH1623" s="2" t="str">
        <f ca="1"/>
        <v>Good</v>
      </c>
    </row>
    <row r="1624" spans="2:34">
      <c r="B1624" s="2">
        <f ca="1"/>
        <v>4.7863606885978349E-2</v>
      </c>
      <c r="O1624" s="2">
        <f ca="1"/>
        <v>1.4298277721859454</v>
      </c>
      <c r="X1624" s="2">
        <f ca="1"/>
        <v>67.459219737864984</v>
      </c>
      <c r="AG1624" s="2">
        <f ca="1"/>
        <v>0.35984535933716644</v>
      </c>
      <c r="AH1624" s="2" t="str">
        <f ca="1"/>
        <v>OK</v>
      </c>
    </row>
    <row r="1625" spans="2:34">
      <c r="B1625" s="2">
        <f ca="1"/>
        <v>0.83659068078097754</v>
      </c>
      <c r="O1625" s="2">
        <f ca="1"/>
        <v>0.11518270445745642</v>
      </c>
      <c r="X1625" s="2">
        <f ca="1"/>
        <v>67.998362729351683</v>
      </c>
      <c r="AG1625" s="2">
        <f ca="1"/>
        <v>0.74646031811096947</v>
      </c>
      <c r="AH1625" s="2" t="str">
        <f ca="1"/>
        <v>Bad</v>
      </c>
    </row>
    <row r="1626" spans="2:34">
      <c r="B1626" s="2">
        <f ca="1"/>
        <v>0.11959652086053119</v>
      </c>
      <c r="O1626" s="2">
        <f ca="1"/>
        <v>0.19296114804019762</v>
      </c>
      <c r="X1626" s="2">
        <f ca="1"/>
        <v>40.140692991681128</v>
      </c>
      <c r="AG1626" s="2">
        <f ca="1"/>
        <v>0.78930805488014544</v>
      </c>
      <c r="AH1626" s="2" t="str">
        <f ca="1"/>
        <v>Bad</v>
      </c>
    </row>
    <row r="1627" spans="2:34">
      <c r="B1627" s="2">
        <f ca="1"/>
        <v>0.5631413053342893</v>
      </c>
      <c r="O1627" s="2">
        <f ca="1"/>
        <v>1.5510960178502826</v>
      </c>
      <c r="X1627" s="2">
        <f ca="1"/>
        <v>36.402517101269886</v>
      </c>
      <c r="AG1627" s="2">
        <f ca="1"/>
        <v>0.11869638585064468</v>
      </c>
      <c r="AH1627" s="2" t="str">
        <f ca="1"/>
        <v>OK</v>
      </c>
    </row>
    <row r="1628" spans="2:34">
      <c r="B1628" s="2">
        <f ca="1"/>
        <v>0.52572548499153338</v>
      </c>
      <c r="O1628" s="2">
        <f ca="1"/>
        <v>-0.18616519786038527</v>
      </c>
      <c r="X1628" s="2">
        <f ca="1"/>
        <v>67.804128110709016</v>
      </c>
      <c r="AG1628" s="2">
        <f ca="1"/>
        <v>0.51204998448772687</v>
      </c>
      <c r="AH1628" s="2" t="str">
        <f ca="1"/>
        <v>Bad</v>
      </c>
    </row>
    <row r="1629" spans="2:34">
      <c r="B1629" s="2">
        <f ca="1"/>
        <v>6.8237615382186645E-2</v>
      </c>
      <c r="O1629" s="2">
        <f ca="1"/>
        <v>-0.79063064217301293</v>
      </c>
      <c r="X1629" s="2">
        <f ca="1"/>
        <v>37.128189671714921</v>
      </c>
      <c r="AG1629" s="2">
        <f ca="1"/>
        <v>0.79073797133971579</v>
      </c>
      <c r="AH1629" s="2" t="str">
        <f ca="1"/>
        <v>Bad</v>
      </c>
    </row>
    <row r="1630" spans="2:34">
      <c r="B1630" s="2">
        <f ca="1"/>
        <v>0.47014807900966615</v>
      </c>
      <c r="O1630" s="2">
        <f ca="1"/>
        <v>-1.5024177649712103</v>
      </c>
      <c r="X1630" s="2">
        <f ca="1"/>
        <v>70.613265056337113</v>
      </c>
      <c r="AG1630" s="2">
        <f ca="1"/>
        <v>0.90021417908120815</v>
      </c>
      <c r="AH1630" s="2" t="str">
        <f ca="1"/>
        <v>Bad</v>
      </c>
    </row>
    <row r="1631" spans="2:34">
      <c r="B1631" s="2">
        <f ca="1"/>
        <v>0.63680267623521103</v>
      </c>
      <c r="O1631" s="2">
        <f ca="1"/>
        <v>1.519598102266658</v>
      </c>
      <c r="X1631" s="2">
        <f ca="1"/>
        <v>30.995147940131119</v>
      </c>
      <c r="AG1631" s="2">
        <f ca="1"/>
        <v>0.29489730942362824</v>
      </c>
      <c r="AH1631" s="2" t="str">
        <f ca="1"/>
        <v>OK</v>
      </c>
    </row>
    <row r="1632" spans="2:34">
      <c r="B1632" s="2">
        <f ca="1"/>
        <v>0.65086524371172727</v>
      </c>
      <c r="O1632" s="2">
        <f ca="1"/>
        <v>-0.32231271752390678</v>
      </c>
      <c r="X1632" s="2">
        <f ca="1"/>
        <v>71.617995948143971</v>
      </c>
      <c r="AG1632" s="2">
        <f ca="1"/>
        <v>0.41124312804229635</v>
      </c>
      <c r="AH1632" s="2" t="str">
        <f ca="1"/>
        <v>Bad</v>
      </c>
    </row>
    <row r="1633" spans="2:34">
      <c r="B1633" s="2">
        <f ca="1"/>
        <v>0.7037283531088625</v>
      </c>
      <c r="O1633" s="2">
        <f ca="1"/>
        <v>0.36707341225195927</v>
      </c>
      <c r="X1633" s="2">
        <f ca="1"/>
        <v>77.544433549706383</v>
      </c>
      <c r="AG1633" s="2">
        <f ca="1"/>
        <v>0.90056005611944401</v>
      </c>
      <c r="AH1633" s="2" t="str">
        <f ca="1"/>
        <v>Bad</v>
      </c>
    </row>
    <row r="1634" spans="2:34">
      <c r="B1634" s="2">
        <f ca="1"/>
        <v>0.82904120670573866</v>
      </c>
      <c r="O1634" s="2">
        <f ca="1"/>
        <v>1.2382589332462495</v>
      </c>
      <c r="X1634" s="2">
        <f ca="1"/>
        <v>43.48029802961009</v>
      </c>
      <c r="AG1634" s="2">
        <f ca="1"/>
        <v>0.23903466816984276</v>
      </c>
      <c r="AH1634" s="2" t="str">
        <f ca="1"/>
        <v>OK</v>
      </c>
    </row>
    <row r="1635" spans="2:34">
      <c r="B1635" s="2">
        <f ca="1"/>
        <v>0.96446963667096464</v>
      </c>
      <c r="O1635" s="2">
        <f ca="1"/>
        <v>-0.70777268192752585</v>
      </c>
      <c r="X1635" s="2">
        <f ca="1"/>
        <v>40.811121032386339</v>
      </c>
      <c r="AG1635" s="2">
        <f ca="1"/>
        <v>0.34291348106506581</v>
      </c>
      <c r="AH1635" s="2" t="str">
        <f ca="1"/>
        <v>OK</v>
      </c>
    </row>
    <row r="1636" spans="2:34">
      <c r="B1636" s="2">
        <f ca="1"/>
        <v>0.21930992451298392</v>
      </c>
      <c r="O1636" s="2">
        <f ca="1"/>
        <v>-0.5465245041840644</v>
      </c>
      <c r="X1636" s="2">
        <f ca="1"/>
        <v>74.932239902149632</v>
      </c>
      <c r="AG1636" s="2">
        <f ca="1"/>
        <v>0.21724627624026138</v>
      </c>
      <c r="AH1636" s="2" t="str">
        <f ca="1"/>
        <v>OK</v>
      </c>
    </row>
    <row r="1637" spans="2:34">
      <c r="B1637" s="2">
        <f ca="1"/>
        <v>0.54012998677425683</v>
      </c>
      <c r="O1637" s="2">
        <f ca="1"/>
        <v>-0.97775782803245281</v>
      </c>
      <c r="X1637" s="2">
        <f ca="1"/>
        <v>31.575134103394692</v>
      </c>
      <c r="AG1637" s="2">
        <f ca="1"/>
        <v>0.97345785173308941</v>
      </c>
      <c r="AH1637" s="2" t="str">
        <f ca="1"/>
        <v>Bad</v>
      </c>
    </row>
    <row r="1638" spans="2:34">
      <c r="B1638" s="2">
        <f ca="1"/>
        <v>0.70702642620744394</v>
      </c>
      <c r="O1638" s="2">
        <f ca="1"/>
        <v>0.15825265080735076</v>
      </c>
      <c r="X1638" s="2">
        <f ca="1"/>
        <v>87.372218877570788</v>
      </c>
      <c r="AG1638" s="2">
        <f ca="1"/>
        <v>8.9467101843753838E-2</v>
      </c>
      <c r="AH1638" s="2" t="str">
        <f ca="1"/>
        <v>OK</v>
      </c>
    </row>
    <row r="1639" spans="2:34">
      <c r="B1639" s="2">
        <f ca="1"/>
        <v>0.5792223538637602</v>
      </c>
      <c r="O1639" s="2">
        <f ca="1"/>
        <v>4.0464774861670154E-2</v>
      </c>
      <c r="X1639" s="2">
        <f ca="1"/>
        <v>44.297284726159191</v>
      </c>
      <c r="AG1639" s="2">
        <f ca="1"/>
        <v>0.39362566278717526</v>
      </c>
      <c r="AH1639" s="2" t="str">
        <f ca="1"/>
        <v>OK</v>
      </c>
    </row>
    <row r="1640" spans="2:34">
      <c r="B1640" s="2">
        <f ca="1"/>
        <v>0.30017528659046233</v>
      </c>
      <c r="O1640" s="2">
        <f ca="1"/>
        <v>-0.29242351161889452</v>
      </c>
      <c r="X1640" s="2">
        <f ca="1"/>
        <v>33.192131502250717</v>
      </c>
      <c r="AG1640" s="2">
        <f ca="1"/>
        <v>0.54535033848295433</v>
      </c>
      <c r="AH1640" s="2" t="str">
        <f ca="1"/>
        <v>Bad</v>
      </c>
    </row>
    <row r="1641" spans="2:34">
      <c r="B1641" s="2">
        <f ca="1"/>
        <v>0.34863586214702025</v>
      </c>
      <c r="O1641" s="2">
        <f ca="1"/>
        <v>0.17417061162563965</v>
      </c>
      <c r="X1641" s="2">
        <f ca="1"/>
        <v>58.301912635940816</v>
      </c>
      <c r="AG1641" s="2">
        <f ca="1"/>
        <v>0.17468948253272099</v>
      </c>
      <c r="AH1641" s="2" t="str">
        <f ca="1"/>
        <v>OK</v>
      </c>
    </row>
    <row r="1642" spans="2:34">
      <c r="B1642" s="2">
        <f ca="1"/>
        <v>0.62809262516456199</v>
      </c>
      <c r="O1642" s="2">
        <f ca="1"/>
        <v>-1.5687562975906202</v>
      </c>
      <c r="X1642" s="2">
        <f ca="1"/>
        <v>57.81021385056971</v>
      </c>
      <c r="AG1642" s="2">
        <f ca="1"/>
        <v>0.13170319636180317</v>
      </c>
      <c r="AH1642" s="2" t="str">
        <f ca="1"/>
        <v>OK</v>
      </c>
    </row>
    <row r="1643" spans="2:34">
      <c r="B1643" s="2">
        <f ca="1"/>
        <v>7.9390315087765506E-2</v>
      </c>
      <c r="O1643" s="2">
        <f ca="1"/>
        <v>-2.0821293011981723</v>
      </c>
      <c r="X1643" s="2">
        <f ca="1"/>
        <v>60.777964056912275</v>
      </c>
      <c r="AG1643" s="2">
        <f ca="1"/>
        <v>0.93531519345137148</v>
      </c>
      <c r="AH1643" s="2" t="str">
        <f ca="1"/>
        <v>Bad</v>
      </c>
    </row>
    <row r="1644" spans="2:34">
      <c r="B1644" s="2">
        <f ca="1"/>
        <v>0.82113805808844775</v>
      </c>
      <c r="O1644" s="2">
        <f ca="1"/>
        <v>-0.28236406948847059</v>
      </c>
      <c r="X1644" s="2">
        <f ca="1"/>
        <v>43.76368252689015</v>
      </c>
      <c r="AG1644" s="2">
        <f ca="1"/>
        <v>0.5315469238210313</v>
      </c>
      <c r="AH1644" s="2" t="str">
        <f ca="1"/>
        <v>Bad</v>
      </c>
    </row>
    <row r="1645" spans="2:34">
      <c r="B1645" s="2">
        <f ca="1"/>
        <v>0.44619842864442161</v>
      </c>
      <c r="O1645" s="2">
        <f ca="1"/>
        <v>4.999658458995028E-2</v>
      </c>
      <c r="X1645" s="2">
        <f ca="1"/>
        <v>66.820431353130118</v>
      </c>
      <c r="AG1645" s="2">
        <f ca="1"/>
        <v>0.15569740100736973</v>
      </c>
      <c r="AH1645" s="2" t="str">
        <f ca="1"/>
        <v>OK</v>
      </c>
    </row>
    <row r="1646" spans="2:34">
      <c r="B1646" s="2">
        <f ca="1"/>
        <v>0.62858145078188121</v>
      </c>
      <c r="O1646" s="2">
        <f ca="1"/>
        <v>-1.1703614046203465</v>
      </c>
      <c r="X1646" s="2">
        <f ca="1"/>
        <v>54.205212239039128</v>
      </c>
      <c r="AG1646" s="2">
        <f ca="1"/>
        <v>0.65698768582078149</v>
      </c>
      <c r="AH1646" s="2" t="str">
        <f ca="1"/>
        <v>Bad</v>
      </c>
    </row>
    <row r="1647" spans="2:34">
      <c r="B1647" s="2">
        <f ca="1"/>
        <v>0.35293246027344138</v>
      </c>
      <c r="O1647" s="2">
        <f ca="1"/>
        <v>4.2847623619794252E-2</v>
      </c>
      <c r="X1647" s="2">
        <f ca="1"/>
        <v>52.274051211203599</v>
      </c>
      <c r="AG1647" s="2">
        <f ca="1"/>
        <v>0.15649019895618577</v>
      </c>
      <c r="AH1647" s="2" t="str">
        <f ca="1"/>
        <v>OK</v>
      </c>
    </row>
    <row r="1648" spans="2:34">
      <c r="B1648" s="2">
        <f ca="1"/>
        <v>0.79903409598637021</v>
      </c>
      <c r="O1648" s="2">
        <f ca="1"/>
        <v>1.4226611308288784</v>
      </c>
      <c r="X1648" s="2">
        <f ca="1"/>
        <v>36.008493399549621</v>
      </c>
      <c r="AG1648" s="2">
        <f ca="1"/>
        <v>0.78380852868245499</v>
      </c>
      <c r="AH1648" s="2" t="str">
        <f ca="1"/>
        <v>Bad</v>
      </c>
    </row>
    <row r="1649" spans="2:34">
      <c r="B1649" s="2">
        <f ca="1"/>
        <v>0.2341842411504822</v>
      </c>
      <c r="O1649" s="2">
        <f ca="1"/>
        <v>-1.3878851696747676</v>
      </c>
      <c r="X1649" s="2">
        <f ca="1"/>
        <v>42.209909329618249</v>
      </c>
      <c r="AG1649" s="2">
        <f ca="1"/>
        <v>0.26578719452218724</v>
      </c>
      <c r="AH1649" s="2" t="str">
        <f ca="1"/>
        <v>OK</v>
      </c>
    </row>
    <row r="1650" spans="2:34">
      <c r="B1650" s="2">
        <f ca="1"/>
        <v>0.50868197234083556</v>
      </c>
      <c r="O1650" s="2">
        <f ca="1"/>
        <v>-0.18224596931399603</v>
      </c>
      <c r="X1650" s="2">
        <f ca="1"/>
        <v>34.18617232540641</v>
      </c>
      <c r="AG1650" s="2">
        <f ca="1"/>
        <v>0.42781083217245364</v>
      </c>
      <c r="AH1650" s="2" t="str">
        <f ca="1"/>
        <v>Bad</v>
      </c>
    </row>
    <row r="1651" spans="2:34">
      <c r="B1651" s="2">
        <f ca="1"/>
        <v>0.15793563433783819</v>
      </c>
      <c r="O1651" s="2">
        <f ca="1"/>
        <v>-0.66507675094742758</v>
      </c>
      <c r="X1651" s="2">
        <f ca="1"/>
        <v>45.450488138336915</v>
      </c>
      <c r="AG1651" s="2">
        <f ca="1"/>
        <v>0.52278203324664974</v>
      </c>
      <c r="AH1651" s="2" t="str">
        <f ca="1"/>
        <v>Bad</v>
      </c>
    </row>
    <row r="1652" spans="2:34">
      <c r="B1652" s="2">
        <f ca="1"/>
        <v>0.29847091842811646</v>
      </c>
      <c r="O1652" s="2">
        <f ca="1"/>
        <v>-1.0487920171106442</v>
      </c>
      <c r="X1652" s="2">
        <f ca="1"/>
        <v>31.810015001457998</v>
      </c>
      <c r="AG1652" s="2">
        <f ca="1"/>
        <v>0.45188186087296267</v>
      </c>
      <c r="AH1652" s="2" t="str">
        <f ca="1"/>
        <v>Bad</v>
      </c>
    </row>
    <row r="1653" spans="2:34">
      <c r="B1653" s="2">
        <f ca="1"/>
        <v>0.29183009452209041</v>
      </c>
      <c r="O1653" s="2">
        <f ca="1"/>
        <v>-0.81678929339935691</v>
      </c>
      <c r="X1653" s="2">
        <f ca="1"/>
        <v>27.574924406674064</v>
      </c>
      <c r="AG1653" s="2">
        <f ca="1"/>
        <v>9.4113575332668953E-2</v>
      </c>
      <c r="AH1653" s="2" t="str">
        <f ca="1"/>
        <v>OK</v>
      </c>
    </row>
    <row r="1654" spans="2:34">
      <c r="B1654" s="2">
        <f ca="1"/>
        <v>0.10458617988263796</v>
      </c>
      <c r="O1654" s="2">
        <f ca="1"/>
        <v>-0.31834293059247243</v>
      </c>
      <c r="X1654" s="2">
        <f ca="1"/>
        <v>88.661754277779863</v>
      </c>
      <c r="AG1654" s="2">
        <f ca="1"/>
        <v>0.48434021074432709</v>
      </c>
      <c r="AH1654" s="2" t="str">
        <f ca="1"/>
        <v>Bad</v>
      </c>
    </row>
    <row r="1655" spans="2:34">
      <c r="B1655" s="2">
        <f ca="1"/>
        <v>0.20602866222928484</v>
      </c>
      <c r="O1655" s="2">
        <f ca="1"/>
        <v>-0.86462043302644498</v>
      </c>
      <c r="X1655" s="2">
        <f ca="1"/>
        <v>39.123319412199358</v>
      </c>
      <c r="AG1655" s="2">
        <f ca="1"/>
        <v>0.97610398121639941</v>
      </c>
      <c r="AH1655" s="2" t="str">
        <f ca="1"/>
        <v>Bad</v>
      </c>
    </row>
    <row r="1656" spans="2:34">
      <c r="B1656" s="2">
        <f ca="1"/>
        <v>0.55163643825937503</v>
      </c>
      <c r="O1656" s="2">
        <f ca="1"/>
        <v>1.2653820644141001</v>
      </c>
      <c r="X1656" s="2">
        <f ca="1"/>
        <v>59.76779683268353</v>
      </c>
      <c r="AG1656" s="2">
        <f ca="1"/>
        <v>0.64479282467758847</v>
      </c>
      <c r="AH1656" s="2" t="str">
        <f ca="1"/>
        <v>Bad</v>
      </c>
    </row>
    <row r="1657" spans="2:34">
      <c r="B1657" s="2">
        <f ca="1"/>
        <v>0.21124790615178379</v>
      </c>
      <c r="O1657" s="2">
        <f ca="1"/>
        <v>-0.22953466395513086</v>
      </c>
      <c r="X1657" s="2">
        <f ca="1"/>
        <v>37.174463122013137</v>
      </c>
      <c r="AG1657" s="2">
        <f ca="1"/>
        <v>0.26087012899744866</v>
      </c>
      <c r="AH1657" s="2" t="str">
        <f ca="1"/>
        <v>OK</v>
      </c>
    </row>
    <row r="1658" spans="2:34">
      <c r="B1658" s="2">
        <f ca="1"/>
        <v>0.4621470816571549</v>
      </c>
      <c r="O1658" s="2">
        <f ca="1"/>
        <v>-1.8716148070094429</v>
      </c>
      <c r="X1658" s="2">
        <f ca="1"/>
        <v>50.534384430380214</v>
      </c>
      <c r="AG1658" s="2">
        <f ca="1"/>
        <v>0.97586196592513064</v>
      </c>
      <c r="AH1658" s="2" t="str">
        <f ca="1"/>
        <v>Bad</v>
      </c>
    </row>
    <row r="1659" spans="2:34">
      <c r="B1659" s="2">
        <f ca="1"/>
        <v>0.3098293893676527</v>
      </c>
      <c r="O1659" s="2">
        <f ca="1"/>
        <v>-1.5050228771174363</v>
      </c>
      <c r="X1659" s="2">
        <f ca="1"/>
        <v>68.150341206984294</v>
      </c>
      <c r="AG1659" s="2">
        <f ca="1"/>
        <v>0.67411376465637574</v>
      </c>
      <c r="AH1659" s="2" t="str">
        <f ca="1"/>
        <v>Bad</v>
      </c>
    </row>
    <row r="1660" spans="2:34">
      <c r="B1660" s="2">
        <f ca="1"/>
        <v>0.14030310528276835</v>
      </c>
      <c r="O1660" s="2">
        <f ca="1"/>
        <v>-1.5489439399177622</v>
      </c>
      <c r="X1660" s="2">
        <f ca="1"/>
        <v>40.395629664225545</v>
      </c>
      <c r="AG1660" s="2">
        <f ca="1"/>
        <v>0.63127699594002573</v>
      </c>
      <c r="AH1660" s="2" t="str">
        <f ca="1"/>
        <v>Bad</v>
      </c>
    </row>
    <row r="1661" spans="2:34">
      <c r="B1661" s="2">
        <f ca="1"/>
        <v>0.38447672037458136</v>
      </c>
      <c r="O1661" s="2">
        <f ca="1"/>
        <v>0.50009217467456712</v>
      </c>
      <c r="X1661" s="2">
        <f ca="1"/>
        <v>43.061934254331774</v>
      </c>
      <c r="AG1661" s="2">
        <f ca="1"/>
        <v>0.59910241002390086</v>
      </c>
      <c r="AH1661" s="2" t="str">
        <f ca="1"/>
        <v>Bad</v>
      </c>
    </row>
    <row r="1662" spans="2:34">
      <c r="B1662" s="2">
        <f ca="1"/>
        <v>0.51659648063906616</v>
      </c>
      <c r="O1662" s="2">
        <f ca="1"/>
        <v>1.5544416574841948</v>
      </c>
      <c r="X1662" s="2">
        <f ca="1"/>
        <v>49.64923037675333</v>
      </c>
      <c r="AG1662" s="2">
        <f ca="1"/>
        <v>0.37467273422153369</v>
      </c>
      <c r="AH1662" s="2" t="str">
        <f ca="1"/>
        <v>OK</v>
      </c>
    </row>
    <row r="1663" spans="2:34">
      <c r="B1663" s="2">
        <f ca="1"/>
        <v>0.68478109979594692</v>
      </c>
      <c r="O1663" s="2">
        <f ca="1"/>
        <v>-0.53612552995081597</v>
      </c>
      <c r="X1663" s="2">
        <f ca="1"/>
        <v>100.71078129315323</v>
      </c>
      <c r="AG1663" s="2">
        <f ca="1"/>
        <v>0.19241024514392868</v>
      </c>
      <c r="AH1663" s="2" t="str">
        <f ca="1"/>
        <v>OK</v>
      </c>
    </row>
    <row r="1664" spans="2:34">
      <c r="B1664" s="2">
        <f ca="1"/>
        <v>0.89057438916552623</v>
      </c>
      <c r="O1664" s="2">
        <f ca="1"/>
        <v>-0.44166177462855127</v>
      </c>
      <c r="X1664" s="2">
        <f ca="1"/>
        <v>77.095395972057489</v>
      </c>
      <c r="AG1664" s="2">
        <f ca="1"/>
        <v>5.9656841709248454E-2</v>
      </c>
      <c r="AH1664" s="2" t="str">
        <f ca="1"/>
        <v>OK</v>
      </c>
    </row>
    <row r="1665" spans="2:34">
      <c r="B1665" s="2">
        <f ca="1"/>
        <v>0.72060612098344734</v>
      </c>
      <c r="O1665" s="2">
        <f ca="1"/>
        <v>1.5915988913683392</v>
      </c>
      <c r="X1665" s="2">
        <f ca="1"/>
        <v>69.13849767325317</v>
      </c>
      <c r="AG1665" s="2">
        <f ca="1"/>
        <v>0.91336056844333435</v>
      </c>
      <c r="AH1665" s="2" t="str">
        <f ca="1"/>
        <v>Bad</v>
      </c>
    </row>
    <row r="1666" spans="2:34">
      <c r="B1666" s="2">
        <f ca="1"/>
        <v>0.27122577401214909</v>
      </c>
      <c r="O1666" s="2">
        <f ca="1"/>
        <v>1.4365248199486396</v>
      </c>
      <c r="X1666" s="2">
        <f ca="1"/>
        <v>29.648199171859162</v>
      </c>
      <c r="AG1666" s="2">
        <f ca="1"/>
        <v>0.42535027673627934</v>
      </c>
      <c r="AH1666" s="2" t="str">
        <f ca="1"/>
        <v>Bad</v>
      </c>
    </row>
    <row r="1667" spans="2:34">
      <c r="B1667" s="2">
        <f ca="1"/>
        <v>0.66369251098817528</v>
      </c>
      <c r="O1667" s="2">
        <f ca="1"/>
        <v>2.2744653855819617</v>
      </c>
      <c r="X1667" s="2">
        <f ca="1"/>
        <v>53.979388987350063</v>
      </c>
      <c r="AG1667" s="2">
        <f ca="1"/>
        <v>0.41845326191019927</v>
      </c>
      <c r="AH1667" s="2" t="str">
        <f ca="1"/>
        <v>Bad</v>
      </c>
    </row>
    <row r="1668" spans="2:34">
      <c r="B1668" s="2">
        <f ca="1"/>
        <v>0.51667784743705281</v>
      </c>
      <c r="O1668" s="2">
        <f ca="1"/>
        <v>0.99546430418010712</v>
      </c>
      <c r="X1668" s="2">
        <f ca="1"/>
        <v>45.898132961713927</v>
      </c>
      <c r="AG1668" s="2">
        <f ca="1"/>
        <v>0.43611593437840246</v>
      </c>
      <c r="AH1668" s="2" t="str">
        <f ca="1"/>
        <v>Bad</v>
      </c>
    </row>
    <row r="1669" spans="2:34">
      <c r="B1669" s="2">
        <f ca="1"/>
        <v>0.1267876489164308</v>
      </c>
      <c r="O1669" s="2">
        <f ca="1"/>
        <v>-0.37776878854246099</v>
      </c>
      <c r="X1669" s="2">
        <f ca="1"/>
        <v>26.773199163867218</v>
      </c>
      <c r="AG1669" s="2">
        <f ca="1"/>
        <v>0.29250854704509743</v>
      </c>
      <c r="AH1669" s="2" t="str">
        <f ca="1"/>
        <v>OK</v>
      </c>
    </row>
    <row r="1670" spans="2:34">
      <c r="B1670" s="2">
        <f ca="1"/>
        <v>9.4721484902436703E-2</v>
      </c>
      <c r="O1670" s="2">
        <f ca="1"/>
        <v>0.30015384280927532</v>
      </c>
      <c r="X1670" s="2">
        <f ca="1"/>
        <v>45.767050089384547</v>
      </c>
      <c r="AG1670" s="2">
        <f ca="1"/>
        <v>0.28665062499009175</v>
      </c>
      <c r="AH1670" s="2" t="str">
        <f ca="1"/>
        <v>OK</v>
      </c>
    </row>
    <row r="1671" spans="2:34">
      <c r="B1671" s="2">
        <f ca="1"/>
        <v>0.66517058854537803</v>
      </c>
      <c r="O1671" s="2">
        <f ca="1"/>
        <v>-1.8580053227268407</v>
      </c>
      <c r="X1671" s="2">
        <f ca="1"/>
        <v>67.794675191616435</v>
      </c>
      <c r="AG1671" s="2">
        <f ca="1"/>
        <v>0.18294788334042056</v>
      </c>
      <c r="AH1671" s="2" t="str">
        <f ca="1"/>
        <v>OK</v>
      </c>
    </row>
    <row r="1672" spans="2:34">
      <c r="B1672" s="2">
        <f ca="1"/>
        <v>0.6848720651642406</v>
      </c>
      <c r="O1672" s="2">
        <f ca="1"/>
        <v>0.64308208321551974</v>
      </c>
      <c r="X1672" s="2">
        <f ca="1"/>
        <v>51.31285230729226</v>
      </c>
      <c r="AG1672" s="2">
        <f ca="1"/>
        <v>0.86031954392310905</v>
      </c>
      <c r="AH1672" s="2" t="str">
        <f ca="1"/>
        <v>Bad</v>
      </c>
    </row>
    <row r="1673" spans="2:34">
      <c r="B1673" s="2">
        <f ca="1"/>
        <v>0.65734839842168813</v>
      </c>
      <c r="O1673" s="2">
        <f ca="1"/>
        <v>0.99155173054894796</v>
      </c>
      <c r="X1673" s="2">
        <f ca="1"/>
        <v>33.786571446322242</v>
      </c>
      <c r="AG1673" s="2">
        <f ca="1"/>
        <v>0.58703746530278456</v>
      </c>
      <c r="AH1673" s="2" t="str">
        <f ca="1"/>
        <v>Bad</v>
      </c>
    </row>
    <row r="1674" spans="2:34">
      <c r="B1674" s="2">
        <f ca="1"/>
        <v>0.86830716005619135</v>
      </c>
      <c r="O1674" s="2">
        <f ca="1"/>
        <v>-0.38212735960262839</v>
      </c>
      <c r="X1674" s="2">
        <f ca="1"/>
        <v>51.60505553909416</v>
      </c>
      <c r="AG1674" s="2">
        <f ca="1"/>
        <v>0.10285852118094785</v>
      </c>
      <c r="AH1674" s="2" t="str">
        <f ca="1"/>
        <v>OK</v>
      </c>
    </row>
    <row r="1675" spans="2:34">
      <c r="B1675" s="2">
        <f ca="1"/>
        <v>0.9100705076705049</v>
      </c>
      <c r="O1675" s="2">
        <f ca="1"/>
        <v>0.42255702782529331</v>
      </c>
      <c r="X1675" s="2">
        <f ca="1"/>
        <v>56.094573909125785</v>
      </c>
      <c r="AG1675" s="2">
        <f ca="1"/>
        <v>0.19113160040053456</v>
      </c>
      <c r="AH1675" s="2" t="str">
        <f ca="1"/>
        <v>OK</v>
      </c>
    </row>
    <row r="1676" spans="2:34">
      <c r="B1676" s="2">
        <f ca="1"/>
        <v>0.46223160481744352</v>
      </c>
      <c r="O1676" s="2">
        <f ca="1"/>
        <v>0.36089116951457229</v>
      </c>
      <c r="X1676" s="2">
        <f ca="1"/>
        <v>75.45856240356288</v>
      </c>
      <c r="AG1676" s="2">
        <f ca="1"/>
        <v>0.66034603395170466</v>
      </c>
      <c r="AH1676" s="2" t="str">
        <f ca="1"/>
        <v>Bad</v>
      </c>
    </row>
    <row r="1677" spans="2:34">
      <c r="B1677" s="2">
        <f ca="1"/>
        <v>0.7604971304419621</v>
      </c>
      <c r="O1677" s="2">
        <f ca="1"/>
        <v>-1.4737070769211431</v>
      </c>
      <c r="X1677" s="2">
        <f ca="1"/>
        <v>36.191751443739598</v>
      </c>
      <c r="AG1677" s="2">
        <f ca="1"/>
        <v>0.64309077943979243</v>
      </c>
      <c r="AH1677" s="2" t="str">
        <f ca="1"/>
        <v>Bad</v>
      </c>
    </row>
    <row r="1678" spans="2:34">
      <c r="B1678" s="2">
        <f ca="1"/>
        <v>0.55780899707879161</v>
      </c>
      <c r="O1678" s="2">
        <f ca="1"/>
        <v>0.15322912712319131</v>
      </c>
      <c r="X1678" s="2">
        <f ca="1"/>
        <v>58.985834483564986</v>
      </c>
      <c r="AG1678" s="2">
        <f ca="1"/>
        <v>0.30729717806146395</v>
      </c>
      <c r="AH1678" s="2" t="str">
        <f ca="1"/>
        <v>OK</v>
      </c>
    </row>
    <row r="1679" spans="2:34">
      <c r="B1679" s="2">
        <f ca="1"/>
        <v>0.92915260358947749</v>
      </c>
      <c r="O1679" s="2">
        <f ca="1"/>
        <v>0.88432415739085923</v>
      </c>
      <c r="X1679" s="2">
        <f ca="1"/>
        <v>20.30718354590563</v>
      </c>
      <c r="AG1679" s="2">
        <f ca="1"/>
        <v>0.89676622416771234</v>
      </c>
      <c r="AH1679" s="2" t="str">
        <f ca="1"/>
        <v>Bad</v>
      </c>
    </row>
    <row r="1680" spans="2:34">
      <c r="B1680" s="2">
        <f ca="1"/>
        <v>0.23649661975665626</v>
      </c>
      <c r="O1680" s="2">
        <f ca="1"/>
        <v>1.6137270314773684</v>
      </c>
      <c r="X1680" s="2">
        <f ca="1"/>
        <v>37.518594095941623</v>
      </c>
      <c r="AG1680" s="2">
        <f ca="1"/>
        <v>0.74728360242795522</v>
      </c>
      <c r="AH1680" s="2" t="str">
        <f ca="1"/>
        <v>Bad</v>
      </c>
    </row>
    <row r="1681" spans="2:34">
      <c r="B1681" s="2">
        <f ca="1"/>
        <v>1.6931520025703861E-2</v>
      </c>
      <c r="O1681" s="2">
        <f ca="1"/>
        <v>1.4692211746276083</v>
      </c>
      <c r="X1681" s="2">
        <f ca="1"/>
        <v>50.755443957943356</v>
      </c>
      <c r="AG1681" s="2">
        <f ca="1"/>
        <v>0.8727863575624506</v>
      </c>
      <c r="AH1681" s="2" t="str">
        <f ca="1"/>
        <v>Bad</v>
      </c>
    </row>
    <row r="1682" spans="2:34">
      <c r="B1682" s="2">
        <f ca="1"/>
        <v>0.36692115703541228</v>
      </c>
      <c r="O1682" s="2">
        <f ca="1"/>
        <v>1.0907458501042373</v>
      </c>
      <c r="X1682" s="2">
        <f ca="1"/>
        <v>46.851093880128502</v>
      </c>
      <c r="AG1682" s="2">
        <f ca="1"/>
        <v>0.42489477080664906</v>
      </c>
      <c r="AH1682" s="2" t="str">
        <f ca="1"/>
        <v>Bad</v>
      </c>
    </row>
    <row r="1683" spans="2:34">
      <c r="B1683" s="2">
        <f ca="1"/>
        <v>0.106802729296539</v>
      </c>
      <c r="O1683" s="2">
        <f ca="1"/>
        <v>0.94013132391576104</v>
      </c>
      <c r="X1683" s="2">
        <f ca="1"/>
        <v>33.801296464643123</v>
      </c>
      <c r="AG1683" s="2">
        <f ca="1"/>
        <v>0.50313436755834307</v>
      </c>
      <c r="AH1683" s="2" t="str">
        <f ca="1"/>
        <v>Bad</v>
      </c>
    </row>
    <row r="1684" spans="2:34">
      <c r="B1684" s="2">
        <f ca="1"/>
        <v>0.78487587078356214</v>
      </c>
      <c r="O1684" s="2">
        <f ca="1"/>
        <v>-1.1323877271565754</v>
      </c>
      <c r="X1684" s="2">
        <f ca="1"/>
        <v>61.621819877446697</v>
      </c>
      <c r="AG1684" s="2">
        <f ca="1"/>
        <v>7.6150216654433001E-2</v>
      </c>
      <c r="AH1684" s="2" t="str">
        <f ca="1"/>
        <v>OK</v>
      </c>
    </row>
    <row r="1685" spans="2:34">
      <c r="B1685" s="2">
        <f ca="1"/>
        <v>2.0671988495259974E-3</v>
      </c>
      <c r="O1685" s="2">
        <f ca="1"/>
        <v>0.12527496607822602</v>
      </c>
      <c r="X1685" s="2">
        <f ca="1"/>
        <v>34.553941426307169</v>
      </c>
      <c r="AG1685" s="2">
        <f ca="1"/>
        <v>5.7656904934439313E-2</v>
      </c>
      <c r="AH1685" s="2" t="str">
        <f ca="1"/>
        <v>OK</v>
      </c>
    </row>
    <row r="1686" spans="2:34">
      <c r="B1686" s="2">
        <f ca="1"/>
        <v>0.58372822818497316</v>
      </c>
      <c r="O1686" s="2">
        <f ca="1"/>
        <v>-0.52357668516569134</v>
      </c>
      <c r="X1686" s="2">
        <f ca="1"/>
        <v>84.758976630498637</v>
      </c>
      <c r="AG1686" s="2">
        <f ca="1"/>
        <v>0.99655062590923915</v>
      </c>
      <c r="AH1686" s="2" t="str">
        <f ca="1"/>
        <v>Bad</v>
      </c>
    </row>
    <row r="1687" spans="2:34">
      <c r="B1687" s="2">
        <f ca="1"/>
        <v>0.13561547279213326</v>
      </c>
      <c r="O1687" s="2">
        <f ca="1"/>
        <v>-1.6677856902465042</v>
      </c>
      <c r="X1687" s="2">
        <f ca="1"/>
        <v>15.842333230993953</v>
      </c>
      <c r="AG1687" s="2">
        <f ca="1"/>
        <v>0.73728767086560465</v>
      </c>
      <c r="AH1687" s="2" t="str">
        <f ca="1"/>
        <v>Bad</v>
      </c>
    </row>
    <row r="1688" spans="2:34">
      <c r="B1688" s="2">
        <f ca="1"/>
        <v>0.7425356467971671</v>
      </c>
      <c r="O1688" s="2">
        <f ca="1"/>
        <v>0.38419554818689838</v>
      </c>
      <c r="X1688" s="2">
        <f ca="1"/>
        <v>50.771941536446718</v>
      </c>
      <c r="AG1688" s="2">
        <f ca="1"/>
        <v>0.82224576482895984</v>
      </c>
      <c r="AH1688" s="2" t="str">
        <f ca="1"/>
        <v>Bad</v>
      </c>
    </row>
    <row r="1689" spans="2:34">
      <c r="B1689" s="2">
        <f ca="1"/>
        <v>0.65958039378291722</v>
      </c>
      <c r="O1689" s="2">
        <f ca="1"/>
        <v>0.6229968312913321</v>
      </c>
      <c r="X1689" s="2">
        <f ca="1"/>
        <v>45.4769769448476</v>
      </c>
      <c r="AG1689" s="2">
        <f ca="1"/>
        <v>0.36149434077323295</v>
      </c>
      <c r="AH1689" s="2" t="str">
        <f ca="1"/>
        <v>OK</v>
      </c>
    </row>
    <row r="1690" spans="2:34">
      <c r="B1690" s="2">
        <f ca="1"/>
        <v>0.63491436861644268</v>
      </c>
      <c r="O1690" s="2">
        <f ca="1"/>
        <v>0.79109052354492171</v>
      </c>
      <c r="X1690" s="2">
        <f ca="1"/>
        <v>41.901025682950547</v>
      </c>
      <c r="AG1690" s="2">
        <f ca="1"/>
        <v>0.37764166550181422</v>
      </c>
      <c r="AH1690" s="2" t="str">
        <f ca="1"/>
        <v>OK</v>
      </c>
    </row>
    <row r="1691" spans="2:34">
      <c r="B1691" s="2">
        <f ca="1"/>
        <v>0.10530995287916411</v>
      </c>
      <c r="O1691" s="2">
        <f ca="1"/>
        <v>-1.2595230956657102</v>
      </c>
      <c r="X1691" s="2">
        <f ca="1"/>
        <v>35.011287328377115</v>
      </c>
      <c r="AG1691" s="2">
        <f ca="1"/>
        <v>0.51344109377720026</v>
      </c>
      <c r="AH1691" s="2" t="str">
        <f ca="1"/>
        <v>Bad</v>
      </c>
    </row>
    <row r="1692" spans="2:34">
      <c r="B1692" s="2">
        <f ca="1"/>
        <v>0.52256829553291939</v>
      </c>
      <c r="O1692" s="2">
        <f ca="1"/>
        <v>2.5749958139867051</v>
      </c>
      <c r="X1692" s="2">
        <f ca="1"/>
        <v>46.574807611800097</v>
      </c>
      <c r="AG1692" s="2">
        <f ca="1"/>
        <v>0.71735391454195252</v>
      </c>
      <c r="AH1692" s="2" t="str">
        <f ca="1"/>
        <v>Bad</v>
      </c>
    </row>
    <row r="1693" spans="2:34">
      <c r="B1693" s="2">
        <f ca="1"/>
        <v>0.65599342241152558</v>
      </c>
      <c r="O1693" s="2">
        <f ca="1"/>
        <v>1.8855729563835417</v>
      </c>
      <c r="X1693" s="2">
        <f ca="1"/>
        <v>50.230928960899973</v>
      </c>
      <c r="AG1693" s="2">
        <f ca="1"/>
        <v>4.1377106542012987E-2</v>
      </c>
      <c r="AH1693" s="2" t="str">
        <f ca="1"/>
        <v>Good</v>
      </c>
    </row>
    <row r="1694" spans="2:34">
      <c r="B1694" s="2">
        <f ca="1"/>
        <v>0.14218511922722565</v>
      </c>
      <c r="O1694" s="2">
        <f ca="1"/>
        <v>-0.13754794774638834</v>
      </c>
      <c r="X1694" s="2">
        <f ca="1"/>
        <v>29.013198538090524</v>
      </c>
      <c r="AG1694" s="2">
        <f ca="1"/>
        <v>0.20697036746599484</v>
      </c>
      <c r="AH1694" s="2" t="str">
        <f ca="1"/>
        <v>OK</v>
      </c>
    </row>
    <row r="1695" spans="2:34">
      <c r="B1695" s="2">
        <f ca="1"/>
        <v>0.24908702096404722</v>
      </c>
      <c r="O1695" s="2">
        <f ca="1"/>
        <v>0.11560214577530301</v>
      </c>
      <c r="X1695" s="2">
        <f ca="1"/>
        <v>54.416223508715433</v>
      </c>
      <c r="AG1695" s="2">
        <f ca="1"/>
        <v>0.1113660830595069</v>
      </c>
      <c r="AH1695" s="2" t="str">
        <f ca="1"/>
        <v>OK</v>
      </c>
    </row>
    <row r="1696" spans="2:34">
      <c r="B1696" s="2">
        <f ca="1"/>
        <v>0.8778056867566415</v>
      </c>
      <c r="O1696" s="2">
        <f ca="1"/>
        <v>-0.53636879333077592</v>
      </c>
      <c r="X1696" s="2">
        <f ca="1"/>
        <v>50.200687054088498</v>
      </c>
      <c r="AG1696" s="2">
        <f ca="1"/>
        <v>0.90236557528170414</v>
      </c>
      <c r="AH1696" s="2" t="str">
        <f ca="1"/>
        <v>Bad</v>
      </c>
    </row>
    <row r="1697" spans="2:34">
      <c r="B1697" s="2">
        <f ca="1"/>
        <v>0.90713496219405054</v>
      </c>
      <c r="O1697" s="2">
        <f ca="1"/>
        <v>-0.69455964253207103</v>
      </c>
      <c r="X1697" s="2">
        <f ca="1"/>
        <v>47.758653203329011</v>
      </c>
      <c r="AG1697" s="2">
        <f ca="1"/>
        <v>0.78386032291445118</v>
      </c>
      <c r="AH1697" s="2" t="str">
        <f ca="1"/>
        <v>Bad</v>
      </c>
    </row>
    <row r="1698" spans="2:34">
      <c r="B1698" s="2">
        <f ca="1"/>
        <v>0.87459432415216454</v>
      </c>
      <c r="O1698" s="2">
        <f ca="1"/>
        <v>-0.47600430169938973</v>
      </c>
      <c r="X1698" s="2">
        <f ca="1"/>
        <v>53.55659522306172</v>
      </c>
      <c r="AG1698" s="2">
        <f ca="1"/>
        <v>0.40507120951020736</v>
      </c>
      <c r="AH1698" s="2" t="str">
        <f ca="1"/>
        <v>Bad</v>
      </c>
    </row>
    <row r="1699" spans="2:34">
      <c r="B1699" s="2">
        <f ca="1"/>
        <v>0.1171642134286015</v>
      </c>
      <c r="O1699" s="2">
        <f ca="1"/>
        <v>-0.16219897768236877</v>
      </c>
      <c r="X1699" s="2">
        <f ca="1"/>
        <v>31.938958896510567</v>
      </c>
      <c r="AG1699" s="2">
        <f ca="1"/>
        <v>0.41527515211482258</v>
      </c>
      <c r="AH1699" s="2" t="str">
        <f ca="1"/>
        <v>Bad</v>
      </c>
    </row>
    <row r="1700" spans="2:34">
      <c r="B1700" s="2">
        <f ca="1"/>
        <v>0.54015759777139682</v>
      </c>
      <c r="O1700" s="2">
        <f ca="1"/>
        <v>1.521896247409646</v>
      </c>
      <c r="X1700" s="2">
        <f ca="1"/>
        <v>56.580637041248572</v>
      </c>
      <c r="AG1700" s="2">
        <f ca="1"/>
        <v>0.96902457064207614</v>
      </c>
      <c r="AH1700" s="2" t="str">
        <f ca="1"/>
        <v>Bad</v>
      </c>
    </row>
    <row r="1701" spans="2:34">
      <c r="B1701" s="2">
        <f ca="1"/>
        <v>0.45699948545256985</v>
      </c>
      <c r="O1701" s="2">
        <f ca="1"/>
        <v>-0.88167627207784871</v>
      </c>
      <c r="X1701" s="2">
        <f ca="1"/>
        <v>56.962629814821341</v>
      </c>
      <c r="AG1701" s="2">
        <f ca="1"/>
        <v>0.41058961066189603</v>
      </c>
      <c r="AH1701" s="2" t="str">
        <f ca="1"/>
        <v>Bad</v>
      </c>
    </row>
    <row r="1702" spans="2:34">
      <c r="B1702" s="2">
        <f ca="1"/>
        <v>0.99168339645797721</v>
      </c>
      <c r="O1702" s="2">
        <f ca="1"/>
        <v>-6.4230088202839999E-2</v>
      </c>
      <c r="X1702" s="2">
        <f ca="1"/>
        <v>48.190996218220505</v>
      </c>
      <c r="AG1702" s="2">
        <f ca="1"/>
        <v>0.91945386592815925</v>
      </c>
      <c r="AH1702" s="2" t="str">
        <f ca="1"/>
        <v>Bad</v>
      </c>
    </row>
    <row r="1703" spans="2:34">
      <c r="B1703" s="2">
        <f ca="1"/>
        <v>0.96478838126144661</v>
      </c>
      <c r="O1703" s="2">
        <f ca="1"/>
        <v>0.7275772720363467</v>
      </c>
      <c r="X1703" s="2">
        <f ca="1"/>
        <v>39.091804066819208</v>
      </c>
      <c r="AG1703" s="2">
        <f ca="1"/>
        <v>0.88325043743389053</v>
      </c>
      <c r="AH1703" s="2" t="str">
        <f ca="1"/>
        <v>Bad</v>
      </c>
    </row>
    <row r="1704" spans="2:34">
      <c r="B1704" s="2">
        <f ca="1"/>
        <v>0.33013188249383885</v>
      </c>
      <c r="O1704" s="2">
        <f ca="1"/>
        <v>-1.8761768589010384</v>
      </c>
      <c r="X1704" s="2">
        <f ca="1"/>
        <v>75.435799958694517</v>
      </c>
      <c r="AG1704" s="2">
        <f ca="1"/>
        <v>0.27781569795496042</v>
      </c>
      <c r="AH1704" s="2" t="str">
        <f ca="1"/>
        <v>OK</v>
      </c>
    </row>
    <row r="1705" spans="2:34">
      <c r="B1705" s="2">
        <f ca="1"/>
        <v>0.92469979528061796</v>
      </c>
      <c r="O1705" s="2">
        <f ca="1"/>
        <v>8.2743277206985794E-2</v>
      </c>
      <c r="X1705" s="2">
        <f ca="1"/>
        <v>78.78007963424642</v>
      </c>
      <c r="AG1705" s="2">
        <f ca="1"/>
        <v>0.9569506852870604</v>
      </c>
      <c r="AH1705" s="2" t="str">
        <f ca="1"/>
        <v>Bad</v>
      </c>
    </row>
    <row r="1706" spans="2:34">
      <c r="B1706" s="2">
        <f ca="1"/>
        <v>0.35943823389566254</v>
      </c>
      <c r="O1706" s="2">
        <f ca="1"/>
        <v>-0.48389429567038122</v>
      </c>
      <c r="X1706" s="2">
        <f ca="1"/>
        <v>47.906857115130379</v>
      </c>
      <c r="AG1706" s="2">
        <f ca="1"/>
        <v>0.27118174618199453</v>
      </c>
      <c r="AH1706" s="2" t="str">
        <f ca="1"/>
        <v>OK</v>
      </c>
    </row>
    <row r="1707" spans="2:34">
      <c r="B1707" s="2">
        <f ca="1"/>
        <v>0.54099470264857952</v>
      </c>
      <c r="O1707" s="2">
        <f ca="1"/>
        <v>0.82838011966052827</v>
      </c>
      <c r="X1707" s="2">
        <f ca="1"/>
        <v>56.292498913393139</v>
      </c>
      <c r="AG1707" s="2">
        <f ca="1"/>
        <v>3.2108203718197448E-3</v>
      </c>
      <c r="AH1707" s="2" t="str">
        <f ca="1"/>
        <v>Good</v>
      </c>
    </row>
    <row r="1708" spans="2:34">
      <c r="B1708" s="2">
        <f ca="1"/>
        <v>2.6649157098867171E-2</v>
      </c>
      <c r="O1708" s="2">
        <f ca="1"/>
        <v>-0.46937046261920984</v>
      </c>
      <c r="X1708" s="2">
        <f ca="1"/>
        <v>46.629423347183433</v>
      </c>
      <c r="AG1708" s="2">
        <f ca="1"/>
        <v>1.666589558042797E-2</v>
      </c>
      <c r="AH1708" s="2" t="str">
        <f ca="1"/>
        <v>Good</v>
      </c>
    </row>
    <row r="1709" spans="2:34">
      <c r="B1709" s="2">
        <f ca="1"/>
        <v>0.4145790112534995</v>
      </c>
      <c r="O1709" s="2">
        <f ca="1"/>
        <v>-1.6949116006042195</v>
      </c>
      <c r="X1709" s="2">
        <f ca="1"/>
        <v>54.340943236828664</v>
      </c>
      <c r="AG1709" s="2">
        <f ca="1"/>
        <v>0.29786680847962566</v>
      </c>
      <c r="AH1709" s="2" t="str">
        <f ca="1"/>
        <v>OK</v>
      </c>
    </row>
    <row r="1710" spans="2:34">
      <c r="B1710" s="2">
        <f ca="1"/>
        <v>0.47367816011515385</v>
      </c>
      <c r="O1710" s="2">
        <f ca="1"/>
        <v>1.7717524613487914</v>
      </c>
      <c r="X1710" s="2">
        <f ca="1"/>
        <v>32.081201025031632</v>
      </c>
      <c r="AG1710" s="2">
        <f ca="1"/>
        <v>0.56260276343615967</v>
      </c>
      <c r="AH1710" s="2" t="str">
        <f ca="1"/>
        <v>Bad</v>
      </c>
    </row>
    <row r="1711" spans="2:34">
      <c r="B1711" s="2">
        <f ca="1"/>
        <v>0.94423566963865113</v>
      </c>
      <c r="O1711" s="2">
        <f ca="1"/>
        <v>0.64825987648773653</v>
      </c>
      <c r="X1711" s="2">
        <f ca="1"/>
        <v>48.142062620055526</v>
      </c>
      <c r="AG1711" s="2">
        <f ca="1"/>
        <v>0.40438089259834564</v>
      </c>
      <c r="AH1711" s="2" t="str">
        <f ca="1"/>
        <v>Bad</v>
      </c>
    </row>
    <row r="1712" spans="2:34">
      <c r="B1712" s="2">
        <f ca="1"/>
        <v>0.57781439245108479</v>
      </c>
      <c r="O1712" s="2">
        <f ca="1"/>
        <v>-9.8448914197606568E-2</v>
      </c>
      <c r="X1712" s="2">
        <f ca="1"/>
        <v>29.105372068033041</v>
      </c>
      <c r="AG1712" s="2">
        <f ca="1"/>
        <v>5.661710305457901E-2</v>
      </c>
      <c r="AH1712" s="2" t="str">
        <f ca="1"/>
        <v>OK</v>
      </c>
    </row>
    <row r="1713" spans="2:34">
      <c r="B1713" s="2">
        <f ca="1"/>
        <v>0.60314604871325561</v>
      </c>
      <c r="O1713" s="2">
        <f ca="1"/>
        <v>0.31237746168805836</v>
      </c>
      <c r="X1713" s="2">
        <f ca="1"/>
        <v>83.57772509113282</v>
      </c>
      <c r="AG1713" s="2">
        <f ca="1"/>
        <v>0.19143897193703041</v>
      </c>
      <c r="AH1713" s="2" t="str">
        <f ca="1"/>
        <v>OK</v>
      </c>
    </row>
    <row r="1714" spans="2:34">
      <c r="B1714" s="2">
        <f ca="1"/>
        <v>0.75222283950823732</v>
      </c>
      <c r="O1714" s="2">
        <f ca="1"/>
        <v>0.38552347086193101</v>
      </c>
      <c r="X1714" s="2">
        <f ca="1"/>
        <v>58.762343923723549</v>
      </c>
      <c r="AG1714" s="2">
        <f ca="1"/>
        <v>0.93291491077598998</v>
      </c>
      <c r="AH1714" s="2" t="str">
        <f ca="1"/>
        <v>Bad</v>
      </c>
    </row>
    <row r="1715" spans="2:34">
      <c r="B1715" s="2">
        <f ca="1"/>
        <v>0.19387183532362284</v>
      </c>
      <c r="O1715" s="2">
        <f ca="1"/>
        <v>-1.5765198707640677</v>
      </c>
      <c r="X1715" s="2">
        <f ca="1"/>
        <v>59.056049613430289</v>
      </c>
      <c r="AG1715" s="2">
        <f ca="1"/>
        <v>0.11524437230790863</v>
      </c>
      <c r="AH1715" s="2" t="str">
        <f ca="1"/>
        <v>OK</v>
      </c>
    </row>
    <row r="1716" spans="2:34">
      <c r="B1716" s="2">
        <f ca="1"/>
        <v>0.95858340542461162</v>
      </c>
      <c r="O1716" s="2">
        <f ca="1"/>
        <v>0.93032079227204412</v>
      </c>
      <c r="X1716" s="2">
        <f ca="1"/>
        <v>47.647089540761272</v>
      </c>
      <c r="AG1716" s="2">
        <f ca="1"/>
        <v>0.89102131954460639</v>
      </c>
      <c r="AH1716" s="2" t="str">
        <f ca="1"/>
        <v>Bad</v>
      </c>
    </row>
    <row r="1717" spans="2:34">
      <c r="B1717" s="2">
        <f ca="1"/>
        <v>0.89561802098835885</v>
      </c>
      <c r="O1717" s="2">
        <f ca="1"/>
        <v>0.50922663833563542</v>
      </c>
      <c r="X1717" s="2">
        <f ca="1"/>
        <v>45.170702087160997</v>
      </c>
      <c r="AG1717" s="2">
        <f ca="1"/>
        <v>0.11428438410729092</v>
      </c>
      <c r="AH1717" s="2" t="str">
        <f ca="1"/>
        <v>OK</v>
      </c>
    </row>
    <row r="1718" spans="2:34">
      <c r="B1718" s="2">
        <f ca="1"/>
        <v>0.91572447230488319</v>
      </c>
      <c r="O1718" s="2">
        <f ca="1"/>
        <v>1.4116209326302995</v>
      </c>
      <c r="X1718" s="2">
        <f ca="1"/>
        <v>94.590606805746447</v>
      </c>
      <c r="AG1718" s="2">
        <f ca="1"/>
        <v>0.98468853099959897</v>
      </c>
      <c r="AH1718" s="2" t="str">
        <f ca="1"/>
        <v>Bad</v>
      </c>
    </row>
    <row r="1719" spans="2:34">
      <c r="B1719" s="2">
        <f ca="1"/>
        <v>0.63337234363018813</v>
      </c>
      <c r="O1719" s="2">
        <f ca="1"/>
        <v>0.64191548172272261</v>
      </c>
      <c r="X1719" s="2">
        <f ca="1"/>
        <v>66.348675410875956</v>
      </c>
      <c r="AG1719" s="2">
        <f ca="1"/>
        <v>9.6372508797439194E-2</v>
      </c>
      <c r="AH1719" s="2" t="str">
        <f ca="1"/>
        <v>OK</v>
      </c>
    </row>
    <row r="1720" spans="2:34">
      <c r="B1720" s="2">
        <f ca="1"/>
        <v>0.55834876693559954</v>
      </c>
      <c r="O1720" s="2">
        <f ca="1"/>
        <v>-0.5733887190158754</v>
      </c>
      <c r="X1720" s="2">
        <f ca="1"/>
        <v>54.249893932273288</v>
      </c>
      <c r="AG1720" s="2">
        <f ca="1"/>
        <v>0.75735963578890564</v>
      </c>
      <c r="AH1720" s="2" t="str">
        <f ca="1"/>
        <v>Bad</v>
      </c>
    </row>
    <row r="1721" spans="2:34">
      <c r="B1721" s="2">
        <f ca="1"/>
        <v>0.12042924497959939</v>
      </c>
      <c r="O1721" s="2">
        <f ca="1"/>
        <v>0.41971708169601163</v>
      </c>
      <c r="X1721" s="2">
        <f ca="1"/>
        <v>59.83468696467385</v>
      </c>
      <c r="AG1721" s="2">
        <f ca="1"/>
        <v>1.2533240324548167E-2</v>
      </c>
      <c r="AH1721" s="2" t="str">
        <f ca="1"/>
        <v>Good</v>
      </c>
    </row>
    <row r="1722" spans="2:34">
      <c r="B1722" s="2">
        <f ca="1"/>
        <v>0.34685703856543659</v>
      </c>
      <c r="O1722" s="2">
        <f ca="1"/>
        <v>0.14051841959762085</v>
      </c>
      <c r="X1722" s="2">
        <f ca="1"/>
        <v>53.905363048612998</v>
      </c>
      <c r="AG1722" s="2">
        <f ca="1"/>
        <v>0.91288162003577855</v>
      </c>
      <c r="AH1722" s="2" t="str">
        <f ca="1"/>
        <v>Bad</v>
      </c>
    </row>
    <row r="1723" spans="2:34">
      <c r="B1723" s="2">
        <f ca="1"/>
        <v>0.29580888695198304</v>
      </c>
      <c r="O1723" s="2">
        <f ca="1"/>
        <v>0.99586369797017482</v>
      </c>
      <c r="X1723" s="2">
        <f ca="1"/>
        <v>54.710790976616941</v>
      </c>
      <c r="AG1723" s="2">
        <f ca="1"/>
        <v>0.46341218505038473</v>
      </c>
      <c r="AH1723" s="2" t="str">
        <f ca="1"/>
        <v>Bad</v>
      </c>
    </row>
    <row r="1724" spans="2:34">
      <c r="B1724" s="2">
        <f ca="1"/>
        <v>0.88183551521090431</v>
      </c>
      <c r="O1724" s="2">
        <f ca="1"/>
        <v>-0.45772357667041874</v>
      </c>
      <c r="X1724" s="2">
        <f ca="1"/>
        <v>53.282963011544993</v>
      </c>
      <c r="AG1724" s="2">
        <f ca="1"/>
        <v>0.15778712380570825</v>
      </c>
      <c r="AH1724" s="2" t="str">
        <f ca="1"/>
        <v>OK</v>
      </c>
    </row>
    <row r="1725" spans="2:34">
      <c r="B1725" s="2">
        <f ca="1"/>
        <v>0.4046421929262205</v>
      </c>
      <c r="O1725" s="2">
        <f ca="1"/>
        <v>-0.9054572696064298</v>
      </c>
      <c r="X1725" s="2">
        <f ca="1"/>
        <v>58.803760359490774</v>
      </c>
      <c r="AG1725" s="2">
        <f ca="1"/>
        <v>0.53575345292503029</v>
      </c>
      <c r="AH1725" s="2" t="str">
        <f ca="1"/>
        <v>Bad</v>
      </c>
    </row>
    <row r="1726" spans="2:34">
      <c r="B1726" s="2">
        <f ca="1"/>
        <v>0.42276440295802242</v>
      </c>
      <c r="O1726" s="2">
        <f ca="1"/>
        <v>0.74383969808904871</v>
      </c>
      <c r="X1726" s="2">
        <f ca="1"/>
        <v>22.765575951275526</v>
      </c>
      <c r="AG1726" s="2">
        <f ca="1"/>
        <v>0.59774985853065044</v>
      </c>
      <c r="AH1726" s="2" t="str">
        <f ca="1"/>
        <v>Bad</v>
      </c>
    </row>
    <row r="1727" spans="2:34">
      <c r="B1727" s="2">
        <f ca="1"/>
        <v>0.24817042826845315</v>
      </c>
      <c r="O1727" s="2">
        <f ca="1"/>
        <v>-0.72411814453767676</v>
      </c>
      <c r="X1727" s="2">
        <f ca="1"/>
        <v>24.467845125514319</v>
      </c>
      <c r="AG1727" s="2">
        <f ca="1"/>
        <v>0.44844400979542565</v>
      </c>
      <c r="AH1727" s="2" t="str">
        <f ca="1"/>
        <v>Bad</v>
      </c>
    </row>
    <row r="1728" spans="2:34">
      <c r="B1728" s="2">
        <f ca="1"/>
        <v>0.46392939770587938</v>
      </c>
      <c r="O1728" s="2">
        <f ca="1"/>
        <v>0.32252796404998951</v>
      </c>
      <c r="X1728" s="2">
        <f ca="1"/>
        <v>33.054126452206617</v>
      </c>
      <c r="AG1728" s="2">
        <f ca="1"/>
        <v>0.68383957875483703</v>
      </c>
      <c r="AH1728" s="2" t="str">
        <f ca="1"/>
        <v>Bad</v>
      </c>
    </row>
    <row r="1729" spans="2:34">
      <c r="B1729" s="2">
        <f ca="1"/>
        <v>0.35669796449428737</v>
      </c>
      <c r="O1729" s="2">
        <f ca="1"/>
        <v>0.56964194719458061</v>
      </c>
      <c r="X1729" s="2">
        <f ca="1"/>
        <v>67.356565840486297</v>
      </c>
      <c r="AG1729" s="2">
        <f ca="1"/>
        <v>0.7331477058038991</v>
      </c>
      <c r="AH1729" s="2" t="str">
        <f ca="1"/>
        <v>Bad</v>
      </c>
    </row>
    <row r="1730" spans="2:34">
      <c r="B1730" s="2">
        <f ca="1"/>
        <v>0.43701994167253244</v>
      </c>
      <c r="O1730" s="2">
        <f ca="1"/>
        <v>0.89152743038766125</v>
      </c>
      <c r="X1730" s="2">
        <f ca="1"/>
        <v>73.247297543323157</v>
      </c>
      <c r="AG1730" s="2">
        <f ca="1"/>
        <v>0.92278691142395108</v>
      </c>
      <c r="AH1730" s="2" t="str">
        <f ca="1"/>
        <v>Bad</v>
      </c>
    </row>
    <row r="1731" spans="2:34">
      <c r="B1731" s="2">
        <f ca="1"/>
        <v>0.41102826095014589</v>
      </c>
      <c r="O1731" s="2">
        <f ca="1"/>
        <v>0.60723746891718078</v>
      </c>
      <c r="X1731" s="2">
        <f ca="1"/>
        <v>56.001908843896935</v>
      </c>
      <c r="AG1731" s="2">
        <f ca="1"/>
        <v>0.22367885303041635</v>
      </c>
      <c r="AH1731" s="2" t="str">
        <f ca="1"/>
        <v>OK</v>
      </c>
    </row>
    <row r="1732" spans="2:34">
      <c r="B1732" s="2">
        <f ca="1"/>
        <v>0.92490258788634994</v>
      </c>
      <c r="O1732" s="2">
        <f ca="1"/>
        <v>0.26666092370835726</v>
      </c>
      <c r="X1732" s="2">
        <f ca="1"/>
        <v>81.05344602697852</v>
      </c>
      <c r="AG1732" s="2">
        <f ca="1"/>
        <v>0.77912328219257954</v>
      </c>
      <c r="AH1732" s="2" t="str">
        <f ca="1"/>
        <v>Bad</v>
      </c>
    </row>
    <row r="1733" spans="2:34">
      <c r="B1733" s="2">
        <f ca="1"/>
        <v>0.9665200864358674</v>
      </c>
      <c r="O1733" s="2">
        <f ca="1"/>
        <v>-1.4994166462839895</v>
      </c>
      <c r="X1733" s="2">
        <f ca="1"/>
        <v>92.997540158130775</v>
      </c>
      <c r="AG1733" s="2">
        <f ca="1"/>
        <v>1.8215379173429413E-2</v>
      </c>
      <c r="AH1733" s="2" t="str">
        <f ca="1"/>
        <v>Good</v>
      </c>
    </row>
    <row r="1734" spans="2:34">
      <c r="B1734" s="2">
        <f ca="1"/>
        <v>7.2714638090410233E-2</v>
      </c>
      <c r="O1734" s="2">
        <f ca="1"/>
        <v>-0.25430343688764634</v>
      </c>
      <c r="X1734" s="2">
        <f ca="1"/>
        <v>77.040690789567648</v>
      </c>
      <c r="AG1734" s="2">
        <f ca="1"/>
        <v>0.14031530723241037</v>
      </c>
      <c r="AH1734" s="2" t="str">
        <f ca="1"/>
        <v>OK</v>
      </c>
    </row>
    <row r="1735" spans="2:34">
      <c r="B1735" s="2">
        <f ca="1"/>
        <v>0.61650510466617492</v>
      </c>
      <c r="O1735" s="2">
        <f ca="1"/>
        <v>-8.8084521758920259E-2</v>
      </c>
      <c r="X1735" s="2">
        <f ca="1"/>
        <v>79.825553914148927</v>
      </c>
      <c r="AG1735" s="2">
        <f ca="1"/>
        <v>0.76213007529355248</v>
      </c>
      <c r="AH1735" s="2" t="str">
        <f ca="1"/>
        <v>Bad</v>
      </c>
    </row>
    <row r="1736" spans="2:34">
      <c r="B1736" s="2">
        <f ca="1"/>
        <v>4.0726190429335452E-2</v>
      </c>
      <c r="O1736" s="2">
        <f ca="1"/>
        <v>-0.5484286251329199</v>
      </c>
      <c r="X1736" s="2">
        <f ca="1"/>
        <v>41.358033044259066</v>
      </c>
      <c r="AG1736" s="2">
        <f ca="1"/>
        <v>0.74380894899283345</v>
      </c>
      <c r="AH1736" s="2" t="str">
        <f ca="1"/>
        <v>Bad</v>
      </c>
    </row>
    <row r="1737" spans="2:34">
      <c r="B1737" s="2">
        <f ca="1"/>
        <v>0.99806990669898488</v>
      </c>
      <c r="O1737" s="2">
        <f ca="1"/>
        <v>0.958184103379084</v>
      </c>
      <c r="X1737" s="2">
        <f ca="1"/>
        <v>59.018893787642298</v>
      </c>
      <c r="AG1737" s="2">
        <f ca="1"/>
        <v>0.47605028665568194</v>
      </c>
      <c r="AH1737" s="2" t="str">
        <f ca="1"/>
        <v>Bad</v>
      </c>
    </row>
    <row r="1738" spans="2:34">
      <c r="B1738" s="2">
        <f ca="1"/>
        <v>0.75221498303252199</v>
      </c>
      <c r="O1738" s="2">
        <f ca="1"/>
        <v>0.26053129394804958</v>
      </c>
      <c r="X1738" s="2">
        <f ca="1"/>
        <v>47.885452059680503</v>
      </c>
      <c r="AG1738" s="2">
        <f ca="1"/>
        <v>0.45541511453904859</v>
      </c>
      <c r="AH1738" s="2" t="str">
        <f ca="1"/>
        <v>Bad</v>
      </c>
    </row>
    <row r="1739" spans="2:34">
      <c r="B1739" s="2">
        <f ca="1"/>
        <v>0.17527225081210784</v>
      </c>
      <c r="O1739" s="2">
        <f ca="1"/>
        <v>0.48441779775023425</v>
      </c>
      <c r="X1739" s="2">
        <f ca="1"/>
        <v>54.311777639541873</v>
      </c>
      <c r="AG1739" s="2">
        <f ca="1"/>
        <v>0.79898600280238474</v>
      </c>
      <c r="AH1739" s="2" t="str">
        <f ca="1"/>
        <v>Bad</v>
      </c>
    </row>
    <row r="1740" spans="2:34">
      <c r="B1740" s="2">
        <f ca="1"/>
        <v>0.40355975477779182</v>
      </c>
      <c r="O1740" s="2">
        <f ca="1"/>
        <v>-2.5940933406773781E-2</v>
      </c>
      <c r="X1740" s="2">
        <f ca="1"/>
        <v>39.782246387252265</v>
      </c>
      <c r="AG1740" s="2">
        <f ca="1"/>
        <v>0.55336733137573813</v>
      </c>
      <c r="AH1740" s="2" t="str">
        <f ca="1"/>
        <v>Bad</v>
      </c>
    </row>
    <row r="1741" spans="2:34">
      <c r="B1741" s="2">
        <f ca="1"/>
        <v>7.6978450083382555E-3</v>
      </c>
      <c r="O1741" s="2">
        <f ca="1"/>
        <v>2.1094236132024058</v>
      </c>
      <c r="X1741" s="2">
        <f ca="1"/>
        <v>43.885120759519857</v>
      </c>
      <c r="AG1741" s="2">
        <f ca="1"/>
        <v>0.97553847856449738</v>
      </c>
      <c r="AH1741" s="2" t="str">
        <f ca="1"/>
        <v>Bad</v>
      </c>
    </row>
    <row r="1742" spans="2:34">
      <c r="B1742" s="2">
        <f ca="1"/>
        <v>0.69636426430230958</v>
      </c>
      <c r="O1742" s="2">
        <f ca="1"/>
        <v>-1.721911424019287</v>
      </c>
      <c r="X1742" s="2">
        <f ca="1"/>
        <v>39.736113691631886</v>
      </c>
      <c r="AG1742" s="2">
        <f ca="1"/>
        <v>4.113985353043037E-2</v>
      </c>
      <c r="AH1742" s="2" t="str">
        <f ca="1"/>
        <v>Good</v>
      </c>
    </row>
    <row r="1743" spans="2:34">
      <c r="B1743" s="2">
        <f ca="1"/>
        <v>0.43834385121058417</v>
      </c>
      <c r="O1743" s="2">
        <f ca="1"/>
        <v>-0.28599656846798494</v>
      </c>
      <c r="X1743" s="2">
        <f ca="1"/>
        <v>55.407909137973121</v>
      </c>
      <c r="AG1743" s="2">
        <f ca="1"/>
        <v>0.70712596435817621</v>
      </c>
      <c r="AH1743" s="2" t="str">
        <f ca="1"/>
        <v>Bad</v>
      </c>
    </row>
    <row r="1744" spans="2:34">
      <c r="B1744" s="2">
        <f ca="1"/>
        <v>0.73483716895177187</v>
      </c>
      <c r="O1744" s="2">
        <f ca="1"/>
        <v>3.2531659176189529</v>
      </c>
      <c r="X1744" s="2">
        <f ca="1"/>
        <v>66.28887877853208</v>
      </c>
      <c r="AG1744" s="2">
        <f ca="1"/>
        <v>0.57622693289569638</v>
      </c>
      <c r="AH1744" s="2" t="str">
        <f ca="1"/>
        <v>Bad</v>
      </c>
    </row>
    <row r="1745" spans="2:34">
      <c r="B1745" s="2">
        <f ca="1"/>
        <v>0.13003518162760463</v>
      </c>
      <c r="O1745" s="2">
        <f ca="1"/>
        <v>0.18753211435742276</v>
      </c>
      <c r="X1745" s="2">
        <f ca="1"/>
        <v>42.868692649413973</v>
      </c>
      <c r="AG1745" s="2">
        <f ca="1"/>
        <v>0.4469438651745461</v>
      </c>
      <c r="AH1745" s="2" t="str">
        <f ca="1"/>
        <v>Bad</v>
      </c>
    </row>
    <row r="1746" spans="2:34">
      <c r="B1746" s="2">
        <f ca="1"/>
        <v>7.2159725570677402E-2</v>
      </c>
      <c r="O1746" s="2">
        <f ca="1"/>
        <v>1.7549980163137577</v>
      </c>
      <c r="X1746" s="2">
        <f ca="1"/>
        <v>47.61813156665071</v>
      </c>
      <c r="AG1746" s="2">
        <f ca="1"/>
        <v>0.76863280513079002</v>
      </c>
      <c r="AH1746" s="2" t="str">
        <f ca="1"/>
        <v>Bad</v>
      </c>
    </row>
    <row r="1747" spans="2:34">
      <c r="B1747" s="2">
        <f ca="1"/>
        <v>0.61229886862008431</v>
      </c>
      <c r="O1747" s="2">
        <f ca="1"/>
        <v>1.4220576783980179</v>
      </c>
      <c r="X1747" s="2">
        <f ca="1"/>
        <v>58.187024141096273</v>
      </c>
      <c r="AG1747" s="2">
        <f ca="1"/>
        <v>0.63741231513649121</v>
      </c>
      <c r="AH1747" s="2" t="str">
        <f ca="1"/>
        <v>Bad</v>
      </c>
    </row>
    <row r="1748" spans="2:34">
      <c r="B1748" s="2">
        <f ca="1"/>
        <v>0.45451859148674711</v>
      </c>
      <c r="O1748" s="2">
        <f ca="1"/>
        <v>-1.2860138877341054</v>
      </c>
      <c r="X1748" s="2">
        <f ca="1"/>
        <v>61.792170669859978</v>
      </c>
      <c r="AG1748" s="2">
        <f ca="1"/>
        <v>0.24602839747880245</v>
      </c>
      <c r="AH1748" s="2" t="str">
        <f ca="1"/>
        <v>OK</v>
      </c>
    </row>
    <row r="1749" spans="2:34">
      <c r="B1749" s="2">
        <f ca="1"/>
        <v>0.32371169533705624</v>
      </c>
      <c r="O1749" s="2">
        <f ca="1"/>
        <v>-1.9068851486548035</v>
      </c>
      <c r="X1749" s="2">
        <f ca="1"/>
        <v>35.226804765158434</v>
      </c>
      <c r="AG1749" s="2">
        <f ca="1"/>
        <v>0.54799377416566664</v>
      </c>
      <c r="AH1749" s="2" t="str">
        <f ca="1"/>
        <v>Bad</v>
      </c>
    </row>
    <row r="1750" spans="2:34">
      <c r="B1750" s="2">
        <f ca="1"/>
        <v>0.75677299612059046</v>
      </c>
      <c r="O1750" s="2">
        <f ca="1"/>
        <v>0.37860340623651001</v>
      </c>
      <c r="X1750" s="2">
        <f ca="1"/>
        <v>52.834417407371497</v>
      </c>
      <c r="AG1750" s="2">
        <f ca="1"/>
        <v>0.96844549911490896</v>
      </c>
      <c r="AH1750" s="2" t="str">
        <f ca="1"/>
        <v>Bad</v>
      </c>
    </row>
    <row r="1751" spans="2:34">
      <c r="B1751" s="2">
        <f ca="1"/>
        <v>0.76299465605711325</v>
      </c>
      <c r="O1751" s="2">
        <f ca="1"/>
        <v>0.96076877362657132</v>
      </c>
      <c r="X1751" s="2">
        <f ca="1"/>
        <v>42.675300997840615</v>
      </c>
      <c r="AG1751" s="2">
        <f ca="1"/>
        <v>0.16348376670157316</v>
      </c>
      <c r="AH1751" s="2" t="str">
        <f ca="1"/>
        <v>OK</v>
      </c>
    </row>
    <row r="1752" spans="2:34">
      <c r="B1752" s="2">
        <f ca="1"/>
        <v>0.84983564774352338</v>
      </c>
      <c r="O1752" s="2">
        <f ca="1"/>
        <v>0.9898645856911743</v>
      </c>
      <c r="X1752" s="2">
        <f ca="1"/>
        <v>44.234532355797228</v>
      </c>
      <c r="AG1752" s="2">
        <f ca="1"/>
        <v>0.7844200727644175</v>
      </c>
      <c r="AH1752" s="2" t="str">
        <f ca="1"/>
        <v>Bad</v>
      </c>
    </row>
    <row r="1753" spans="2:34">
      <c r="B1753" s="2">
        <f ca="1"/>
        <v>0.13013598537288207</v>
      </c>
      <c r="O1753" s="2">
        <f ca="1"/>
        <v>-1.1328754580090596</v>
      </c>
      <c r="X1753" s="2">
        <f ca="1"/>
        <v>62.414029485642146</v>
      </c>
      <c r="AG1753" s="2">
        <f ca="1"/>
        <v>0.11360298817414516</v>
      </c>
      <c r="AH1753" s="2" t="str">
        <f ca="1"/>
        <v>OK</v>
      </c>
    </row>
    <row r="1754" spans="2:34">
      <c r="B1754" s="2">
        <f ca="1"/>
        <v>0.71155940706461651</v>
      </c>
      <c r="O1754" s="2">
        <f ca="1"/>
        <v>-0.75099471882654845</v>
      </c>
      <c r="X1754" s="2">
        <f ca="1"/>
        <v>48.130281815452271</v>
      </c>
      <c r="AG1754" s="2">
        <f ca="1"/>
        <v>0.58371876094861919</v>
      </c>
      <c r="AH1754" s="2" t="str">
        <f ca="1"/>
        <v>Bad</v>
      </c>
    </row>
    <row r="1755" spans="2:34">
      <c r="B1755" s="2">
        <f ca="1"/>
        <v>0.32618870624852625</v>
      </c>
      <c r="O1755" s="2">
        <f ca="1"/>
        <v>-1.1122586449470602</v>
      </c>
      <c r="X1755" s="2">
        <f ca="1"/>
        <v>47.970071597032948</v>
      </c>
      <c r="AG1755" s="2">
        <f ca="1"/>
        <v>0.63491701532128819</v>
      </c>
      <c r="AH1755" s="2" t="str">
        <f ca="1"/>
        <v>Bad</v>
      </c>
    </row>
    <row r="1756" spans="2:34">
      <c r="B1756" s="2">
        <f ca="1"/>
        <v>0.83604503596322832</v>
      </c>
      <c r="O1756" s="2">
        <f ca="1"/>
        <v>-1.0940677908056564</v>
      </c>
      <c r="X1756" s="2">
        <f ca="1"/>
        <v>19.082571286485788</v>
      </c>
      <c r="AG1756" s="2">
        <f ca="1"/>
        <v>0.24815819133520445</v>
      </c>
      <c r="AH1756" s="2" t="str">
        <f ca="1"/>
        <v>OK</v>
      </c>
    </row>
    <row r="1757" spans="2:34">
      <c r="B1757" s="2">
        <f ca="1"/>
        <v>0.19391174797729871</v>
      </c>
      <c r="O1757" s="2">
        <f ca="1"/>
        <v>0.10128873446132705</v>
      </c>
      <c r="X1757" s="2">
        <f ca="1"/>
        <v>45.353208437064978</v>
      </c>
      <c r="AG1757" s="2">
        <f ca="1"/>
        <v>0.15751205508111621</v>
      </c>
      <c r="AH1757" s="2" t="str">
        <f ca="1"/>
        <v>OK</v>
      </c>
    </row>
    <row r="1758" spans="2:34">
      <c r="B1758" s="2">
        <f ca="1"/>
        <v>8.4428419695656176E-2</v>
      </c>
      <c r="O1758" s="2">
        <f ca="1"/>
        <v>0.41816716401601584</v>
      </c>
      <c r="X1758" s="2">
        <f ca="1"/>
        <v>46.217999058228372</v>
      </c>
      <c r="AG1758" s="2">
        <f ca="1"/>
        <v>0.89601476229772437</v>
      </c>
      <c r="AH1758" s="2" t="str">
        <f ca="1"/>
        <v>Bad</v>
      </c>
    </row>
    <row r="1759" spans="2:34">
      <c r="B1759" s="2">
        <f ca="1"/>
        <v>0.29438713730646815</v>
      </c>
      <c r="O1759" s="2">
        <f ca="1"/>
        <v>-0.73635696783984039</v>
      </c>
      <c r="X1759" s="2">
        <f ca="1"/>
        <v>51.432690738201202</v>
      </c>
      <c r="AG1759" s="2">
        <f ca="1"/>
        <v>0.79478458585650547</v>
      </c>
      <c r="AH1759" s="2" t="str">
        <f ca="1"/>
        <v>Bad</v>
      </c>
    </row>
    <row r="1760" spans="2:34">
      <c r="B1760" s="2">
        <f ca="1"/>
        <v>0.21619853201899475</v>
      </c>
      <c r="O1760" s="2">
        <f ca="1"/>
        <v>0.48369114731733409</v>
      </c>
      <c r="X1760" s="2">
        <f ca="1"/>
        <v>40.156544972191867</v>
      </c>
      <c r="AG1760" s="2">
        <f ca="1"/>
        <v>0.18164630437346641</v>
      </c>
      <c r="AH1760" s="2" t="str">
        <f ca="1"/>
        <v>OK</v>
      </c>
    </row>
    <row r="1761" spans="2:34">
      <c r="B1761" s="2">
        <f ca="1"/>
        <v>0.75693612187084414</v>
      </c>
      <c r="O1761" s="2">
        <f ca="1"/>
        <v>0.51098138704235441</v>
      </c>
      <c r="X1761" s="2">
        <f ca="1"/>
        <v>20.898650827074409</v>
      </c>
      <c r="AG1761" s="2">
        <f ca="1"/>
        <v>0.48280490313092206</v>
      </c>
      <c r="AH1761" s="2" t="str">
        <f ca="1"/>
        <v>Bad</v>
      </c>
    </row>
    <row r="1762" spans="2:34">
      <c r="B1762" s="2">
        <f ca="1"/>
        <v>0.76617684308771961</v>
      </c>
      <c r="O1762" s="2">
        <f ca="1"/>
        <v>1.1206932867323172</v>
      </c>
      <c r="X1762" s="2">
        <f ca="1"/>
        <v>75.70827014307946</v>
      </c>
      <c r="AG1762" s="2">
        <f ca="1"/>
        <v>0.77373201132006342</v>
      </c>
      <c r="AH1762" s="2" t="str">
        <f ca="1"/>
        <v>Bad</v>
      </c>
    </row>
    <row r="1763" spans="2:34">
      <c r="B1763" s="2">
        <f ca="1"/>
        <v>0.69182690367396904</v>
      </c>
      <c r="O1763" s="2">
        <f ca="1"/>
        <v>0.74137283823573552</v>
      </c>
      <c r="X1763" s="2">
        <f ca="1"/>
        <v>67.349029652072247</v>
      </c>
      <c r="AG1763" s="2">
        <f ca="1"/>
        <v>0.29597821260994217</v>
      </c>
      <c r="AH1763" s="2" t="str">
        <f ca="1"/>
        <v>OK</v>
      </c>
    </row>
    <row r="1764" spans="2:34">
      <c r="B1764" s="2">
        <f ca="1"/>
        <v>0.69485783598672768</v>
      </c>
      <c r="O1764" s="2">
        <f ca="1"/>
        <v>1.0090209205550928</v>
      </c>
      <c r="X1764" s="2">
        <f ca="1"/>
        <v>27.851530461975354</v>
      </c>
      <c r="AG1764" s="2">
        <f ca="1"/>
        <v>0.88254592934473508</v>
      </c>
      <c r="AH1764" s="2" t="str">
        <f ca="1"/>
        <v>Bad</v>
      </c>
    </row>
    <row r="1765" spans="2:34">
      <c r="B1765" s="2">
        <f ca="1"/>
        <v>0.99680274188760287</v>
      </c>
      <c r="O1765" s="2">
        <f ca="1"/>
        <v>1.9158535847749911</v>
      </c>
      <c r="X1765" s="2">
        <f ca="1"/>
        <v>58.933929238944451</v>
      </c>
      <c r="AG1765" s="2">
        <f ca="1"/>
        <v>6.04217626216208E-2</v>
      </c>
      <c r="AH1765" s="2" t="str">
        <f ca="1"/>
        <v>OK</v>
      </c>
    </row>
    <row r="1766" spans="2:34">
      <c r="B1766" s="2">
        <f ca="1"/>
        <v>0.49068756748667397</v>
      </c>
      <c r="O1766" s="2">
        <f ca="1"/>
        <v>-0.25394816436293349</v>
      </c>
      <c r="X1766" s="2">
        <f ca="1"/>
        <v>88.200822276405177</v>
      </c>
      <c r="AG1766" s="2">
        <f ca="1"/>
        <v>0.2155185459818687</v>
      </c>
      <c r="AH1766" s="2" t="str">
        <f ca="1"/>
        <v>OK</v>
      </c>
    </row>
    <row r="1767" spans="2:34">
      <c r="B1767" s="2">
        <f ca="1"/>
        <v>0.80893261044107678</v>
      </c>
      <c r="O1767" s="2">
        <f ca="1"/>
        <v>-0.77363008007008727</v>
      </c>
      <c r="X1767" s="2">
        <f ca="1"/>
        <v>55.57599358334177</v>
      </c>
      <c r="AG1767" s="2">
        <f ca="1"/>
        <v>0.98324360170194947</v>
      </c>
      <c r="AH1767" s="2" t="str">
        <f ca="1"/>
        <v>Bad</v>
      </c>
    </row>
    <row r="1768" spans="2:34">
      <c r="B1768" s="2">
        <f ca="1"/>
        <v>0.93239548965683539</v>
      </c>
      <c r="O1768" s="2">
        <f ca="1"/>
        <v>0.61362489305178092</v>
      </c>
      <c r="X1768" s="2">
        <f ca="1"/>
        <v>62.23979079936052</v>
      </c>
      <c r="AG1768" s="2">
        <f ca="1"/>
        <v>0.18260701164957371</v>
      </c>
      <c r="AH1768" s="2" t="str">
        <f ca="1"/>
        <v>OK</v>
      </c>
    </row>
    <row r="1769" spans="2:34">
      <c r="B1769" s="2">
        <f ca="1"/>
        <v>0.87618081791959446</v>
      </c>
      <c r="O1769" s="2">
        <f ca="1"/>
        <v>1.0416647417785423</v>
      </c>
      <c r="X1769" s="2">
        <f ca="1"/>
        <v>71.699242970351236</v>
      </c>
      <c r="AG1769" s="2">
        <f ca="1"/>
        <v>0.72309986526202263</v>
      </c>
      <c r="AH1769" s="2" t="str">
        <f ca="1"/>
        <v>Bad</v>
      </c>
    </row>
    <row r="1770" spans="2:34">
      <c r="B1770" s="2">
        <f ca="1"/>
        <v>0.69307584149544033</v>
      </c>
      <c r="O1770" s="2">
        <f ca="1"/>
        <v>0.56096153404572202</v>
      </c>
      <c r="X1770" s="2">
        <f ca="1"/>
        <v>58.416743062017282</v>
      </c>
      <c r="AG1770" s="2">
        <f ca="1"/>
        <v>0.31063195879656491</v>
      </c>
      <c r="AH1770" s="2" t="str">
        <f ca="1"/>
        <v>OK</v>
      </c>
    </row>
    <row r="1771" spans="2:34">
      <c r="B1771" s="2">
        <f ca="1"/>
        <v>0.29898741360677006</v>
      </c>
      <c r="O1771" s="2">
        <f ca="1"/>
        <v>-0.97341264501086222</v>
      </c>
      <c r="X1771" s="2">
        <f ca="1"/>
        <v>39.639453219094506</v>
      </c>
      <c r="AG1771" s="2">
        <f ca="1"/>
        <v>0.24968230195370178</v>
      </c>
      <c r="AH1771" s="2" t="str">
        <f ca="1"/>
        <v>OK</v>
      </c>
    </row>
    <row r="1772" spans="2:34">
      <c r="B1772" s="2">
        <f ca="1"/>
        <v>0.20355185857138269</v>
      </c>
      <c r="O1772" s="2">
        <f ca="1"/>
        <v>-0.59353079404860332</v>
      </c>
      <c r="X1772" s="2">
        <f ca="1"/>
        <v>31.749487841629644</v>
      </c>
      <c r="AG1772" s="2">
        <f ca="1"/>
        <v>0.52380723118462202</v>
      </c>
      <c r="AH1772" s="2" t="str">
        <f ca="1"/>
        <v>Bad</v>
      </c>
    </row>
    <row r="1773" spans="2:34">
      <c r="B1773" s="2">
        <f ca="1"/>
        <v>0.36351148618163576</v>
      </c>
      <c r="O1773" s="2">
        <f ca="1"/>
        <v>-0.85989678864137775</v>
      </c>
      <c r="X1773" s="2">
        <f ca="1"/>
        <v>29.146490699394132</v>
      </c>
      <c r="AG1773" s="2">
        <f ca="1"/>
        <v>0.62337764376712479</v>
      </c>
      <c r="AH1773" s="2" t="str">
        <f ca="1"/>
        <v>Bad</v>
      </c>
    </row>
    <row r="1774" spans="2:34">
      <c r="B1774" s="2">
        <f ca="1"/>
        <v>0.27935241373174113</v>
      </c>
      <c r="O1774" s="2">
        <f ca="1"/>
        <v>8.8654643829806451E-2</v>
      </c>
      <c r="X1774" s="2">
        <f ca="1"/>
        <v>59.272500455958451</v>
      </c>
      <c r="AG1774" s="2">
        <f ca="1"/>
        <v>0.16979985181314472</v>
      </c>
      <c r="AH1774" s="2" t="str">
        <f ca="1"/>
        <v>OK</v>
      </c>
    </row>
    <row r="1775" spans="2:34">
      <c r="B1775" s="2">
        <f ca="1"/>
        <v>0.17514935315982938</v>
      </c>
      <c r="O1775" s="2">
        <f ca="1"/>
        <v>0.52616590175617017</v>
      </c>
      <c r="X1775" s="2">
        <f ca="1"/>
        <v>48.682637193271667</v>
      </c>
      <c r="AG1775" s="2">
        <f ca="1"/>
        <v>0.62006996802303771</v>
      </c>
      <c r="AH1775" s="2" t="str">
        <f ca="1"/>
        <v>Bad</v>
      </c>
    </row>
    <row r="1776" spans="2:34">
      <c r="B1776" s="2">
        <f ca="1"/>
        <v>9.9573279644317836E-2</v>
      </c>
      <c r="O1776" s="2">
        <f ca="1"/>
        <v>7.0294332618822425E-2</v>
      </c>
      <c r="X1776" s="2">
        <f ca="1"/>
        <v>28.2907767889686</v>
      </c>
      <c r="AG1776" s="2">
        <f ca="1"/>
        <v>0.58564730927738595</v>
      </c>
      <c r="AH1776" s="2" t="str">
        <f ca="1"/>
        <v>Bad</v>
      </c>
    </row>
    <row r="1777" spans="2:34">
      <c r="B1777" s="2">
        <f ca="1"/>
        <v>0.20538865691398756</v>
      </c>
      <c r="O1777" s="2">
        <f ca="1"/>
        <v>0.90950005279290269</v>
      </c>
      <c r="X1777" s="2">
        <f ca="1"/>
        <v>44.345137559547098</v>
      </c>
      <c r="AG1777" s="2">
        <f ca="1"/>
        <v>0.25156873496800802</v>
      </c>
      <c r="AH1777" s="2" t="str">
        <f ca="1"/>
        <v>OK</v>
      </c>
    </row>
    <row r="1778" spans="2:34">
      <c r="B1778" s="2">
        <f ca="1"/>
        <v>0.92953708728672613</v>
      </c>
      <c r="O1778" s="2">
        <f ca="1"/>
        <v>-0.75897499785423772</v>
      </c>
      <c r="X1778" s="2">
        <f ca="1"/>
        <v>73.216475026049849</v>
      </c>
      <c r="AG1778" s="2">
        <f ca="1"/>
        <v>0.61694222841714308</v>
      </c>
      <c r="AH1778" s="2" t="str">
        <f ca="1"/>
        <v>Bad</v>
      </c>
    </row>
    <row r="1779" spans="2:34">
      <c r="B1779" s="2">
        <f ca="1"/>
        <v>0.75336125017768096</v>
      </c>
      <c r="O1779" s="2">
        <f ca="1"/>
        <v>-0.32905915672014019</v>
      </c>
      <c r="X1779" s="2">
        <f ca="1"/>
        <v>50.826246309986033</v>
      </c>
      <c r="AG1779" s="2">
        <f ca="1"/>
        <v>0.33607404605578384</v>
      </c>
      <c r="AH1779" s="2" t="str">
        <f ca="1"/>
        <v>OK</v>
      </c>
    </row>
    <row r="1780" spans="2:34">
      <c r="B1780" s="2">
        <f ca="1"/>
        <v>0.10129951986943353</v>
      </c>
      <c r="O1780" s="2">
        <f ca="1"/>
        <v>-0.43563383851756254</v>
      </c>
      <c r="X1780" s="2">
        <f ca="1"/>
        <v>24.524360521534835</v>
      </c>
      <c r="AG1780" s="2">
        <f ca="1"/>
        <v>0.86735872484106924</v>
      </c>
      <c r="AH1780" s="2" t="str">
        <f ca="1"/>
        <v>Bad</v>
      </c>
    </row>
    <row r="1781" spans="2:34">
      <c r="B1781" s="2">
        <f ca="1"/>
        <v>0.21935830293706893</v>
      </c>
      <c r="O1781" s="2">
        <f ca="1"/>
        <v>-0.98099260855386716</v>
      </c>
      <c r="X1781" s="2">
        <f ca="1"/>
        <v>21.696412138453599</v>
      </c>
      <c r="AG1781" s="2">
        <f ca="1"/>
        <v>0.40183717664253038</v>
      </c>
      <c r="AH1781" s="2" t="str">
        <f ca="1"/>
        <v>Bad</v>
      </c>
    </row>
    <row r="1782" spans="2:34">
      <c r="B1782" s="2">
        <f ca="1"/>
        <v>0.31365046411625674</v>
      </c>
      <c r="O1782" s="2">
        <f ca="1"/>
        <v>1.4049770306623133</v>
      </c>
      <c r="X1782" s="2">
        <f ca="1"/>
        <v>35.444881792415096</v>
      </c>
      <c r="AG1782" s="2">
        <f ca="1"/>
        <v>0.62806963211458755</v>
      </c>
      <c r="AH1782" s="2" t="str">
        <f ca="1"/>
        <v>Bad</v>
      </c>
    </row>
    <row r="1783" spans="2:34">
      <c r="B1783" s="2">
        <f ca="1"/>
        <v>0.76869774012219549</v>
      </c>
      <c r="O1783" s="2">
        <f ca="1"/>
        <v>1.5122556193489514</v>
      </c>
      <c r="X1783" s="2">
        <f ca="1"/>
        <v>46.907918281105196</v>
      </c>
      <c r="AG1783" s="2">
        <f ca="1"/>
        <v>0.40472080076405526</v>
      </c>
      <c r="AH1783" s="2" t="str">
        <f ca="1"/>
        <v>Bad</v>
      </c>
    </row>
    <row r="1784" spans="2:34">
      <c r="B1784" s="2">
        <f ca="1"/>
        <v>4.2998725063770005E-2</v>
      </c>
      <c r="O1784" s="2">
        <f ca="1"/>
        <v>-0.6831948516879357</v>
      </c>
      <c r="X1784" s="2">
        <f ca="1"/>
        <v>20.815729168435912</v>
      </c>
      <c r="AG1784" s="2">
        <f ca="1"/>
        <v>0.44151434944434942</v>
      </c>
      <c r="AH1784" s="2" t="str">
        <f ca="1"/>
        <v>Bad</v>
      </c>
    </row>
    <row r="1785" spans="2:34">
      <c r="B1785" s="2">
        <f ca="1"/>
        <v>0.65056676594147289</v>
      </c>
      <c r="O1785" s="2">
        <f ca="1"/>
        <v>-0.98730013011022544</v>
      </c>
      <c r="X1785" s="2">
        <f ca="1"/>
        <v>44.522064014894042</v>
      </c>
      <c r="AG1785" s="2">
        <f ca="1"/>
        <v>0.8806546485317428</v>
      </c>
      <c r="AH1785" s="2" t="str">
        <f ca="1"/>
        <v>Bad</v>
      </c>
    </row>
    <row r="1786" spans="2:34">
      <c r="B1786" s="2">
        <f ca="1"/>
        <v>0.58972734597808807</v>
      </c>
      <c r="O1786" s="2">
        <f ca="1"/>
        <v>1.3528255992824205</v>
      </c>
      <c r="X1786" s="2">
        <f ca="1"/>
        <v>23.660778308059449</v>
      </c>
      <c r="AG1786" s="2">
        <f ca="1"/>
        <v>0.44838946993770357</v>
      </c>
      <c r="AH1786" s="2" t="str">
        <f ca="1"/>
        <v>Bad</v>
      </c>
    </row>
    <row r="1787" spans="2:34">
      <c r="B1787" s="2">
        <f ca="1"/>
        <v>4.9479976292152061E-2</v>
      </c>
      <c r="O1787" s="2">
        <f ca="1"/>
        <v>0.9457850992184561</v>
      </c>
      <c r="X1787" s="2">
        <f ca="1"/>
        <v>16.331267282320844</v>
      </c>
      <c r="AG1787" s="2">
        <f ca="1"/>
        <v>8.1311880974488382E-4</v>
      </c>
      <c r="AH1787" s="2" t="str">
        <f ca="1"/>
        <v>Good</v>
      </c>
    </row>
    <row r="1788" spans="2:34">
      <c r="B1788" s="2">
        <f ca="1"/>
        <v>0.51197463626043982</v>
      </c>
      <c r="O1788" s="2">
        <f ca="1"/>
        <v>0.47769334820436399</v>
      </c>
      <c r="X1788" s="2">
        <f ca="1"/>
        <v>56.317769199061431</v>
      </c>
      <c r="AG1788" s="2">
        <f ca="1"/>
        <v>6.755389707320747E-2</v>
      </c>
      <c r="AH1788" s="2" t="str">
        <f ca="1"/>
        <v>OK</v>
      </c>
    </row>
    <row r="1789" spans="2:34">
      <c r="B1789" s="2">
        <f ca="1"/>
        <v>0.61408892939539572</v>
      </c>
      <c r="O1789" s="2">
        <f ca="1"/>
        <v>0.31919662561879536</v>
      </c>
      <c r="X1789" s="2">
        <f ca="1"/>
        <v>42.698967411055108</v>
      </c>
      <c r="AG1789" s="2">
        <f ca="1"/>
        <v>0.26778588322927654</v>
      </c>
      <c r="AH1789" s="2" t="str">
        <f ca="1"/>
        <v>OK</v>
      </c>
    </row>
    <row r="1790" spans="2:34">
      <c r="B1790" s="2">
        <f ca="1"/>
        <v>2.4020039224326384E-2</v>
      </c>
      <c r="O1790" s="2">
        <f ca="1"/>
        <v>-0.26006842959155885</v>
      </c>
      <c r="X1790" s="2">
        <f ca="1"/>
        <v>55.47552827684342</v>
      </c>
      <c r="AG1790" s="2">
        <f ca="1"/>
        <v>5.707977465210079E-2</v>
      </c>
      <c r="AH1790" s="2" t="str">
        <f ca="1"/>
        <v>OK</v>
      </c>
    </row>
    <row r="1791" spans="2:34">
      <c r="B1791" s="2">
        <f ca="1"/>
        <v>0.93873854058856576</v>
      </c>
      <c r="O1791" s="2">
        <f ca="1"/>
        <v>0.76569154770347947</v>
      </c>
      <c r="X1791" s="2">
        <f ca="1"/>
        <v>41.61516440778523</v>
      </c>
      <c r="AG1791" s="2">
        <f ca="1"/>
        <v>0.11458064885021924</v>
      </c>
      <c r="AH1791" s="2" t="str">
        <f ca="1"/>
        <v>OK</v>
      </c>
    </row>
    <row r="1792" spans="2:34">
      <c r="B1792" s="2">
        <f ca="1"/>
        <v>0.95643889523402725</v>
      </c>
      <c r="O1792" s="2">
        <f ca="1"/>
        <v>0.97216385800717564</v>
      </c>
      <c r="X1792" s="2">
        <f ca="1"/>
        <v>59.150241062878273</v>
      </c>
      <c r="AG1792" s="2">
        <f ca="1"/>
        <v>0.78195563853874428</v>
      </c>
      <c r="AH1792" s="2" t="str">
        <f ca="1"/>
        <v>Bad</v>
      </c>
    </row>
    <row r="1793" spans="2:34">
      <c r="B1793" s="2">
        <f ca="1"/>
        <v>3.5096500746766512E-2</v>
      </c>
      <c r="O1793" s="2">
        <f ca="1"/>
        <v>1.023995889854465</v>
      </c>
      <c r="X1793" s="2">
        <f ca="1"/>
        <v>42.88967381248127</v>
      </c>
      <c r="AG1793" s="2">
        <f ca="1"/>
        <v>0.12392358767929124</v>
      </c>
      <c r="AH1793" s="2" t="str">
        <f ca="1"/>
        <v>OK</v>
      </c>
    </row>
    <row r="1794" spans="2:34">
      <c r="B1794" s="2">
        <f ca="1"/>
        <v>3.0310928491859235E-2</v>
      </c>
      <c r="O1794" s="2">
        <f ca="1"/>
        <v>1.4912251533743699</v>
      </c>
      <c r="X1794" s="2">
        <f ca="1"/>
        <v>40.519058771830117</v>
      </c>
      <c r="AG1794" s="2">
        <f ca="1"/>
        <v>0.17695788020936698</v>
      </c>
      <c r="AH1794" s="2" t="str">
        <f ca="1"/>
        <v>OK</v>
      </c>
    </row>
    <row r="1795" spans="2:34">
      <c r="B1795" s="2">
        <f ca="1"/>
        <v>0.52556078399477424</v>
      </c>
      <c r="O1795" s="2">
        <f ca="1"/>
        <v>0.46725480989895335</v>
      </c>
      <c r="X1795" s="2">
        <f ca="1"/>
        <v>83.838943627111405</v>
      </c>
      <c r="AG1795" s="2">
        <f ca="1"/>
        <v>0.88446785644107773</v>
      </c>
      <c r="AH1795" s="2" t="str">
        <f ca="1"/>
        <v>Bad</v>
      </c>
    </row>
    <row r="1796" spans="2:34">
      <c r="B1796" s="2">
        <f ca="1"/>
        <v>0.31609951414235704</v>
      </c>
      <c r="O1796" s="2">
        <f ca="1"/>
        <v>1.8858886965019541</v>
      </c>
      <c r="X1796" s="2">
        <f ca="1"/>
        <v>55.129020877797032</v>
      </c>
      <c r="AG1796" s="2">
        <f ca="1"/>
        <v>6.6770721662842814E-2</v>
      </c>
      <c r="AH1796" s="2" t="str">
        <f ca="1"/>
        <v>OK</v>
      </c>
    </row>
    <row r="1797" spans="2:34">
      <c r="B1797" s="2">
        <f ca="1"/>
        <v>0.69293941220297484</v>
      </c>
      <c r="O1797" s="2">
        <f ca="1"/>
        <v>0.70811217627167189</v>
      </c>
      <c r="X1797" s="2">
        <f ca="1"/>
        <v>69.210541717568745</v>
      </c>
      <c r="AG1797" s="2">
        <f ca="1"/>
        <v>0.60109975708786023</v>
      </c>
      <c r="AH1797" s="2" t="str">
        <f ca="1"/>
        <v>Bad</v>
      </c>
    </row>
    <row r="1798" spans="2:34">
      <c r="B1798" s="2">
        <f ca="1"/>
        <v>0.18607057086186285</v>
      </c>
      <c r="O1798" s="2">
        <f ca="1"/>
        <v>-0.58219141445211198</v>
      </c>
      <c r="X1798" s="2">
        <f ca="1"/>
        <v>58.627805115640719</v>
      </c>
      <c r="AG1798" s="2">
        <f ca="1"/>
        <v>0.84345775222399411</v>
      </c>
      <c r="AH1798" s="2" t="str">
        <f ca="1"/>
        <v>Bad</v>
      </c>
    </row>
    <row r="1799" spans="2:34">
      <c r="B1799" s="2">
        <f ca="1"/>
        <v>0.55989866991539383</v>
      </c>
      <c r="O1799" s="2">
        <f ca="1"/>
        <v>-0.57178955429553502</v>
      </c>
      <c r="X1799" s="2">
        <f ca="1"/>
        <v>31.62540626924546</v>
      </c>
      <c r="AG1799" s="2">
        <f ca="1"/>
        <v>0.30518299634418611</v>
      </c>
      <c r="AH1799" s="2" t="str">
        <f ca="1"/>
        <v>OK</v>
      </c>
    </row>
    <row r="1800" spans="2:34">
      <c r="B1800" s="2">
        <f ca="1"/>
        <v>0.90964390333234668</v>
      </c>
      <c r="O1800" s="2">
        <f ca="1"/>
        <v>-0.34162982188953489</v>
      </c>
      <c r="X1800" s="2">
        <f ca="1"/>
        <v>44.011487103072028</v>
      </c>
      <c r="AG1800" s="2">
        <f ca="1"/>
        <v>0.45324915964436663</v>
      </c>
      <c r="AH1800" s="2" t="str">
        <f ca="1"/>
        <v>Bad</v>
      </c>
    </row>
    <row r="1801" spans="2:34">
      <c r="B1801" s="2">
        <f ca="1"/>
        <v>0.6684011709136739</v>
      </c>
      <c r="O1801" s="2">
        <f ca="1"/>
        <v>-0.30315557374038149</v>
      </c>
      <c r="X1801" s="2">
        <f ca="1"/>
        <v>54.405220523591531</v>
      </c>
      <c r="AG1801" s="2">
        <f ca="1"/>
        <v>0.38476842152277668</v>
      </c>
      <c r="AH1801" s="2" t="str">
        <f ca="1"/>
        <v>OK</v>
      </c>
    </row>
    <row r="1802" spans="2:34">
      <c r="B1802" s="2">
        <f ca="1"/>
        <v>0.76633813121395455</v>
      </c>
      <c r="O1802" s="2">
        <f ca="1"/>
        <v>-1.7299988838569802</v>
      </c>
      <c r="X1802" s="2">
        <f ca="1"/>
        <v>66.942310084301454</v>
      </c>
      <c r="AG1802" s="2">
        <f ca="1"/>
        <v>0.82592503370260251</v>
      </c>
      <c r="AH1802" s="2" t="str">
        <f ca="1"/>
        <v>Bad</v>
      </c>
    </row>
    <row r="1803" spans="2:34">
      <c r="B1803" s="2">
        <f ca="1"/>
        <v>0.73944919537040721</v>
      </c>
      <c r="O1803" s="2">
        <f ca="1"/>
        <v>0.31999553111792867</v>
      </c>
      <c r="X1803" s="2">
        <f ca="1"/>
        <v>49.590731421770869</v>
      </c>
      <c r="AG1803" s="2">
        <f ca="1"/>
        <v>0.50060267195210573</v>
      </c>
      <c r="AH1803" s="2" t="str">
        <f ca="1"/>
        <v>Bad</v>
      </c>
    </row>
    <row r="1804" spans="2:34">
      <c r="B1804" s="2">
        <f ca="1"/>
        <v>0.69930495351916178</v>
      </c>
      <c r="O1804" s="2">
        <f ca="1"/>
        <v>-1.6579118560704862</v>
      </c>
      <c r="X1804" s="2">
        <f ca="1"/>
        <v>57.029276965550331</v>
      </c>
      <c r="AG1804" s="2">
        <f ca="1"/>
        <v>0.55391690221750478</v>
      </c>
      <c r="AH1804" s="2" t="str">
        <f ca="1"/>
        <v>Bad</v>
      </c>
    </row>
    <row r="1805" spans="2:34">
      <c r="B1805" s="2">
        <f ca="1"/>
        <v>0.68095556543807367</v>
      </c>
      <c r="O1805" s="2">
        <f ca="1"/>
        <v>1.5978181462341585</v>
      </c>
      <c r="X1805" s="2">
        <f ca="1"/>
        <v>23.046261196635413</v>
      </c>
      <c r="AG1805" s="2">
        <f ca="1"/>
        <v>0.57455837611878557</v>
      </c>
      <c r="AH1805" s="2" t="str">
        <f ca="1"/>
        <v>Bad</v>
      </c>
    </row>
    <row r="1806" spans="2:34">
      <c r="B1806" s="2">
        <f ca="1"/>
        <v>0.36018638981614037</v>
      </c>
      <c r="O1806" s="2">
        <f ca="1"/>
        <v>-0.14198050878509619</v>
      </c>
      <c r="X1806" s="2">
        <f ca="1"/>
        <v>42.202700887500114</v>
      </c>
      <c r="AG1806" s="2">
        <f ca="1"/>
        <v>0.32031701378879407</v>
      </c>
      <c r="AH1806" s="2" t="str">
        <f ca="1"/>
        <v>OK</v>
      </c>
    </row>
    <row r="1807" spans="2:34">
      <c r="B1807" s="2">
        <f ca="1"/>
        <v>0.18709989467201504</v>
      </c>
      <c r="O1807" s="2">
        <f ca="1"/>
        <v>0.60542933543244848</v>
      </c>
      <c r="X1807" s="2">
        <f ca="1"/>
        <v>78.43241191943082</v>
      </c>
      <c r="AG1807" s="2">
        <f ca="1"/>
        <v>0.44419566182194004</v>
      </c>
      <c r="AH1807" s="2" t="str">
        <f ca="1"/>
        <v>Bad</v>
      </c>
    </row>
    <row r="1808" spans="2:34">
      <c r="B1808" s="2">
        <f ca="1"/>
        <v>0.9425164854077519</v>
      </c>
      <c r="O1808" s="2">
        <f ca="1"/>
        <v>-0.12078466797897221</v>
      </c>
      <c r="X1808" s="2">
        <f ca="1"/>
        <v>40.194659761408538</v>
      </c>
      <c r="AG1808" s="2">
        <f ca="1"/>
        <v>0.72231461441803191</v>
      </c>
      <c r="AH1808" s="2" t="str">
        <f ca="1"/>
        <v>Bad</v>
      </c>
    </row>
    <row r="1809" spans="2:34">
      <c r="B1809" s="2">
        <f ca="1"/>
        <v>0.38762052049930684</v>
      </c>
      <c r="O1809" s="2">
        <f ca="1"/>
        <v>0.24492283901768899</v>
      </c>
      <c r="X1809" s="2">
        <f ca="1"/>
        <v>41.040916819470169</v>
      </c>
      <c r="AG1809" s="2">
        <f ca="1"/>
        <v>0.49985008488245697</v>
      </c>
      <c r="AH1809" s="2" t="str">
        <f ca="1"/>
        <v>Bad</v>
      </c>
    </row>
    <row r="1810" spans="2:34">
      <c r="B1810" s="2">
        <f ca="1"/>
        <v>4.6527410356752119E-2</v>
      </c>
      <c r="O1810" s="2">
        <f ca="1"/>
        <v>0.54819225112341652</v>
      </c>
      <c r="X1810" s="2">
        <f ca="1"/>
        <v>42.990165010732291</v>
      </c>
      <c r="AG1810" s="2">
        <f ca="1"/>
        <v>0.60032487818119451</v>
      </c>
      <c r="AH1810" s="2" t="str">
        <f ca="1"/>
        <v>Bad</v>
      </c>
    </row>
    <row r="1811" spans="2:34">
      <c r="B1811" s="2">
        <f ca="1"/>
        <v>0.79634835349344235</v>
      </c>
      <c r="O1811" s="2">
        <f ca="1"/>
        <v>-0.47612256867035002</v>
      </c>
      <c r="X1811" s="2">
        <f ca="1"/>
        <v>68.517154642270441</v>
      </c>
      <c r="AG1811" s="2">
        <f ca="1"/>
        <v>0.3560779790107238</v>
      </c>
      <c r="AH1811" s="2" t="str">
        <f ca="1"/>
        <v>OK</v>
      </c>
    </row>
    <row r="1812" spans="2:34">
      <c r="B1812" s="2">
        <f ca="1"/>
        <v>0.12883113746687114</v>
      </c>
      <c r="O1812" s="2">
        <f ca="1"/>
        <v>0.75876605453102008</v>
      </c>
      <c r="X1812" s="2">
        <f ca="1"/>
        <v>40.789528423098304</v>
      </c>
      <c r="AG1812" s="2">
        <f ca="1"/>
        <v>0.29324137399335304</v>
      </c>
      <c r="AH1812" s="2" t="str">
        <f ca="1"/>
        <v>OK</v>
      </c>
    </row>
    <row r="1813" spans="2:34">
      <c r="B1813" s="2">
        <f ca="1"/>
        <v>0.15689425704661031</v>
      </c>
      <c r="O1813" s="2">
        <f ca="1"/>
        <v>-1.3805954304411168</v>
      </c>
      <c r="X1813" s="2">
        <f ca="1"/>
        <v>48.546502267960989</v>
      </c>
      <c r="AG1813" s="2">
        <f ca="1"/>
        <v>0.39631215635926953</v>
      </c>
      <c r="AH1813" s="2" t="str">
        <f ca="1"/>
        <v>OK</v>
      </c>
    </row>
    <row r="1814" spans="2:34">
      <c r="B1814" s="2">
        <f ca="1"/>
        <v>0.34672629415443801</v>
      </c>
      <c r="O1814" s="2">
        <f ca="1"/>
        <v>0.42578301510364425</v>
      </c>
      <c r="X1814" s="2">
        <f ca="1"/>
        <v>39.922115180079757</v>
      </c>
      <c r="AG1814" s="2">
        <f ca="1"/>
        <v>0.53383625612397423</v>
      </c>
      <c r="AH1814" s="2" t="str">
        <f ca="1"/>
        <v>Bad</v>
      </c>
    </row>
    <row r="1815" spans="2:34">
      <c r="B1815" s="2">
        <f ca="1"/>
        <v>0.23323243453127707</v>
      </c>
      <c r="O1815" s="2">
        <f ca="1"/>
        <v>-0.93510043323032666</v>
      </c>
      <c r="X1815" s="2">
        <f ca="1"/>
        <v>49.167356880606768</v>
      </c>
      <c r="AG1815" s="2">
        <f ca="1"/>
        <v>0.1988558868623882</v>
      </c>
      <c r="AH1815" s="2" t="str">
        <f ca="1"/>
        <v>OK</v>
      </c>
    </row>
    <row r="1816" spans="2:34">
      <c r="B1816" s="2">
        <f ca="1"/>
        <v>0.27300583642439147</v>
      </c>
      <c r="O1816" s="2">
        <f ca="1"/>
        <v>-1.7510884995093048</v>
      </c>
      <c r="X1816" s="2">
        <f ca="1"/>
        <v>69.833963684823459</v>
      </c>
      <c r="AG1816" s="2">
        <f ca="1"/>
        <v>0.83577441111733619</v>
      </c>
      <c r="AH1816" s="2" t="str">
        <f ca="1"/>
        <v>Bad</v>
      </c>
    </row>
    <row r="1817" spans="2:34">
      <c r="B1817" s="2">
        <f ca="1"/>
        <v>0.66291753124292652</v>
      </c>
      <c r="O1817" s="2">
        <f ca="1"/>
        <v>-0.22859441159922281</v>
      </c>
      <c r="X1817" s="2">
        <f ca="1"/>
        <v>50.223817071267248</v>
      </c>
      <c r="AG1817" s="2">
        <f ca="1"/>
        <v>0.63338719909534191</v>
      </c>
      <c r="AH1817" s="2" t="str">
        <f ca="1"/>
        <v>Bad</v>
      </c>
    </row>
    <row r="1818" spans="2:34">
      <c r="B1818" s="2">
        <f ca="1"/>
        <v>0.48989357254079646</v>
      </c>
      <c r="O1818" s="2">
        <f ca="1"/>
        <v>-2.5728128512138657E-2</v>
      </c>
      <c r="X1818" s="2">
        <f ca="1"/>
        <v>28.145381447770134</v>
      </c>
      <c r="AG1818" s="2">
        <f ca="1"/>
        <v>0.94753678701781463</v>
      </c>
      <c r="AH1818" s="2" t="str">
        <f ca="1"/>
        <v>Bad</v>
      </c>
    </row>
    <row r="1819" spans="2:34">
      <c r="B1819" s="2">
        <f ca="1"/>
        <v>0.29205443173993428</v>
      </c>
      <c r="O1819" s="2">
        <f ca="1"/>
        <v>-0.25108706227528355</v>
      </c>
      <c r="X1819" s="2">
        <f ca="1"/>
        <v>43.656400209998708</v>
      </c>
      <c r="AG1819" s="2">
        <f ca="1"/>
        <v>0.35890928554749846</v>
      </c>
      <c r="AH1819" s="2" t="str">
        <f ca="1"/>
        <v>OK</v>
      </c>
    </row>
    <row r="1820" spans="2:34">
      <c r="B1820" s="2">
        <f ca="1"/>
        <v>0.1660180577727921</v>
      </c>
      <c r="O1820" s="2">
        <f ca="1"/>
        <v>5.0081015407329378E-2</v>
      </c>
      <c r="X1820" s="2">
        <f ca="1"/>
        <v>85.122589648474445</v>
      </c>
      <c r="AG1820" s="2">
        <f ca="1"/>
        <v>0.56343471961399949</v>
      </c>
      <c r="AH1820" s="2" t="str">
        <f ca="1"/>
        <v>Bad</v>
      </c>
    </row>
    <row r="1821" spans="2:34">
      <c r="B1821" s="2">
        <f ca="1"/>
        <v>0.79400026489745557</v>
      </c>
      <c r="O1821" s="2">
        <f ca="1"/>
        <v>1.6844655079463331</v>
      </c>
      <c r="X1821" s="2">
        <f ca="1"/>
        <v>53.674554832637931</v>
      </c>
      <c r="AG1821" s="2">
        <f ca="1"/>
        <v>0.24112721559250994</v>
      </c>
      <c r="AH1821" s="2" t="str">
        <f ca="1"/>
        <v>OK</v>
      </c>
    </row>
    <row r="1822" spans="2:34">
      <c r="B1822" s="2">
        <f ca="1"/>
        <v>4.6005854392856538E-2</v>
      </c>
      <c r="O1822" s="2">
        <f ca="1"/>
        <v>-0.21914865583060825</v>
      </c>
      <c r="X1822" s="2">
        <f ca="1"/>
        <v>36.054861913079968</v>
      </c>
      <c r="AG1822" s="2">
        <f ca="1"/>
        <v>0.62631590546111737</v>
      </c>
      <c r="AH1822" s="2" t="str">
        <f ca="1"/>
        <v>Bad</v>
      </c>
    </row>
    <row r="1823" spans="2:34">
      <c r="B1823" s="2">
        <f ca="1"/>
        <v>0.28554471053536323</v>
      </c>
      <c r="O1823" s="2">
        <f ca="1"/>
        <v>-1.6240880238304647</v>
      </c>
      <c r="X1823" s="2">
        <f ca="1"/>
        <v>40.830419769345639</v>
      </c>
      <c r="AG1823" s="2">
        <f ca="1"/>
        <v>0.37793224009354986</v>
      </c>
      <c r="AH1823" s="2" t="str">
        <f ca="1"/>
        <v>OK</v>
      </c>
    </row>
    <row r="1824" spans="2:34">
      <c r="B1824" s="2">
        <f ca="1"/>
        <v>0.76329126348331111</v>
      </c>
      <c r="O1824" s="2">
        <f ca="1"/>
        <v>-0.99273401740564182</v>
      </c>
      <c r="X1824" s="2">
        <f ca="1"/>
        <v>58.696444813974253</v>
      </c>
      <c r="AG1824" s="2">
        <f ca="1"/>
        <v>0.71695229559956486</v>
      </c>
      <c r="AH1824" s="2" t="str">
        <f ca="1"/>
        <v>Bad</v>
      </c>
    </row>
    <row r="1825" spans="2:34">
      <c r="B1825" s="2">
        <f ca="1"/>
        <v>0.28147476836789509</v>
      </c>
      <c r="O1825" s="2">
        <f ca="1"/>
        <v>-0.53446106580486918</v>
      </c>
      <c r="X1825" s="2">
        <f ca="1"/>
        <v>31.471444304519849</v>
      </c>
      <c r="AG1825" s="2">
        <f ca="1"/>
        <v>0.39567402161976251</v>
      </c>
      <c r="AH1825" s="2" t="str">
        <f ca="1"/>
        <v>OK</v>
      </c>
    </row>
    <row r="1826" spans="2:34">
      <c r="B1826" s="2">
        <f ca="1"/>
        <v>0.61704719915517559</v>
      </c>
      <c r="O1826" s="2">
        <f ca="1"/>
        <v>-0.22287585185530268</v>
      </c>
      <c r="X1826" s="2">
        <f ca="1"/>
        <v>55.219261184301978</v>
      </c>
      <c r="AG1826" s="2">
        <f ca="1"/>
        <v>0.78444585146524171</v>
      </c>
      <c r="AH1826" s="2" t="str">
        <f ca="1"/>
        <v>Bad</v>
      </c>
    </row>
    <row r="1827" spans="2:34">
      <c r="B1827" s="2">
        <f ca="1"/>
        <v>0.48522339040127993</v>
      </c>
      <c r="O1827" s="2">
        <f ca="1"/>
        <v>1.2860571223947512</v>
      </c>
      <c r="X1827" s="2">
        <f ca="1"/>
        <v>68.911975112443599</v>
      </c>
      <c r="AG1827" s="2">
        <f ca="1"/>
        <v>0.94692821692027263</v>
      </c>
      <c r="AH1827" s="2" t="str">
        <f ca="1"/>
        <v>Bad</v>
      </c>
    </row>
    <row r="1828" spans="2:34">
      <c r="B1828" s="2">
        <f ca="1"/>
        <v>4.5333830544986853E-3</v>
      </c>
      <c r="O1828" s="2">
        <f ca="1"/>
        <v>1.3363331232793867</v>
      </c>
      <c r="X1828" s="2">
        <f ca="1"/>
        <v>25.153419166592535</v>
      </c>
      <c r="AG1828" s="2">
        <f ca="1"/>
        <v>0.94802675755640609</v>
      </c>
      <c r="AH1828" s="2" t="str">
        <f ca="1"/>
        <v>Bad</v>
      </c>
    </row>
    <row r="1829" spans="2:34">
      <c r="B1829" s="2">
        <f ca="1"/>
        <v>0.86465412275461984</v>
      </c>
      <c r="O1829" s="2">
        <f ca="1"/>
        <v>2.1234279720436584</v>
      </c>
      <c r="X1829" s="2">
        <f ca="1"/>
        <v>53.704797061648684</v>
      </c>
      <c r="AG1829" s="2">
        <f ca="1"/>
        <v>0.52190240292167789</v>
      </c>
      <c r="AH1829" s="2" t="str">
        <f ca="1"/>
        <v>Bad</v>
      </c>
    </row>
    <row r="1830" spans="2:34">
      <c r="B1830" s="2">
        <f ca="1"/>
        <v>0.64458722018473646</v>
      </c>
      <c r="O1830" s="2">
        <f ca="1"/>
        <v>0.56480306466461294</v>
      </c>
      <c r="X1830" s="2">
        <f ca="1"/>
        <v>113.13290767350918</v>
      </c>
      <c r="AG1830" s="2">
        <f ca="1"/>
        <v>0.34230586093848214</v>
      </c>
      <c r="AH1830" s="2" t="str">
        <f ca="1"/>
        <v>OK</v>
      </c>
    </row>
    <row r="1831" spans="2:34">
      <c r="B1831" s="2">
        <f ca="1"/>
        <v>0.82803111884828184</v>
      </c>
      <c r="O1831" s="2">
        <f ca="1"/>
        <v>-0.74518764949670113</v>
      </c>
      <c r="X1831" s="2">
        <f ca="1"/>
        <v>49.560544151940746</v>
      </c>
      <c r="AG1831" s="2">
        <f ca="1"/>
        <v>0.33625164815665731</v>
      </c>
      <c r="AH1831" s="2" t="str">
        <f ca="1"/>
        <v>OK</v>
      </c>
    </row>
    <row r="1832" spans="2:34">
      <c r="B1832" s="2">
        <f ca="1"/>
        <v>0.87143389652344072</v>
      </c>
      <c r="O1832" s="2">
        <f ca="1"/>
        <v>1.0764181845611818</v>
      </c>
      <c r="X1832" s="2">
        <f ca="1"/>
        <v>48.694617834517125</v>
      </c>
      <c r="AG1832" s="2">
        <f ca="1"/>
        <v>0.27759922393162229</v>
      </c>
      <c r="AH1832" s="2" t="str">
        <f ca="1"/>
        <v>OK</v>
      </c>
    </row>
    <row r="1833" spans="2:34">
      <c r="B1833" s="2">
        <f ca="1"/>
        <v>0.73472818699601405</v>
      </c>
      <c r="O1833" s="2">
        <f ca="1"/>
        <v>-1.7751729559038001</v>
      </c>
      <c r="X1833" s="2">
        <f ca="1"/>
        <v>32.080512540226565</v>
      </c>
      <c r="AG1833" s="2">
        <f ca="1"/>
        <v>0.37220595859248107</v>
      </c>
      <c r="AH1833" s="2" t="str">
        <f ca="1"/>
        <v>OK</v>
      </c>
    </row>
    <row r="1834" spans="2:34">
      <c r="B1834" s="2">
        <f ca="1"/>
        <v>4.5436911605773345E-2</v>
      </c>
      <c r="O1834" s="2">
        <f ca="1"/>
        <v>0.38543949315274967</v>
      </c>
      <c r="X1834" s="2">
        <f ca="1"/>
        <v>25.771114655882709</v>
      </c>
      <c r="AG1834" s="2">
        <f ca="1"/>
        <v>0.18345988854233175</v>
      </c>
      <c r="AH1834" s="2" t="str">
        <f ca="1"/>
        <v>OK</v>
      </c>
    </row>
    <row r="1835" spans="2:34">
      <c r="B1835" s="2">
        <f ca="1"/>
        <v>0.10059197060405722</v>
      </c>
      <c r="O1835" s="2">
        <f ca="1"/>
        <v>0.64047495949994859</v>
      </c>
      <c r="X1835" s="2">
        <f ca="1"/>
        <v>51.455299527506561</v>
      </c>
      <c r="AG1835" s="2">
        <f ca="1"/>
        <v>0.33603602057442128</v>
      </c>
      <c r="AH1835" s="2" t="str">
        <f ca="1"/>
        <v>OK</v>
      </c>
    </row>
    <row r="1836" spans="2:34">
      <c r="B1836" s="2">
        <f ca="1"/>
        <v>0.73518236572925777</v>
      </c>
      <c r="O1836" s="2">
        <f ca="1"/>
        <v>-0.13489582330119768</v>
      </c>
      <c r="X1836" s="2">
        <f ca="1"/>
        <v>79.211955651389559</v>
      </c>
      <c r="AG1836" s="2">
        <f ca="1"/>
        <v>0.30790398955581599</v>
      </c>
      <c r="AH1836" s="2" t="str">
        <f ca="1"/>
        <v>OK</v>
      </c>
    </row>
    <row r="1837" spans="2:34">
      <c r="B1837" s="2">
        <f ca="1"/>
        <v>0.49315154492154023</v>
      </c>
      <c r="O1837" s="2">
        <f ca="1"/>
        <v>-1.0275489145080945</v>
      </c>
      <c r="X1837" s="2">
        <f ca="1"/>
        <v>49.672536984441827</v>
      </c>
      <c r="AG1837" s="2">
        <f ca="1"/>
        <v>0.30708504140867476</v>
      </c>
      <c r="AH1837" s="2" t="str">
        <f ca="1"/>
        <v>OK</v>
      </c>
    </row>
    <row r="1838" spans="2:34">
      <c r="B1838" s="2">
        <f ca="1"/>
        <v>0.92528085539367511</v>
      </c>
      <c r="O1838" s="2">
        <f ca="1"/>
        <v>2.0585631297943761</v>
      </c>
      <c r="X1838" s="2">
        <f ca="1"/>
        <v>21.825043714820239</v>
      </c>
      <c r="AG1838" s="2">
        <f ca="1"/>
        <v>0.99296538965743841</v>
      </c>
      <c r="AH1838" s="2" t="str">
        <f ca="1"/>
        <v>Bad</v>
      </c>
    </row>
    <row r="1839" spans="2:34">
      <c r="B1839" s="2">
        <f ca="1"/>
        <v>0.10402765167013794</v>
      </c>
      <c r="O1839" s="2">
        <f ca="1"/>
        <v>-0.24414552148003021</v>
      </c>
      <c r="X1839" s="2">
        <f ca="1"/>
        <v>25.351013331440214</v>
      </c>
      <c r="AG1839" s="2">
        <f ca="1"/>
        <v>0.98252683183163314</v>
      </c>
      <c r="AH1839" s="2" t="str">
        <f ca="1"/>
        <v>Bad</v>
      </c>
    </row>
    <row r="1840" spans="2:34">
      <c r="B1840" s="2">
        <f ca="1"/>
        <v>0.26196040204690418</v>
      </c>
      <c r="O1840" s="2">
        <f ca="1"/>
        <v>1.7999074423189194</v>
      </c>
      <c r="X1840" s="2">
        <f ca="1"/>
        <v>44.485319186409313</v>
      </c>
      <c r="AG1840" s="2">
        <f ca="1"/>
        <v>0.4383591896799548</v>
      </c>
      <c r="AH1840" s="2" t="str">
        <f ca="1"/>
        <v>Bad</v>
      </c>
    </row>
    <row r="1841" spans="2:34">
      <c r="B1841" s="2">
        <f ca="1"/>
        <v>0.47468703128493583</v>
      </c>
      <c r="O1841" s="2">
        <f ca="1"/>
        <v>-1.4216566766502112</v>
      </c>
      <c r="X1841" s="2">
        <f ca="1"/>
        <v>63.285878503768458</v>
      </c>
      <c r="AG1841" s="2">
        <f ca="1"/>
        <v>0.44350408775375061</v>
      </c>
      <c r="AH1841" s="2" t="str">
        <f ca="1"/>
        <v>Bad</v>
      </c>
    </row>
    <row r="1842" spans="2:34">
      <c r="B1842" s="2">
        <f ca="1"/>
        <v>0.53194205126831062</v>
      </c>
      <c r="O1842" s="2">
        <f ca="1"/>
        <v>1.5022145939676508</v>
      </c>
      <c r="X1842" s="2">
        <f ca="1"/>
        <v>50.09873489220049</v>
      </c>
      <c r="AG1842" s="2">
        <f ca="1"/>
        <v>0.56381864337820087</v>
      </c>
      <c r="AH1842" s="2" t="str">
        <f ca="1"/>
        <v>Bad</v>
      </c>
    </row>
    <row r="1843" spans="2:34">
      <c r="B1843" s="2">
        <f ca="1"/>
        <v>0.456643618385703</v>
      </c>
      <c r="O1843" s="2">
        <f ca="1"/>
        <v>2.0863567812594203E-2</v>
      </c>
      <c r="X1843" s="2">
        <f ca="1"/>
        <v>47.987942232712271</v>
      </c>
      <c r="AG1843" s="2">
        <f ca="1"/>
        <v>0.95372479786523523</v>
      </c>
      <c r="AH1843" s="2" t="str">
        <f ca="1"/>
        <v>Bad</v>
      </c>
    </row>
    <row r="1844" spans="2:34">
      <c r="B1844" s="2">
        <f ca="1"/>
        <v>0.41117946494854962</v>
      </c>
      <c r="O1844" s="2">
        <f ca="1"/>
        <v>0.77439749175746952</v>
      </c>
      <c r="X1844" s="2">
        <f ca="1"/>
        <v>70.927761379943661</v>
      </c>
      <c r="AG1844" s="2">
        <f ca="1"/>
        <v>0.15092862022359332</v>
      </c>
      <c r="AH1844" s="2" t="str">
        <f ca="1"/>
        <v>OK</v>
      </c>
    </row>
    <row r="1845" spans="2:34">
      <c r="B1845" s="2">
        <f ca="1"/>
        <v>0.97511944705992426</v>
      </c>
      <c r="O1845" s="2">
        <f ca="1"/>
        <v>-0.70027756000707808</v>
      </c>
      <c r="X1845" s="2">
        <f ca="1"/>
        <v>53.153675006380809</v>
      </c>
      <c r="AG1845" s="2">
        <f ca="1"/>
        <v>0.27300868577724069</v>
      </c>
      <c r="AH1845" s="2" t="str">
        <f ca="1"/>
        <v>OK</v>
      </c>
    </row>
    <row r="1846" spans="2:34">
      <c r="B1846" s="2">
        <f ca="1"/>
        <v>0.38435193281905389</v>
      </c>
      <c r="O1846" s="2">
        <f ca="1"/>
        <v>0.71561786575398711</v>
      </c>
      <c r="X1846" s="2">
        <f ca="1"/>
        <v>40.426302793889846</v>
      </c>
      <c r="AG1846" s="2">
        <f ca="1"/>
        <v>0.37760422461902143</v>
      </c>
      <c r="AH1846" s="2" t="str">
        <f ca="1"/>
        <v>OK</v>
      </c>
    </row>
    <row r="1847" spans="2:34">
      <c r="B1847" s="2">
        <f ca="1"/>
        <v>0.33832207623465083</v>
      </c>
      <c r="O1847" s="2">
        <f ca="1"/>
        <v>3.1622668641832725E-2</v>
      </c>
      <c r="X1847" s="2">
        <f ca="1"/>
        <v>50.021699243572627</v>
      </c>
      <c r="AG1847" s="2">
        <f ca="1"/>
        <v>5.4589877948803656E-2</v>
      </c>
      <c r="AH1847" s="2" t="str">
        <f ca="1"/>
        <v>OK</v>
      </c>
    </row>
    <row r="1848" spans="2:34">
      <c r="B1848" s="2">
        <f ca="1"/>
        <v>0.96868634981095858</v>
      </c>
      <c r="O1848" s="2">
        <f ca="1"/>
        <v>0.95680846545655385</v>
      </c>
      <c r="X1848" s="2">
        <f ca="1"/>
        <v>52.955291937242535</v>
      </c>
      <c r="AG1848" s="2">
        <f ca="1"/>
        <v>0.8794750652655261</v>
      </c>
      <c r="AH1848" s="2" t="str">
        <f ca="1"/>
        <v>Bad</v>
      </c>
    </row>
    <row r="1849" spans="2:34">
      <c r="B1849" s="2">
        <f ca="1"/>
        <v>0.9975521123388007</v>
      </c>
      <c r="O1849" s="2">
        <f ca="1"/>
        <v>1.2631367516370278</v>
      </c>
      <c r="X1849" s="2">
        <f ca="1"/>
        <v>53.977768323620467</v>
      </c>
      <c r="AG1849" s="2">
        <f ca="1"/>
        <v>0.97716094410126719</v>
      </c>
      <c r="AH1849" s="2" t="str">
        <f ca="1"/>
        <v>Bad</v>
      </c>
    </row>
    <row r="1850" spans="2:34">
      <c r="B1850" s="2">
        <f ca="1"/>
        <v>0.51426146212896784</v>
      </c>
      <c r="O1850" s="2">
        <f ca="1"/>
        <v>-0.90361711587201476</v>
      </c>
      <c r="X1850" s="2">
        <f ca="1"/>
        <v>65.646956092221316</v>
      </c>
      <c r="AG1850" s="2">
        <f ca="1"/>
        <v>0.1393567285717161</v>
      </c>
      <c r="AH1850" s="2" t="str">
        <f ca="1"/>
        <v>OK</v>
      </c>
    </row>
    <row r="1851" spans="2:34">
      <c r="B1851" s="2">
        <f ca="1"/>
        <v>0.97151723827954539</v>
      </c>
      <c r="O1851" s="2">
        <f ca="1"/>
        <v>0.23282279578808385</v>
      </c>
      <c r="X1851" s="2">
        <f ca="1"/>
        <v>74.201086042529198</v>
      </c>
      <c r="AG1851" s="2">
        <f ca="1"/>
        <v>9.3845891795656389E-3</v>
      </c>
      <c r="AH1851" s="2" t="str">
        <f ca="1"/>
        <v>Good</v>
      </c>
    </row>
    <row r="1852" spans="2:34">
      <c r="B1852" s="2">
        <f ca="1"/>
        <v>3.6334747549270352E-2</v>
      </c>
      <c r="O1852" s="2">
        <f ca="1"/>
        <v>-0.39176246425130351</v>
      </c>
      <c r="X1852" s="2">
        <f ca="1"/>
        <v>67.473495316192754</v>
      </c>
      <c r="AG1852" s="2">
        <f ca="1"/>
        <v>0.33722082213485072</v>
      </c>
      <c r="AH1852" s="2" t="str">
        <f ca="1"/>
        <v>OK</v>
      </c>
    </row>
    <row r="1853" spans="2:34">
      <c r="B1853" s="2">
        <f ca="1"/>
        <v>0.71407842056248216</v>
      </c>
      <c r="O1853" s="2">
        <f ca="1"/>
        <v>0.38896866534387731</v>
      </c>
      <c r="X1853" s="2">
        <f ca="1"/>
        <v>32.278011918373551</v>
      </c>
      <c r="AG1853" s="2">
        <f ca="1"/>
        <v>0.39137744084553105</v>
      </c>
      <c r="AH1853" s="2" t="str">
        <f ca="1"/>
        <v>OK</v>
      </c>
    </row>
    <row r="1854" spans="2:34">
      <c r="B1854" s="2">
        <f ca="1"/>
        <v>0.85686384039455699</v>
      </c>
      <c r="O1854" s="2">
        <f ca="1"/>
        <v>-0.17530961186490332</v>
      </c>
      <c r="X1854" s="2">
        <f ca="1"/>
        <v>61.69281835682456</v>
      </c>
      <c r="AG1854" s="2">
        <f ca="1"/>
        <v>0.49388692286399594</v>
      </c>
      <c r="AH1854" s="2" t="str">
        <f ca="1"/>
        <v>Bad</v>
      </c>
    </row>
    <row r="1855" spans="2:34">
      <c r="B1855" s="2">
        <f ca="1"/>
        <v>0.80424967091469357</v>
      </c>
      <c r="O1855" s="2">
        <f ca="1"/>
        <v>-0.49860566875976892</v>
      </c>
      <c r="X1855" s="2">
        <f ca="1"/>
        <v>47.986375139037072</v>
      </c>
      <c r="AG1855" s="2">
        <f ca="1"/>
        <v>0.8601099301349564</v>
      </c>
      <c r="AH1855" s="2" t="str">
        <f ca="1"/>
        <v>Bad</v>
      </c>
    </row>
    <row r="1856" spans="2:34">
      <c r="B1856" s="2">
        <f ca="1"/>
        <v>6.5494578001006332E-2</v>
      </c>
      <c r="O1856" s="2">
        <f ca="1"/>
        <v>0.16216117107456887</v>
      </c>
      <c r="X1856" s="2">
        <f ca="1"/>
        <v>60.976344258113606</v>
      </c>
      <c r="AG1856" s="2">
        <f ca="1"/>
        <v>0.55673075602884703</v>
      </c>
      <c r="AH1856" s="2" t="str">
        <f ca="1"/>
        <v>Bad</v>
      </c>
    </row>
    <row r="1857" spans="2:34">
      <c r="B1857" s="2">
        <f ca="1"/>
        <v>0.341976195128884</v>
      </c>
      <c r="O1857" s="2">
        <f ca="1"/>
        <v>0.90017542863577049</v>
      </c>
      <c r="X1857" s="2">
        <f ca="1"/>
        <v>38.152117265886311</v>
      </c>
      <c r="AG1857" s="2">
        <f ca="1"/>
        <v>0.78919304761051334</v>
      </c>
      <c r="AH1857" s="2" t="str">
        <f ca="1"/>
        <v>Bad</v>
      </c>
    </row>
    <row r="1858" spans="2:34">
      <c r="B1858" s="2">
        <f ca="1"/>
        <v>0.8832457364573334</v>
      </c>
      <c r="O1858" s="2">
        <f ca="1"/>
        <v>-0.32284229507372031</v>
      </c>
      <c r="X1858" s="2">
        <f ca="1"/>
        <v>23.582045032218485</v>
      </c>
      <c r="AG1858" s="2">
        <f ca="1"/>
        <v>0.94320645343575582</v>
      </c>
      <c r="AH1858" s="2" t="str">
        <f ca="1"/>
        <v>Bad</v>
      </c>
    </row>
    <row r="1859" spans="2:34">
      <c r="B1859" s="2">
        <f ca="1"/>
        <v>0.59171995673999689</v>
      </c>
      <c r="O1859" s="2">
        <f ca="1"/>
        <v>-0.35602845174920189</v>
      </c>
      <c r="X1859" s="2">
        <f ca="1"/>
        <v>61.850591872065699</v>
      </c>
      <c r="AG1859" s="2">
        <f ca="1"/>
        <v>0.66318372709536488</v>
      </c>
      <c r="AH1859" s="2" t="str">
        <f ca="1"/>
        <v>Bad</v>
      </c>
    </row>
    <row r="1860" spans="2:34">
      <c r="B1860" s="2">
        <f ca="1"/>
        <v>0.36055698235079947</v>
      </c>
      <c r="O1860" s="2">
        <f ca="1"/>
        <v>0.97584018271201611</v>
      </c>
      <c r="X1860" s="2">
        <f ca="1"/>
        <v>70.516778015207279</v>
      </c>
      <c r="AG1860" s="2">
        <f ca="1"/>
        <v>0.64766303207188924</v>
      </c>
      <c r="AH1860" s="2" t="str">
        <f ca="1"/>
        <v>Bad</v>
      </c>
    </row>
    <row r="1861" spans="2:34">
      <c r="B1861" s="2">
        <f ca="1"/>
        <v>9.8530750802512612E-2</v>
      </c>
      <c r="O1861" s="2">
        <f ca="1"/>
        <v>1.6930532202995698</v>
      </c>
      <c r="X1861" s="2">
        <f ca="1"/>
        <v>76.176937555745297</v>
      </c>
      <c r="AG1861" s="2">
        <f ca="1"/>
        <v>0.19689945645439089</v>
      </c>
      <c r="AH1861" s="2" t="str">
        <f ca="1"/>
        <v>OK</v>
      </c>
    </row>
    <row r="1862" spans="2:34">
      <c r="B1862" s="2">
        <f ca="1"/>
        <v>0.60331651748236292</v>
      </c>
      <c r="O1862" s="2">
        <f ca="1"/>
        <v>-1.7909216243555857</v>
      </c>
      <c r="X1862" s="2">
        <f ca="1"/>
        <v>62.887810358755971</v>
      </c>
      <c r="AG1862" s="2">
        <f ca="1"/>
        <v>0.93884015522285491</v>
      </c>
      <c r="AH1862" s="2" t="str">
        <f ca="1"/>
        <v>Bad</v>
      </c>
    </row>
    <row r="1863" spans="2:34">
      <c r="B1863" s="2">
        <f ca="1"/>
        <v>0.76631286775322716</v>
      </c>
      <c r="O1863" s="2">
        <f ca="1"/>
        <v>0.44219294397337661</v>
      </c>
      <c r="X1863" s="2">
        <f ca="1"/>
        <v>36.442508435901487</v>
      </c>
      <c r="AG1863" s="2">
        <f ca="1"/>
        <v>0.95075086190023272</v>
      </c>
      <c r="AH1863" s="2" t="str">
        <f ca="1"/>
        <v>Bad</v>
      </c>
    </row>
    <row r="1864" spans="2:34">
      <c r="B1864" s="2">
        <f ca="1"/>
        <v>0.75506441140203484</v>
      </c>
      <c r="O1864" s="2">
        <f ca="1"/>
        <v>-1.1182213475317526</v>
      </c>
      <c r="X1864" s="2">
        <f ca="1"/>
        <v>41.10741771158574</v>
      </c>
      <c r="AG1864" s="2">
        <f ca="1"/>
        <v>0.44778421749160868</v>
      </c>
      <c r="AH1864" s="2" t="str">
        <f ca="1"/>
        <v>Bad</v>
      </c>
    </row>
    <row r="1865" spans="2:34">
      <c r="B1865" s="2">
        <f ca="1"/>
        <v>0.80157068531146614</v>
      </c>
      <c r="O1865" s="2">
        <f ca="1"/>
        <v>8.2679395610258423E-3</v>
      </c>
      <c r="X1865" s="2">
        <f ca="1"/>
        <v>27.648342037276656</v>
      </c>
      <c r="AG1865" s="2">
        <f ca="1"/>
        <v>0.10199150739366503</v>
      </c>
      <c r="AH1865" s="2" t="str">
        <f ca="1"/>
        <v>OK</v>
      </c>
    </row>
    <row r="1866" spans="2:34">
      <c r="B1866" s="2">
        <f ca="1"/>
        <v>2.2569437646013935E-3</v>
      </c>
      <c r="O1866" s="2">
        <f ca="1"/>
        <v>-0.9391852832179215</v>
      </c>
      <c r="X1866" s="2">
        <f ca="1"/>
        <v>55.274763514985104</v>
      </c>
      <c r="AG1866" s="2">
        <f ca="1"/>
        <v>0.42490412020826174</v>
      </c>
      <c r="AH1866" s="2" t="str">
        <f ca="1"/>
        <v>Bad</v>
      </c>
    </row>
    <row r="1867" spans="2:34">
      <c r="B1867" s="2">
        <f ca="1"/>
        <v>0.82402734037330938</v>
      </c>
      <c r="O1867" s="2">
        <f ca="1"/>
        <v>-0.60757611265538303</v>
      </c>
      <c r="X1867" s="2">
        <f ca="1"/>
        <v>43.150915031453259</v>
      </c>
      <c r="AG1867" s="2">
        <f ca="1"/>
        <v>6.2277146095533809E-2</v>
      </c>
      <c r="AH1867" s="2" t="str">
        <f ca="1"/>
        <v>OK</v>
      </c>
    </row>
    <row r="1868" spans="2:34">
      <c r="B1868" s="2">
        <f ca="1"/>
        <v>3.0645349691826862E-2</v>
      </c>
      <c r="O1868" s="2">
        <f ca="1"/>
        <v>-0.46333944720598941</v>
      </c>
      <c r="X1868" s="2">
        <f ca="1"/>
        <v>22.808338722267525</v>
      </c>
      <c r="AG1868" s="2">
        <f ca="1"/>
        <v>0.75616633831375313</v>
      </c>
      <c r="AH1868" s="2" t="str">
        <f ca="1"/>
        <v>Bad</v>
      </c>
    </row>
    <row r="1869" spans="2:34">
      <c r="B1869" s="2">
        <f ca="1"/>
        <v>0.85548243298388638</v>
      </c>
      <c r="O1869" s="2">
        <f ca="1"/>
        <v>-1.1372450699701255</v>
      </c>
      <c r="X1869" s="2">
        <f ca="1"/>
        <v>58.385824449692365</v>
      </c>
      <c r="AG1869" s="2">
        <f ca="1"/>
        <v>0.18113364206000271</v>
      </c>
      <c r="AH1869" s="2" t="str">
        <f ca="1"/>
        <v>OK</v>
      </c>
    </row>
    <row r="1870" spans="2:34">
      <c r="B1870" s="2">
        <f ca="1"/>
        <v>0.59621625377583642</v>
      </c>
      <c r="O1870" s="2">
        <f ca="1"/>
        <v>0.56302463055825058</v>
      </c>
      <c r="X1870" s="2">
        <f ca="1"/>
        <v>44.211594086018394</v>
      </c>
      <c r="AG1870" s="2">
        <f ca="1"/>
        <v>0.22842413693193664</v>
      </c>
      <c r="AH1870" s="2" t="str">
        <f ca="1"/>
        <v>OK</v>
      </c>
    </row>
    <row r="1871" spans="2:34">
      <c r="B1871" s="2">
        <f ca="1"/>
        <v>0.31163839988958153</v>
      </c>
      <c r="O1871" s="2">
        <f ca="1"/>
        <v>-1.4130166521654255</v>
      </c>
      <c r="X1871" s="2">
        <f ca="1"/>
        <v>53.418362565368518</v>
      </c>
      <c r="AG1871" s="2">
        <f ca="1"/>
        <v>0.56244733642413203</v>
      </c>
      <c r="AH1871" s="2" t="str">
        <f ca="1"/>
        <v>Bad</v>
      </c>
    </row>
    <row r="1872" spans="2:34">
      <c r="B1872" s="2">
        <f ca="1"/>
        <v>0.83360833886086949</v>
      </c>
      <c r="O1872" s="2">
        <f ca="1"/>
        <v>-0.80209505052218777</v>
      </c>
      <c r="X1872" s="2">
        <f ca="1"/>
        <v>56.071485271474415</v>
      </c>
      <c r="AG1872" s="2">
        <f ca="1"/>
        <v>0.80488244700969869</v>
      </c>
      <c r="AH1872" s="2" t="str">
        <f ca="1"/>
        <v>Bad</v>
      </c>
    </row>
    <row r="1873" spans="2:34">
      <c r="B1873" s="2">
        <f ca="1"/>
        <v>0.55752568267528835</v>
      </c>
      <c r="O1873" s="2">
        <f ca="1"/>
        <v>-1.2670762763422336</v>
      </c>
      <c r="X1873" s="2">
        <f ca="1"/>
        <v>40.752524827260359</v>
      </c>
      <c r="AG1873" s="2">
        <f ca="1"/>
        <v>0.77512128562865557</v>
      </c>
      <c r="AH1873" s="2" t="str">
        <f ca="1"/>
        <v>Bad</v>
      </c>
    </row>
    <row r="1874" spans="2:34">
      <c r="B1874" s="2">
        <f ca="1"/>
        <v>0.11767895305310172</v>
      </c>
      <c r="O1874" s="2">
        <f ca="1"/>
        <v>-0.65889702178370668</v>
      </c>
      <c r="X1874" s="2">
        <f ca="1"/>
        <v>35.355712852793538</v>
      </c>
      <c r="AG1874" s="2">
        <f ca="1"/>
        <v>0.51911926629841654</v>
      </c>
      <c r="AH1874" s="2" t="str">
        <f ca="1"/>
        <v>Bad</v>
      </c>
    </row>
    <row r="1875" spans="2:34">
      <c r="B1875" s="2">
        <f ca="1"/>
        <v>0.90462251264474602</v>
      </c>
      <c r="O1875" s="2">
        <f ca="1"/>
        <v>0.89950696263734098</v>
      </c>
      <c r="X1875" s="2">
        <f ca="1"/>
        <v>50.457629973087421</v>
      </c>
      <c r="AG1875" s="2">
        <f ca="1"/>
        <v>0.19848727195486804</v>
      </c>
      <c r="AH1875" s="2" t="str">
        <f ca="1"/>
        <v>OK</v>
      </c>
    </row>
    <row r="1876" spans="2:34">
      <c r="B1876" s="2">
        <f ca="1"/>
        <v>0.48863476389285876</v>
      </c>
      <c r="O1876" s="2">
        <f ca="1"/>
        <v>2.2717040238630655</v>
      </c>
      <c r="X1876" s="2">
        <f ca="1"/>
        <v>75.463543652738579</v>
      </c>
      <c r="AG1876" s="2">
        <f ca="1"/>
        <v>0.79721853972931145</v>
      </c>
      <c r="AH1876" s="2" t="str">
        <f ca="1"/>
        <v>Bad</v>
      </c>
    </row>
    <row r="1877" spans="2:34">
      <c r="B1877" s="2">
        <f ca="1"/>
        <v>0.88670192699991746</v>
      </c>
      <c r="O1877" s="2">
        <f ca="1"/>
        <v>-1.7046163296658934</v>
      </c>
      <c r="X1877" s="2">
        <f ca="1"/>
        <v>74.803311403311397</v>
      </c>
      <c r="AG1877" s="2">
        <f ca="1"/>
        <v>0.55258119531860683</v>
      </c>
      <c r="AH1877" s="2" t="str">
        <f ca="1"/>
        <v>Bad</v>
      </c>
    </row>
    <row r="1878" spans="2:34">
      <c r="B1878" s="2">
        <f ca="1"/>
        <v>0.58704597360395017</v>
      </c>
      <c r="O1878" s="2">
        <f ca="1"/>
        <v>0.42720509193405409</v>
      </c>
      <c r="X1878" s="2">
        <f ca="1"/>
        <v>35.698224009922008</v>
      </c>
      <c r="AG1878" s="2">
        <f ca="1"/>
        <v>0.4345486885524299</v>
      </c>
      <c r="AH1878" s="2" t="str">
        <f ca="1"/>
        <v>Bad</v>
      </c>
    </row>
    <row r="1879" spans="2:34">
      <c r="B1879" s="2">
        <f ca="1"/>
        <v>0.68810753464632968</v>
      </c>
      <c r="O1879" s="2">
        <f ca="1"/>
        <v>-0.22330699569858273</v>
      </c>
      <c r="X1879" s="2">
        <f ca="1"/>
        <v>38.678200597754667</v>
      </c>
      <c r="AG1879" s="2">
        <f ca="1"/>
        <v>0.82465633513273362</v>
      </c>
      <c r="AH1879" s="2" t="str">
        <f ca="1"/>
        <v>Bad</v>
      </c>
    </row>
    <row r="1880" spans="2:34">
      <c r="B1880" s="2">
        <f ca="1"/>
        <v>0.98213882027548816</v>
      </c>
      <c r="O1880" s="2">
        <f ca="1"/>
        <v>8.030096912122324E-2</v>
      </c>
      <c r="X1880" s="2">
        <f ca="1"/>
        <v>77.700985840516012</v>
      </c>
      <c r="AG1880" s="2">
        <f ca="1"/>
        <v>0.4703030941532147</v>
      </c>
      <c r="AH1880" s="2" t="str">
        <f ca="1"/>
        <v>Bad</v>
      </c>
    </row>
    <row r="1881" spans="2:34">
      <c r="B1881" s="2">
        <f ca="1"/>
        <v>0.57245603448271232</v>
      </c>
      <c r="O1881" s="2">
        <f ca="1"/>
        <v>0.50260167410505996</v>
      </c>
      <c r="X1881" s="2">
        <f ca="1"/>
        <v>54.948825524552788</v>
      </c>
      <c r="AG1881" s="2">
        <f ca="1"/>
        <v>0.17795889188149583</v>
      </c>
      <c r="AH1881" s="2" t="str">
        <f ca="1"/>
        <v>OK</v>
      </c>
    </row>
    <row r="1882" spans="2:34">
      <c r="B1882" s="2">
        <f ca="1"/>
        <v>0.75640154491401201</v>
      </c>
      <c r="O1882" s="2">
        <f ca="1"/>
        <v>-1.1517263456406597</v>
      </c>
      <c r="X1882" s="2">
        <f ca="1"/>
        <v>78.046012438112882</v>
      </c>
      <c r="AG1882" s="2">
        <f ca="1"/>
        <v>0.17861472540634904</v>
      </c>
      <c r="AH1882" s="2" t="str">
        <f ca="1"/>
        <v>OK</v>
      </c>
    </row>
    <row r="1883" spans="2:34">
      <c r="B1883" s="2">
        <f ca="1"/>
        <v>3.6253594775935705E-2</v>
      </c>
      <c r="O1883" s="2">
        <f ca="1"/>
        <v>-1.5300142772482386</v>
      </c>
      <c r="X1883" s="2">
        <f ca="1"/>
        <v>47.446687392733971</v>
      </c>
      <c r="AG1883" s="2">
        <f ca="1"/>
        <v>0.34243800312535</v>
      </c>
      <c r="AH1883" s="2" t="str">
        <f ca="1"/>
        <v>OK</v>
      </c>
    </row>
    <row r="1884" spans="2:34">
      <c r="B1884" s="2">
        <f ca="1"/>
        <v>0.55139791707052765</v>
      </c>
      <c r="O1884" s="2">
        <f ca="1"/>
        <v>-0.74289894545805901</v>
      </c>
      <c r="X1884" s="2">
        <f ca="1"/>
        <v>68.294390490777403</v>
      </c>
      <c r="AG1884" s="2">
        <f ca="1"/>
        <v>0.44776411424629936</v>
      </c>
      <c r="AH1884" s="2" t="str">
        <f ca="1"/>
        <v>Bad</v>
      </c>
    </row>
    <row r="1885" spans="2:34">
      <c r="B1885" s="2">
        <f ca="1"/>
        <v>0.63362197487176286</v>
      </c>
      <c r="O1885" s="2">
        <f ca="1"/>
        <v>-1.5535928594920596</v>
      </c>
      <c r="X1885" s="2">
        <f ca="1"/>
        <v>49.362557047345021</v>
      </c>
      <c r="AG1885" s="2">
        <f ca="1"/>
        <v>0.47106447541426077</v>
      </c>
      <c r="AH1885" s="2" t="str">
        <f ca="1"/>
        <v>Bad</v>
      </c>
    </row>
    <row r="1886" spans="2:34">
      <c r="B1886" s="2">
        <f ca="1"/>
        <v>5.8205976077196908E-2</v>
      </c>
      <c r="O1886" s="2">
        <f ca="1"/>
        <v>0.80423944987837404</v>
      </c>
      <c r="X1886" s="2">
        <f ca="1"/>
        <v>48.752458126285134</v>
      </c>
      <c r="AG1886" s="2">
        <f ca="1"/>
        <v>0.47673207166705756</v>
      </c>
      <c r="AH1886" s="2" t="str">
        <f ca="1"/>
        <v>Bad</v>
      </c>
    </row>
    <row r="1887" spans="2:34">
      <c r="B1887" s="2">
        <f ca="1"/>
        <v>0.63406402579557342</v>
      </c>
      <c r="O1887" s="2">
        <f ca="1"/>
        <v>-2.2582514242580349</v>
      </c>
      <c r="X1887" s="2">
        <f ca="1"/>
        <v>65.741679876058143</v>
      </c>
      <c r="AG1887" s="2">
        <f ca="1"/>
        <v>0.77709875935800699</v>
      </c>
      <c r="AH1887" s="2" t="str">
        <f ca="1"/>
        <v>Bad</v>
      </c>
    </row>
    <row r="1888" spans="2:34">
      <c r="B1888" s="2">
        <f ca="1"/>
        <v>0.11504929225716554</v>
      </c>
      <c r="O1888" s="2">
        <f ca="1"/>
        <v>-0.25060563612260189</v>
      </c>
      <c r="X1888" s="2">
        <f ca="1"/>
        <v>43.201325304010581</v>
      </c>
      <c r="AG1888" s="2">
        <f ca="1"/>
        <v>0.98660400607544685</v>
      </c>
      <c r="AH1888" s="2" t="str">
        <f ca="1"/>
        <v>Bad</v>
      </c>
    </row>
    <row r="1889" spans="2:34">
      <c r="B1889" s="2">
        <f ca="1"/>
        <v>0.17663284016633818</v>
      </c>
      <c r="O1889" s="2">
        <f ca="1"/>
        <v>-0.11214887429206154</v>
      </c>
      <c r="X1889" s="2">
        <f ca="1"/>
        <v>95.980687803783383</v>
      </c>
      <c r="AG1889" s="2">
        <f ca="1"/>
        <v>0.92086272760454357</v>
      </c>
      <c r="AH1889" s="2" t="str">
        <f ca="1"/>
        <v>Bad</v>
      </c>
    </row>
    <row r="1890" spans="2:34">
      <c r="B1890" s="2">
        <f ca="1"/>
        <v>0.37534654608382345</v>
      </c>
      <c r="O1890" s="2">
        <f ca="1"/>
        <v>-0.30763222566791298</v>
      </c>
      <c r="X1890" s="2">
        <f ca="1"/>
        <v>41.775627506561221</v>
      </c>
      <c r="AG1890" s="2">
        <f ca="1"/>
        <v>0.39540941593146983</v>
      </c>
      <c r="AH1890" s="2" t="str">
        <f ca="1"/>
        <v>OK</v>
      </c>
    </row>
    <row r="1891" spans="2:34">
      <c r="B1891" s="2">
        <f ca="1"/>
        <v>0.80194746469441824</v>
      </c>
      <c r="O1891" s="2">
        <f ca="1"/>
        <v>7.6169235696935331E-2</v>
      </c>
      <c r="X1891" s="2">
        <f ca="1"/>
        <v>47.019428100491865</v>
      </c>
      <c r="AG1891" s="2">
        <f ca="1"/>
        <v>0.78784952227901761</v>
      </c>
      <c r="AH1891" s="2" t="str">
        <f ca="1"/>
        <v>Bad</v>
      </c>
    </row>
    <row r="1892" spans="2:34">
      <c r="B1892" s="2">
        <f ca="1"/>
        <v>0.51937403102013424</v>
      </c>
      <c r="O1892" s="2">
        <f ca="1"/>
        <v>-2.0923536584432996</v>
      </c>
      <c r="X1892" s="2">
        <f ca="1"/>
        <v>52.47550216346842</v>
      </c>
      <c r="AG1892" s="2">
        <f ca="1"/>
        <v>0.95777951637820014</v>
      </c>
      <c r="AH1892" s="2" t="str">
        <f ca="1"/>
        <v>Bad</v>
      </c>
    </row>
    <row r="1893" spans="2:34">
      <c r="B1893" s="2">
        <f ca="1"/>
        <v>0.40092454050691817</v>
      </c>
      <c r="O1893" s="2">
        <f ca="1"/>
        <v>1.0198888459323652</v>
      </c>
      <c r="X1893" s="2">
        <f ca="1"/>
        <v>52.061050985052034</v>
      </c>
      <c r="AG1893" s="2">
        <f ca="1"/>
        <v>0.23387464513212786</v>
      </c>
      <c r="AH1893" s="2" t="str">
        <f ca="1"/>
        <v>OK</v>
      </c>
    </row>
    <row r="1894" spans="2:34">
      <c r="B1894" s="2">
        <f ca="1"/>
        <v>0.25329323613569121</v>
      </c>
      <c r="O1894" s="2">
        <f ca="1"/>
        <v>-1.1674349358340357</v>
      </c>
      <c r="X1894" s="2">
        <f ca="1"/>
        <v>57.747465947776881</v>
      </c>
      <c r="AG1894" s="2">
        <f ca="1"/>
        <v>5.1740494555561956E-2</v>
      </c>
      <c r="AH1894" s="2" t="str">
        <f ca="1"/>
        <v>OK</v>
      </c>
    </row>
    <row r="1895" spans="2:34">
      <c r="B1895" s="2">
        <f ca="1"/>
        <v>0.63417396961273753</v>
      </c>
      <c r="O1895" s="2">
        <f ca="1"/>
        <v>0.85524314030771831</v>
      </c>
      <c r="X1895" s="2">
        <f ca="1"/>
        <v>50.265875727139644</v>
      </c>
      <c r="AG1895" s="2">
        <f ca="1"/>
        <v>7.2253242108833993E-2</v>
      </c>
      <c r="AH1895" s="2" t="str">
        <f ca="1"/>
        <v>OK</v>
      </c>
    </row>
    <row r="1896" spans="2:34">
      <c r="B1896" s="2">
        <f ca="1"/>
        <v>0.62425918343507214</v>
      </c>
      <c r="O1896" s="2">
        <f ca="1"/>
        <v>0.36796547205706304</v>
      </c>
      <c r="X1896" s="2">
        <f ca="1"/>
        <v>30.053276736051441</v>
      </c>
      <c r="AG1896" s="2">
        <f ca="1"/>
        <v>0.27453264084636464</v>
      </c>
      <c r="AH1896" s="2" t="str">
        <f ca="1"/>
        <v>OK</v>
      </c>
    </row>
    <row r="1897" spans="2:34">
      <c r="B1897" s="2">
        <f ca="1"/>
        <v>0.76158663542454197</v>
      </c>
      <c r="O1897" s="2">
        <f ca="1"/>
        <v>0.35470870786913383</v>
      </c>
      <c r="X1897" s="2">
        <f ca="1"/>
        <v>82.455866371592151</v>
      </c>
      <c r="AG1897" s="2">
        <f ca="1"/>
        <v>0.98618550945299033</v>
      </c>
      <c r="AH1897" s="2" t="str">
        <f ca="1"/>
        <v>Bad</v>
      </c>
    </row>
    <row r="1898" spans="2:34">
      <c r="B1898" s="2">
        <f ca="1"/>
        <v>0.99563780696850279</v>
      </c>
      <c r="O1898" s="2">
        <f ca="1"/>
        <v>-1.0113282663950633</v>
      </c>
      <c r="X1898" s="2">
        <f ca="1"/>
        <v>73.756711065923739</v>
      </c>
      <c r="AG1898" s="2">
        <f ca="1"/>
        <v>0.82035222965807919</v>
      </c>
      <c r="AH1898" s="2" t="str">
        <f ca="1"/>
        <v>Bad</v>
      </c>
    </row>
    <row r="1899" spans="2:34">
      <c r="B1899" s="2">
        <f ca="1"/>
        <v>0.96879653698343304</v>
      </c>
      <c r="O1899" s="2">
        <f ca="1"/>
        <v>0.30231225480968316</v>
      </c>
      <c r="X1899" s="2">
        <f ca="1"/>
        <v>47.180223775650923</v>
      </c>
      <c r="AG1899" s="2">
        <f ca="1"/>
        <v>0.1243418720034255</v>
      </c>
      <c r="AH1899" s="2" t="str">
        <f ca="1"/>
        <v>OK</v>
      </c>
    </row>
    <row r="1900" spans="2:34">
      <c r="B1900" s="2">
        <f ca="1"/>
        <v>2.1286578009620749E-2</v>
      </c>
      <c r="O1900" s="2">
        <f ca="1"/>
        <v>-0.41967224156550476</v>
      </c>
      <c r="X1900" s="2">
        <f ca="1"/>
        <v>70.679014290716751</v>
      </c>
      <c r="AG1900" s="2">
        <f ca="1"/>
        <v>0.39448696344031631</v>
      </c>
      <c r="AH1900" s="2" t="str">
        <f ca="1"/>
        <v>OK</v>
      </c>
    </row>
    <row r="1901" spans="2:34">
      <c r="B1901" s="2">
        <f ca="1"/>
        <v>0.75208523230652347</v>
      </c>
      <c r="O1901" s="2">
        <f ca="1"/>
        <v>-0.25781754153751463</v>
      </c>
      <c r="X1901" s="2">
        <f ca="1"/>
        <v>65.670308816631021</v>
      </c>
      <c r="AG1901" s="2">
        <f ca="1"/>
        <v>0.77293255417512641</v>
      </c>
      <c r="AH1901" s="2" t="str">
        <f ca="1"/>
        <v>Bad</v>
      </c>
    </row>
    <row r="1902" spans="2:34">
      <c r="B1902" s="2">
        <f ca="1"/>
        <v>0.72511833832821471</v>
      </c>
      <c r="O1902" s="2">
        <f ca="1"/>
        <v>-0.87268616035766222</v>
      </c>
      <c r="X1902" s="2">
        <f ca="1"/>
        <v>49.225915408499958</v>
      </c>
      <c r="AG1902" s="2">
        <f ca="1"/>
        <v>0.91850290587420824</v>
      </c>
      <c r="AH1902" s="2" t="str">
        <f ca="1"/>
        <v>Bad</v>
      </c>
    </row>
    <row r="1903" spans="2:34">
      <c r="B1903" s="2">
        <f ca="1"/>
        <v>0.47137291520957492</v>
      </c>
      <c r="O1903" s="2">
        <f ca="1"/>
        <v>0.48527811813754196</v>
      </c>
      <c r="X1903" s="2">
        <f ca="1"/>
        <v>68.428757669753551</v>
      </c>
      <c r="AG1903" s="2">
        <f ca="1"/>
        <v>0.60895042248828113</v>
      </c>
      <c r="AH1903" s="2" t="str">
        <f ca="1"/>
        <v>Bad</v>
      </c>
    </row>
    <row r="1904" spans="2:34">
      <c r="B1904" s="2">
        <f ca="1"/>
        <v>0.23552566568265965</v>
      </c>
      <c r="O1904" s="2">
        <f ca="1"/>
        <v>-0.93811904266632196</v>
      </c>
      <c r="X1904" s="2">
        <f ca="1"/>
        <v>34.272798875052096</v>
      </c>
      <c r="AG1904" s="2">
        <f ca="1"/>
        <v>0.96343879523500631</v>
      </c>
      <c r="AH1904" s="2" t="str">
        <f ca="1"/>
        <v>Bad</v>
      </c>
    </row>
    <row r="1905" spans="2:34">
      <c r="B1905" s="2">
        <f ca="1"/>
        <v>8.5807248855936491E-2</v>
      </c>
      <c r="O1905" s="2">
        <f ca="1"/>
        <v>-0.30236058942667526</v>
      </c>
      <c r="X1905" s="2">
        <f ca="1"/>
        <v>52.258595468029696</v>
      </c>
      <c r="AG1905" s="2">
        <f ca="1"/>
        <v>0.82321331852907154</v>
      </c>
      <c r="AH1905" s="2" t="str">
        <f ca="1"/>
        <v>Bad</v>
      </c>
    </row>
    <row r="1906" spans="2:34">
      <c r="B1906" s="2">
        <f ca="1"/>
        <v>0.45256577604397163</v>
      </c>
      <c r="O1906" s="2">
        <f ca="1"/>
        <v>-0.80721225059456614</v>
      </c>
      <c r="X1906" s="2">
        <f ca="1"/>
        <v>23.207444739841151</v>
      </c>
      <c r="AG1906" s="2">
        <f ca="1"/>
        <v>0.36173135236689968</v>
      </c>
      <c r="AH1906" s="2" t="str">
        <f ca="1"/>
        <v>OK</v>
      </c>
    </row>
    <row r="1907" spans="2:34">
      <c r="B1907" s="2">
        <f ca="1"/>
        <v>0.43370221492568084</v>
      </c>
      <c r="O1907" s="2">
        <f ca="1"/>
        <v>-0.28475977601078539</v>
      </c>
      <c r="X1907" s="2">
        <f ca="1"/>
        <v>58.760152267949778</v>
      </c>
      <c r="AG1907" s="2">
        <f ca="1"/>
        <v>0.26217448790676157</v>
      </c>
      <c r="AH1907" s="2" t="str">
        <f ca="1"/>
        <v>OK</v>
      </c>
    </row>
    <row r="1908" spans="2:34">
      <c r="B1908" s="2">
        <f ca="1"/>
        <v>0.83550271609296867</v>
      </c>
      <c r="O1908" s="2">
        <f ca="1"/>
        <v>0.69429954536112704</v>
      </c>
      <c r="X1908" s="2">
        <f ca="1"/>
        <v>45.753349336257642</v>
      </c>
      <c r="AG1908" s="2">
        <f ca="1"/>
        <v>0.22078655047093942</v>
      </c>
      <c r="AH1908" s="2" t="str">
        <f ca="1"/>
        <v>OK</v>
      </c>
    </row>
    <row r="1909" spans="2:34">
      <c r="B1909" s="2">
        <f ca="1"/>
        <v>0.71914300631721018</v>
      </c>
      <c r="O1909" s="2">
        <f ca="1"/>
        <v>1.2165727587150181</v>
      </c>
      <c r="X1909" s="2">
        <f ca="1"/>
        <v>31.943558855285769</v>
      </c>
      <c r="AG1909" s="2">
        <f ca="1"/>
        <v>0.37428885350751795</v>
      </c>
      <c r="AH1909" s="2" t="str">
        <f ca="1"/>
        <v>OK</v>
      </c>
    </row>
    <row r="1910" spans="2:34">
      <c r="B1910" s="2">
        <f ca="1"/>
        <v>0.57996873880670097</v>
      </c>
      <c r="O1910" s="2">
        <f ca="1"/>
        <v>-0.87992938633002848</v>
      </c>
      <c r="X1910" s="2">
        <f ca="1"/>
        <v>70.756886130515838</v>
      </c>
      <c r="AG1910" s="2">
        <f ca="1"/>
        <v>0.80391275577827326</v>
      </c>
      <c r="AH1910" s="2" t="str">
        <f ca="1"/>
        <v>Bad</v>
      </c>
    </row>
    <row r="1911" spans="2:34">
      <c r="B1911" s="2">
        <f ca="1"/>
        <v>0.51255538556313507</v>
      </c>
      <c r="O1911" s="2">
        <f ca="1"/>
        <v>1.2708854167068646</v>
      </c>
      <c r="X1911" s="2">
        <f ca="1"/>
        <v>44.278629608410426</v>
      </c>
      <c r="AG1911" s="2">
        <f ca="1"/>
        <v>0.10245078886137748</v>
      </c>
      <c r="AH1911" s="2" t="str">
        <f ca="1"/>
        <v>OK</v>
      </c>
    </row>
    <row r="1912" spans="2:34">
      <c r="B1912" s="2">
        <f ca="1"/>
        <v>0.35071946474072746</v>
      </c>
      <c r="O1912" s="2">
        <f ca="1"/>
        <v>-1.1456324717020894</v>
      </c>
      <c r="X1912" s="2">
        <f ca="1"/>
        <v>63.216316949966121</v>
      </c>
      <c r="AG1912" s="2">
        <f ca="1"/>
        <v>0.38650485793313072</v>
      </c>
      <c r="AH1912" s="2" t="str">
        <f ca="1"/>
        <v>OK</v>
      </c>
    </row>
    <row r="1913" spans="2:34">
      <c r="B1913" s="2">
        <f ca="1"/>
        <v>0.11216047673251484</v>
      </c>
      <c r="O1913" s="2">
        <f ca="1"/>
        <v>0.40588151939474254</v>
      </c>
      <c r="X1913" s="2">
        <f ca="1"/>
        <v>27.596695886218324</v>
      </c>
      <c r="AG1913" s="2">
        <f ca="1"/>
        <v>9.9269472460416841E-2</v>
      </c>
      <c r="AH1913" s="2" t="str">
        <f ca="1"/>
        <v>OK</v>
      </c>
    </row>
    <row r="1914" spans="2:34">
      <c r="B1914" s="2">
        <f ca="1"/>
        <v>0.55974996514124364</v>
      </c>
      <c r="O1914" s="2">
        <f ca="1"/>
        <v>-2.7228485247912979</v>
      </c>
      <c r="X1914" s="2">
        <f ca="1"/>
        <v>53.464680135164159</v>
      </c>
      <c r="AG1914" s="2">
        <f ca="1"/>
        <v>0.45007321187478877</v>
      </c>
      <c r="AH1914" s="2" t="str">
        <f ca="1"/>
        <v>Bad</v>
      </c>
    </row>
    <row r="1915" spans="2:34">
      <c r="B1915" s="2">
        <f ca="1"/>
        <v>0.40619530085468791</v>
      </c>
      <c r="O1915" s="2">
        <f ca="1"/>
        <v>-0.75276359097216217</v>
      </c>
      <c r="X1915" s="2">
        <f ca="1"/>
        <v>99.070102930837592</v>
      </c>
      <c r="AG1915" s="2">
        <f ca="1"/>
        <v>2.222297282879615E-2</v>
      </c>
      <c r="AH1915" s="2" t="str">
        <f ca="1"/>
        <v>Good</v>
      </c>
    </row>
    <row r="1916" spans="2:34">
      <c r="B1916" s="2">
        <f ca="1"/>
        <v>0.60308935602892055</v>
      </c>
      <c r="O1916" s="2">
        <f ca="1"/>
        <v>0.7275552288600432</v>
      </c>
      <c r="X1916" s="2">
        <f ca="1"/>
        <v>41.718543694608869</v>
      </c>
      <c r="AG1916" s="2">
        <f ca="1"/>
        <v>0.10261285165566347</v>
      </c>
      <c r="AH1916" s="2" t="str">
        <f ca="1"/>
        <v>OK</v>
      </c>
    </row>
    <row r="1917" spans="2:34">
      <c r="B1917" s="2">
        <f ca="1"/>
        <v>0.57898047649929629</v>
      </c>
      <c r="O1917" s="2">
        <f ca="1"/>
        <v>1.6348104225418867</v>
      </c>
      <c r="X1917" s="2">
        <f ca="1"/>
        <v>63.355358432306375</v>
      </c>
      <c r="AG1917" s="2">
        <f ca="1"/>
        <v>0.67200359199367865</v>
      </c>
      <c r="AH1917" s="2" t="str">
        <f ca="1"/>
        <v>Bad</v>
      </c>
    </row>
    <row r="1918" spans="2:34">
      <c r="B1918" s="2">
        <f ca="1"/>
        <v>0.24823829428942523</v>
      </c>
      <c r="O1918" s="2">
        <f ca="1"/>
        <v>-0.98761541496271588</v>
      </c>
      <c r="X1918" s="2">
        <f ca="1"/>
        <v>73.061718176248959</v>
      </c>
      <c r="AG1918" s="2">
        <f ca="1"/>
        <v>0.85882465166850319</v>
      </c>
      <c r="AH1918" s="2" t="str">
        <f ca="1"/>
        <v>Bad</v>
      </c>
    </row>
    <row r="1919" spans="2:34">
      <c r="B1919" s="2">
        <f ca="1"/>
        <v>0.31127588018977814</v>
      </c>
      <c r="O1919" s="2">
        <f ca="1"/>
        <v>-1.6431873692371401</v>
      </c>
      <c r="X1919" s="2">
        <f ca="1"/>
        <v>40.617585658801325</v>
      </c>
      <c r="AG1919" s="2">
        <f ca="1"/>
        <v>0.20273554212482603</v>
      </c>
      <c r="AH1919" s="2" t="str">
        <f ca="1"/>
        <v>OK</v>
      </c>
    </row>
    <row r="1920" spans="2:34">
      <c r="B1920" s="2">
        <f ca="1"/>
        <v>2.9731302725491515E-2</v>
      </c>
      <c r="O1920" s="2">
        <f ca="1"/>
        <v>-1.5186296543102695</v>
      </c>
      <c r="X1920" s="2">
        <f ca="1"/>
        <v>50.409394149057874</v>
      </c>
      <c r="AG1920" s="2">
        <f ca="1"/>
        <v>0.25349950456740489</v>
      </c>
      <c r="AH1920" s="2" t="str">
        <f ca="1"/>
        <v>OK</v>
      </c>
    </row>
    <row r="1921" spans="2:34">
      <c r="B1921" s="2">
        <f ca="1"/>
        <v>0.12101020063814372</v>
      </c>
      <c r="O1921" s="2">
        <f ca="1"/>
        <v>0.46864221266828804</v>
      </c>
      <c r="X1921" s="2">
        <f ca="1"/>
        <v>48.136877134719526</v>
      </c>
      <c r="AG1921" s="2">
        <f ca="1"/>
        <v>0.76877143178517704</v>
      </c>
      <c r="AH1921" s="2" t="str">
        <f ca="1"/>
        <v>Bad</v>
      </c>
    </row>
    <row r="1922" spans="2:34">
      <c r="B1922" s="2">
        <f ca="1"/>
        <v>0.33415143955447468</v>
      </c>
      <c r="O1922" s="2">
        <f ca="1"/>
        <v>-1.3400550204777855</v>
      </c>
      <c r="X1922" s="2">
        <f ca="1"/>
        <v>45.106943042782575</v>
      </c>
      <c r="AG1922" s="2">
        <f ca="1"/>
        <v>0.68697475851802481</v>
      </c>
      <c r="AH1922" s="2" t="str">
        <f ca="1"/>
        <v>Bad</v>
      </c>
    </row>
    <row r="1923" spans="2:34">
      <c r="B1923" s="2">
        <f ca="1"/>
        <v>0.70436818786319844</v>
      </c>
      <c r="O1923" s="2">
        <f ca="1"/>
        <v>7.2544586502566758E-3</v>
      </c>
      <c r="X1923" s="2">
        <f ca="1"/>
        <v>42.756629171981771</v>
      </c>
      <c r="AG1923" s="2">
        <f ca="1"/>
        <v>0.44777596833996425</v>
      </c>
      <c r="AH1923" s="2" t="str">
        <f ca="1"/>
        <v>Bad</v>
      </c>
    </row>
    <row r="1924" spans="2:34">
      <c r="B1924" s="2">
        <f ca="1"/>
        <v>6.9560082236657106E-2</v>
      </c>
      <c r="O1924" s="2">
        <f ca="1"/>
        <v>0.67877170068065418</v>
      </c>
      <c r="X1924" s="2">
        <f ca="1"/>
        <v>41.594067558740313</v>
      </c>
      <c r="AG1924" s="2">
        <f ca="1"/>
        <v>7.3240835376502389E-3</v>
      </c>
      <c r="AH1924" s="2" t="str">
        <f ca="1"/>
        <v>Good</v>
      </c>
    </row>
    <row r="1925" spans="2:34">
      <c r="B1925" s="2">
        <f ca="1"/>
        <v>0.43910080552279451</v>
      </c>
      <c r="O1925" s="2">
        <f ca="1"/>
        <v>-1.442552382910385</v>
      </c>
      <c r="X1925" s="2">
        <f ca="1"/>
        <v>63.509274608328155</v>
      </c>
      <c r="AG1925" s="2">
        <f ca="1"/>
        <v>1.9527191866970384E-3</v>
      </c>
      <c r="AH1925" s="2" t="str">
        <f ca="1"/>
        <v>Good</v>
      </c>
    </row>
    <row r="1926" spans="2:34">
      <c r="B1926" s="2">
        <f ca="1"/>
        <v>0.77292078331111469</v>
      </c>
      <c r="O1926" s="2">
        <f ca="1"/>
        <v>-0.36004916488114413</v>
      </c>
      <c r="X1926" s="2">
        <f ca="1"/>
        <v>20.824887683835254</v>
      </c>
      <c r="AG1926" s="2">
        <f ca="1"/>
        <v>0.53016986678781275</v>
      </c>
      <c r="AH1926" s="2" t="str">
        <f ca="1"/>
        <v>Bad</v>
      </c>
    </row>
    <row r="1927" spans="2:34">
      <c r="B1927" s="2">
        <f ca="1"/>
        <v>0.69248804391755248</v>
      </c>
      <c r="O1927" s="2">
        <f ca="1"/>
        <v>-0.36683437800229779</v>
      </c>
      <c r="X1927" s="2">
        <f ca="1"/>
        <v>26.45400712536787</v>
      </c>
      <c r="AG1927" s="2">
        <f ca="1"/>
        <v>0.54784297646393343</v>
      </c>
      <c r="AH1927" s="2" t="str">
        <f ca="1"/>
        <v>Bad</v>
      </c>
    </row>
    <row r="1928" spans="2:34">
      <c r="B1928" s="2">
        <f ca="1"/>
        <v>6.9157610980957296E-2</v>
      </c>
      <c r="O1928" s="2">
        <f ca="1"/>
        <v>-0.98270919487784603</v>
      </c>
      <c r="X1928" s="2">
        <f ca="1"/>
        <v>58.324014998768604</v>
      </c>
      <c r="AG1928" s="2">
        <f ca="1"/>
        <v>0.42524493118434159</v>
      </c>
      <c r="AH1928" s="2" t="str">
        <f ca="1"/>
        <v>Bad</v>
      </c>
    </row>
    <row r="1929" spans="2:34">
      <c r="B1929" s="2">
        <f ca="1"/>
        <v>0.30106380975534197</v>
      </c>
      <c r="O1929" s="2">
        <f ca="1"/>
        <v>-0.75567790511423716</v>
      </c>
      <c r="X1929" s="2">
        <f ca="1"/>
        <v>34.174829823342364</v>
      </c>
      <c r="AG1929" s="2">
        <f ca="1"/>
        <v>0.84874273327141836</v>
      </c>
      <c r="AH1929" s="2" t="str">
        <f ca="1"/>
        <v>Bad</v>
      </c>
    </row>
    <row r="1930" spans="2:34">
      <c r="B1930" s="2">
        <f ca="1"/>
        <v>0.8316535923952959</v>
      </c>
      <c r="O1930" s="2">
        <f ca="1"/>
        <v>-0.93505666953169186</v>
      </c>
      <c r="X1930" s="2">
        <f ca="1"/>
        <v>52.261512744757262</v>
      </c>
      <c r="AG1930" s="2">
        <f ca="1"/>
        <v>0.11945864063488387</v>
      </c>
      <c r="AH1930" s="2" t="str">
        <f ca="1"/>
        <v>OK</v>
      </c>
    </row>
    <row r="1931" spans="2:34">
      <c r="B1931" s="2">
        <f ca="1"/>
        <v>0.80289817006492181</v>
      </c>
      <c r="O1931" s="2">
        <f ca="1"/>
        <v>0.33072717377221944</v>
      </c>
      <c r="X1931" s="2">
        <f ca="1"/>
        <v>76.804120254893164</v>
      </c>
      <c r="AG1931" s="2">
        <f ca="1"/>
        <v>0.22341203383958286</v>
      </c>
      <c r="AH1931" s="2" t="str">
        <f ca="1"/>
        <v>OK</v>
      </c>
    </row>
    <row r="1932" spans="2:34">
      <c r="B1932" s="2">
        <f ca="1"/>
        <v>0.13721743033226219</v>
      </c>
      <c r="O1932" s="2">
        <f ca="1"/>
        <v>-0.71229520925660483</v>
      </c>
      <c r="X1932" s="2">
        <f ca="1"/>
        <v>48.981094851207857</v>
      </c>
      <c r="AG1932" s="2">
        <f ca="1"/>
        <v>0.26069082258878096</v>
      </c>
      <c r="AH1932" s="2" t="str">
        <f ca="1"/>
        <v>OK</v>
      </c>
    </row>
    <row r="1933" spans="2:34">
      <c r="B1933" s="2">
        <f ca="1"/>
        <v>6.2788439034786592E-2</v>
      </c>
      <c r="O1933" s="2">
        <f ca="1"/>
        <v>0.10049327063257471</v>
      </c>
      <c r="X1933" s="2">
        <f ca="1"/>
        <v>37.855547779758922</v>
      </c>
      <c r="AG1933" s="2">
        <f ca="1"/>
        <v>0.38055758604359546</v>
      </c>
      <c r="AH1933" s="2" t="str">
        <f ca="1"/>
        <v>OK</v>
      </c>
    </row>
    <row r="1934" spans="2:34">
      <c r="B1934" s="2">
        <f ca="1"/>
        <v>0.17968908880186918</v>
      </c>
      <c r="O1934" s="2">
        <f ca="1"/>
        <v>1.7892230020617892</v>
      </c>
      <c r="X1934" s="2">
        <f ca="1"/>
        <v>35.819762483220828</v>
      </c>
      <c r="AG1934" s="2">
        <f ca="1"/>
        <v>0.59292010073571255</v>
      </c>
      <c r="AH1934" s="2" t="str">
        <f ca="1"/>
        <v>Bad</v>
      </c>
    </row>
    <row r="1935" spans="2:34">
      <c r="B1935" s="2">
        <f ca="1"/>
        <v>0.14474913836993597</v>
      </c>
      <c r="O1935" s="2">
        <f ca="1"/>
        <v>0.34675705433283205</v>
      </c>
      <c r="X1935" s="2">
        <f ca="1"/>
        <v>48.275015238169772</v>
      </c>
      <c r="AG1935" s="2">
        <f ca="1"/>
        <v>0.85017921535456353</v>
      </c>
      <c r="AH1935" s="2" t="str">
        <f ca="1"/>
        <v>Bad</v>
      </c>
    </row>
    <row r="1936" spans="2:34">
      <c r="B1936" s="2">
        <f ca="1"/>
        <v>0.27374551787281631</v>
      </c>
      <c r="O1936" s="2">
        <f ca="1"/>
        <v>1.6574413541216055</v>
      </c>
      <c r="X1936" s="2">
        <f ca="1"/>
        <v>45.058070375610832</v>
      </c>
      <c r="AG1936" s="2">
        <f ca="1"/>
        <v>5.027947562493873E-2</v>
      </c>
      <c r="AH1936" s="2" t="str">
        <f ca="1"/>
        <v>OK</v>
      </c>
    </row>
    <row r="1937" spans="2:34">
      <c r="B1937" s="2">
        <f ca="1"/>
        <v>9.2062154665765616E-2</v>
      </c>
      <c r="O1937" s="2">
        <f ca="1"/>
        <v>-0.69898711076311348</v>
      </c>
      <c r="X1937" s="2">
        <f ca="1"/>
        <v>54.762495019442909</v>
      </c>
      <c r="AG1937" s="2">
        <f ca="1"/>
        <v>0.46667810328214876</v>
      </c>
      <c r="AH1937" s="2" t="str">
        <f ca="1"/>
        <v>Bad</v>
      </c>
    </row>
    <row r="1938" spans="2:34">
      <c r="B1938" s="2">
        <f ca="1"/>
        <v>2.7283366905358486E-2</v>
      </c>
      <c r="O1938" s="2">
        <f ca="1"/>
        <v>-1.5209551852351102</v>
      </c>
      <c r="X1938" s="2">
        <f ca="1"/>
        <v>45.387107603144358</v>
      </c>
      <c r="AG1938" s="2">
        <f ca="1"/>
        <v>0.94971507565277324</v>
      </c>
      <c r="AH1938" s="2" t="str">
        <f ca="1"/>
        <v>Bad</v>
      </c>
    </row>
    <row r="1939" spans="2:34">
      <c r="B1939" s="2">
        <f ca="1"/>
        <v>0.29540033895887241</v>
      </c>
      <c r="O1939" s="2">
        <f ca="1"/>
        <v>-0.70332333078807241</v>
      </c>
      <c r="X1939" s="2">
        <f ca="1"/>
        <v>73.819821311596172</v>
      </c>
      <c r="AG1939" s="2">
        <f ca="1"/>
        <v>0.56694926258789269</v>
      </c>
      <c r="AH1939" s="2" t="str">
        <f ca="1"/>
        <v>Bad</v>
      </c>
    </row>
    <row r="1940" spans="2:34">
      <c r="B1940" s="2">
        <f ca="1"/>
        <v>0.80537659072475587</v>
      </c>
      <c r="O1940" s="2">
        <f ca="1"/>
        <v>-0.64433577427404054</v>
      </c>
      <c r="X1940" s="2">
        <f ca="1"/>
        <v>43.471784337910869</v>
      </c>
      <c r="AG1940" s="2">
        <f ca="1"/>
        <v>0.54251257173580258</v>
      </c>
      <c r="AH1940" s="2" t="str">
        <f ca="1"/>
        <v>Bad</v>
      </c>
    </row>
    <row r="1941" spans="2:34">
      <c r="B1941" s="2">
        <f ca="1"/>
        <v>0.26461350914684534</v>
      </c>
      <c r="O1941" s="2">
        <f ca="1"/>
        <v>1.9350132678406389</v>
      </c>
      <c r="X1941" s="2">
        <f ca="1"/>
        <v>58.383646354761325</v>
      </c>
      <c r="AG1941" s="2">
        <f ca="1"/>
        <v>0.88046904078991184</v>
      </c>
      <c r="AH1941" s="2" t="str">
        <f ca="1"/>
        <v>Bad</v>
      </c>
    </row>
    <row r="1942" spans="2:34">
      <c r="B1942" s="2">
        <f ca="1"/>
        <v>0.71790930501058048</v>
      </c>
      <c r="O1942" s="2">
        <f ca="1"/>
        <v>1.505039994239721</v>
      </c>
      <c r="X1942" s="2">
        <f ca="1"/>
        <v>67.98840929152621</v>
      </c>
      <c r="AG1942" s="2">
        <f ca="1"/>
        <v>0.78697625028399121</v>
      </c>
      <c r="AH1942" s="2" t="str">
        <f ca="1"/>
        <v>Bad</v>
      </c>
    </row>
    <row r="1943" spans="2:34">
      <c r="B1943" s="2">
        <f ca="1"/>
        <v>0.33703468196480979</v>
      </c>
      <c r="O1943" s="2">
        <f ca="1"/>
        <v>-0.64389620445029028</v>
      </c>
      <c r="X1943" s="2">
        <f ca="1"/>
        <v>39.340672703610636</v>
      </c>
      <c r="AG1943" s="2">
        <f ca="1"/>
        <v>0.416153843911933</v>
      </c>
      <c r="AH1943" s="2" t="str">
        <f ca="1"/>
        <v>Bad</v>
      </c>
    </row>
    <row r="1944" spans="2:34">
      <c r="B1944" s="2">
        <f ca="1"/>
        <v>0.56720753203549612</v>
      </c>
      <c r="O1944" s="2">
        <f ca="1"/>
        <v>0.91891944775356638</v>
      </c>
      <c r="X1944" s="2">
        <f ca="1"/>
        <v>46.443329918686558</v>
      </c>
      <c r="AG1944" s="2">
        <f ca="1"/>
        <v>0.43627516650432141</v>
      </c>
      <c r="AH1944" s="2" t="str">
        <f ca="1"/>
        <v>Bad</v>
      </c>
    </row>
    <row r="1945" spans="2:34">
      <c r="B1945" s="2">
        <f ca="1"/>
        <v>5.1596265378652806E-3</v>
      </c>
      <c r="O1945" s="2">
        <f ca="1"/>
        <v>0.69559164981580601</v>
      </c>
      <c r="X1945" s="2">
        <f ca="1"/>
        <v>50.482597684179922</v>
      </c>
      <c r="AG1945" s="2">
        <f ca="1"/>
        <v>0.70258466390035412</v>
      </c>
      <c r="AH1945" s="2" t="str">
        <f ca="1"/>
        <v>Bad</v>
      </c>
    </row>
    <row r="1946" spans="2:34">
      <c r="B1946" s="2">
        <f ca="1"/>
        <v>0.29027607838113112</v>
      </c>
      <c r="O1946" s="2">
        <f ca="1"/>
        <v>-0.26631329784157387</v>
      </c>
      <c r="X1946" s="2">
        <f ca="1"/>
        <v>92.934742386477865</v>
      </c>
      <c r="AG1946" s="2">
        <f ca="1"/>
        <v>0.43492189324999653</v>
      </c>
      <c r="AH1946" s="2" t="str">
        <f ca="1"/>
        <v>Bad</v>
      </c>
    </row>
    <row r="1947" spans="2:34">
      <c r="B1947" s="2">
        <f ca="1"/>
        <v>0.7541976278898761</v>
      </c>
      <c r="O1947" s="2">
        <f ca="1"/>
        <v>-0.16458660012752019</v>
      </c>
      <c r="X1947" s="2">
        <f ca="1"/>
        <v>35.760771168779705</v>
      </c>
      <c r="AG1947" s="2">
        <f ca="1"/>
        <v>0.38725516842231844</v>
      </c>
      <c r="AH1947" s="2" t="str">
        <f ca="1"/>
        <v>OK</v>
      </c>
    </row>
    <row r="1948" spans="2:34">
      <c r="B1948" s="2">
        <f ca="1"/>
        <v>6.6090025691276422E-2</v>
      </c>
      <c r="O1948" s="2">
        <f ca="1"/>
        <v>-0.16697233638666553</v>
      </c>
      <c r="X1948" s="2">
        <f ca="1"/>
        <v>64.538153635946585</v>
      </c>
      <c r="AG1948" s="2">
        <f ca="1"/>
        <v>0.59354399062248731</v>
      </c>
      <c r="AH1948" s="2" t="str">
        <f ca="1"/>
        <v>Bad</v>
      </c>
    </row>
    <row r="1949" spans="2:34">
      <c r="B1949" s="2">
        <f ca="1"/>
        <v>0.53452010360182345</v>
      </c>
      <c r="O1949" s="2">
        <f ca="1"/>
        <v>-1.1737771648157367</v>
      </c>
      <c r="X1949" s="2">
        <f ca="1"/>
        <v>61.59378020838539</v>
      </c>
      <c r="AG1949" s="2">
        <f ca="1"/>
        <v>0.15978154622844376</v>
      </c>
      <c r="AH1949" s="2" t="str">
        <f ca="1"/>
        <v>OK</v>
      </c>
    </row>
    <row r="1950" spans="2:34">
      <c r="B1950" s="2">
        <f ca="1"/>
        <v>0.26867486130521989</v>
      </c>
      <c r="O1950" s="2">
        <f ca="1"/>
        <v>0.97633051320028807</v>
      </c>
      <c r="X1950" s="2">
        <f ca="1"/>
        <v>35.296635972093313</v>
      </c>
      <c r="AG1950" s="2">
        <f ca="1"/>
        <v>0.55961713809151625</v>
      </c>
      <c r="AH1950" s="2" t="str">
        <f ca="1"/>
        <v>Bad</v>
      </c>
    </row>
    <row r="1951" spans="2:34">
      <c r="B1951" s="2">
        <f ca="1"/>
        <v>0.68539768553299929</v>
      </c>
      <c r="O1951" s="2">
        <f ca="1"/>
        <v>1.2127794087963952</v>
      </c>
      <c r="X1951" s="2">
        <f ca="1"/>
        <v>35.685757384811843</v>
      </c>
      <c r="AG1951" s="2">
        <f ca="1"/>
        <v>0.26280102050471243</v>
      </c>
      <c r="AH1951" s="2" t="str">
        <f ca="1"/>
        <v>OK</v>
      </c>
    </row>
    <row r="1952" spans="2:34">
      <c r="B1952" s="2">
        <f ca="1"/>
        <v>0.52744477398336698</v>
      </c>
      <c r="O1952" s="2">
        <f ca="1"/>
        <v>3.9100174177098351E-2</v>
      </c>
      <c r="X1952" s="2">
        <f ca="1"/>
        <v>52.789596761672897</v>
      </c>
      <c r="AG1952" s="2">
        <f ca="1"/>
        <v>0.86223933287852073</v>
      </c>
      <c r="AH1952" s="2" t="str">
        <f ca="1"/>
        <v>Bad</v>
      </c>
    </row>
    <row r="1953" spans="2:34">
      <c r="B1953" s="2">
        <f ca="1"/>
        <v>0.22034972308730971</v>
      </c>
      <c r="O1953" s="2">
        <f ca="1"/>
        <v>1.8387019704373702</v>
      </c>
      <c r="X1953" s="2">
        <f ca="1"/>
        <v>35.610739136987966</v>
      </c>
      <c r="AG1953" s="2">
        <f ca="1"/>
        <v>0.18487190554593047</v>
      </c>
      <c r="AH1953" s="2" t="str">
        <f ca="1"/>
        <v>OK</v>
      </c>
    </row>
    <row r="1954" spans="2:34">
      <c r="B1954" s="2">
        <f ca="1"/>
        <v>0.2038784238705651</v>
      </c>
      <c r="O1954" s="2">
        <f ca="1"/>
        <v>-0.25411059251830626</v>
      </c>
      <c r="X1954" s="2">
        <f ca="1"/>
        <v>39.570252993697977</v>
      </c>
      <c r="AG1954" s="2">
        <f ca="1"/>
        <v>0.71295272582959202</v>
      </c>
      <c r="AH1954" s="2" t="str">
        <f ca="1"/>
        <v>Bad</v>
      </c>
    </row>
    <row r="1955" spans="2:34">
      <c r="B1955" s="2">
        <f ca="1"/>
        <v>0.81777350957299411</v>
      </c>
      <c r="O1955" s="2">
        <f ca="1"/>
        <v>-0.16407604676384549</v>
      </c>
      <c r="X1955" s="2">
        <f ca="1"/>
        <v>62.041487209549011</v>
      </c>
      <c r="AG1955" s="2">
        <f ca="1"/>
        <v>0.99987380160639439</v>
      </c>
      <c r="AH1955" s="2" t="str">
        <f ca="1"/>
        <v>Bad</v>
      </c>
    </row>
    <row r="1956" spans="2:34">
      <c r="B1956" s="2">
        <f ca="1"/>
        <v>0.46308050223215691</v>
      </c>
      <c r="O1956" s="2">
        <f ca="1"/>
        <v>-0.22589363021147915</v>
      </c>
      <c r="X1956" s="2">
        <f ca="1"/>
        <v>48.889064243068539</v>
      </c>
      <c r="AG1956" s="2">
        <f ca="1"/>
        <v>0.40822009741529519</v>
      </c>
      <c r="AH1956" s="2" t="str">
        <f ca="1"/>
        <v>Bad</v>
      </c>
    </row>
    <row r="1957" spans="2:34">
      <c r="B1957" s="2">
        <f ca="1"/>
        <v>0.99316111269758944</v>
      </c>
      <c r="O1957" s="2">
        <f ca="1"/>
        <v>-0.16142537697854847</v>
      </c>
      <c r="X1957" s="2">
        <f ca="1"/>
        <v>64.59235203567674</v>
      </c>
      <c r="AG1957" s="2">
        <f ca="1"/>
        <v>0.5905081384116786</v>
      </c>
      <c r="AH1957" s="2" t="str">
        <f ca="1"/>
        <v>Bad</v>
      </c>
    </row>
    <row r="1958" spans="2:34">
      <c r="B1958" s="2">
        <f ca="1"/>
        <v>0.4424312538058317</v>
      </c>
      <c r="O1958" s="2">
        <f ca="1"/>
        <v>-1.3942904839697556</v>
      </c>
      <c r="X1958" s="2">
        <f ca="1"/>
        <v>70.733578804326598</v>
      </c>
      <c r="AG1958" s="2">
        <f ca="1"/>
        <v>0.56264256753166908</v>
      </c>
      <c r="AH1958" s="2" t="str">
        <f ca="1"/>
        <v>Bad</v>
      </c>
    </row>
    <row r="1959" spans="2:34">
      <c r="B1959" s="2">
        <f ca="1"/>
        <v>8.1991706365065031E-2</v>
      </c>
      <c r="O1959" s="2">
        <f ca="1"/>
        <v>1.8521147326251155</v>
      </c>
      <c r="X1959" s="2">
        <f ca="1"/>
        <v>48.663887693076504</v>
      </c>
      <c r="AG1959" s="2">
        <f ca="1"/>
        <v>0.51467138744191421</v>
      </c>
      <c r="AH1959" s="2" t="str">
        <f ca="1"/>
        <v>Bad</v>
      </c>
    </row>
    <row r="1960" spans="2:34">
      <c r="B1960" s="2">
        <f ca="1"/>
        <v>0.54239603066145214</v>
      </c>
      <c r="O1960" s="2">
        <f ca="1"/>
        <v>-2.4528387159705844</v>
      </c>
      <c r="X1960" s="2">
        <f ca="1"/>
        <v>44.294345419667877</v>
      </c>
      <c r="AG1960" s="2">
        <f ca="1"/>
        <v>0.51679742500058801</v>
      </c>
      <c r="AH1960" s="2" t="str">
        <f ca="1"/>
        <v>Bad</v>
      </c>
    </row>
    <row r="1961" spans="2:34">
      <c r="B1961" s="2">
        <f ca="1"/>
        <v>0.62085999617159215</v>
      </c>
      <c r="O1961" s="2">
        <f ca="1"/>
        <v>1.0101565852480321</v>
      </c>
      <c r="X1961" s="2">
        <f ca="1"/>
        <v>46.468406421656887</v>
      </c>
      <c r="AG1961" s="2">
        <f ca="1"/>
        <v>0.18138977162900649</v>
      </c>
      <c r="AH1961" s="2" t="str">
        <f ca="1"/>
        <v>OK</v>
      </c>
    </row>
    <row r="1962" spans="2:34">
      <c r="B1962" s="2">
        <f ca="1"/>
        <v>0.73141716434189075</v>
      </c>
      <c r="O1962" s="2">
        <f ca="1"/>
        <v>-1.3067752422478045</v>
      </c>
      <c r="X1962" s="2">
        <f ca="1"/>
        <v>49.490482977339482</v>
      </c>
      <c r="AG1962" s="2">
        <f ca="1"/>
        <v>0.4853717401534372</v>
      </c>
      <c r="AH1962" s="2" t="str">
        <f ca="1"/>
        <v>Bad</v>
      </c>
    </row>
    <row r="1963" spans="2:34">
      <c r="B1963" s="2">
        <f ca="1"/>
        <v>0.76107021791925256</v>
      </c>
      <c r="O1963" s="2">
        <f ca="1"/>
        <v>-1.8884975311297416</v>
      </c>
      <c r="X1963" s="2">
        <f ca="1"/>
        <v>70.9960325954316</v>
      </c>
      <c r="AG1963" s="2">
        <f ca="1"/>
        <v>0.74715099128543794</v>
      </c>
      <c r="AH1963" s="2" t="str">
        <f ca="1"/>
        <v>Bad</v>
      </c>
    </row>
    <row r="1964" spans="2:34">
      <c r="B1964" s="2">
        <f ca="1"/>
        <v>0.9323686278371881</v>
      </c>
      <c r="O1964" s="2">
        <f ca="1"/>
        <v>-0.82009133686536084</v>
      </c>
      <c r="X1964" s="2">
        <f ca="1"/>
        <v>75.330232785308198</v>
      </c>
      <c r="AG1964" s="2">
        <f ca="1"/>
        <v>0.21439554255962867</v>
      </c>
      <c r="AH1964" s="2" t="str">
        <f ca="1"/>
        <v>OK</v>
      </c>
    </row>
    <row r="1965" spans="2:34">
      <c r="B1965" s="2">
        <f ca="1"/>
        <v>0.92735352300495366</v>
      </c>
      <c r="O1965" s="2">
        <f ca="1"/>
        <v>-1.7297211743274792</v>
      </c>
      <c r="X1965" s="2">
        <f ca="1"/>
        <v>48.120379351580596</v>
      </c>
      <c r="AG1965" s="2">
        <f ca="1"/>
        <v>0.94357397977702884</v>
      </c>
      <c r="AH1965" s="2" t="str">
        <f ca="1"/>
        <v>Bad</v>
      </c>
    </row>
    <row r="1966" spans="2:34">
      <c r="B1966" s="2">
        <f ca="1"/>
        <v>0.43355550755508321</v>
      </c>
      <c r="O1966" s="2">
        <f ca="1"/>
        <v>-1.0978854473025621</v>
      </c>
      <c r="X1966" s="2">
        <f ca="1"/>
        <v>46.931076252813789</v>
      </c>
      <c r="AG1966" s="2">
        <f ca="1"/>
        <v>0.99115011565340194</v>
      </c>
      <c r="AH1966" s="2" t="str">
        <f ca="1"/>
        <v>Bad</v>
      </c>
    </row>
    <row r="1967" spans="2:34">
      <c r="B1967" s="2">
        <f ca="1"/>
        <v>0.78920604714149989</v>
      </c>
      <c r="O1967" s="2">
        <f ca="1"/>
        <v>1.5877773008359632</v>
      </c>
      <c r="X1967" s="2">
        <f ca="1"/>
        <v>54.470053927081345</v>
      </c>
      <c r="AG1967" s="2">
        <f ca="1"/>
        <v>0.76508594266237751</v>
      </c>
      <c r="AH1967" s="2" t="str">
        <f ca="1"/>
        <v>Bad</v>
      </c>
    </row>
    <row r="1968" spans="2:34">
      <c r="B1968" s="2">
        <f ca="1"/>
        <v>0.89940813070963199</v>
      </c>
      <c r="O1968" s="2">
        <f ca="1"/>
        <v>-1.4828464324034902</v>
      </c>
      <c r="X1968" s="2">
        <f ca="1"/>
        <v>55.254628237303073</v>
      </c>
      <c r="AG1968" s="2">
        <f ca="1"/>
        <v>0.97035256228102074</v>
      </c>
      <c r="AH1968" s="2" t="str">
        <f ca="1"/>
        <v>Bad</v>
      </c>
    </row>
    <row r="1969" spans="2:34">
      <c r="B1969" s="2">
        <f ca="1"/>
        <v>0.15376215094087686</v>
      </c>
      <c r="O1969" s="2">
        <f ca="1"/>
        <v>6.8725278083959035E-2</v>
      </c>
      <c r="X1969" s="2">
        <f ca="1"/>
        <v>40.840213523174171</v>
      </c>
      <c r="AG1969" s="2">
        <f ca="1"/>
        <v>0.11715616526246952</v>
      </c>
      <c r="AH1969" s="2" t="str">
        <f ca="1"/>
        <v>OK</v>
      </c>
    </row>
    <row r="1970" spans="2:34">
      <c r="B1970" s="2">
        <f ca="1"/>
        <v>0.21671083774999955</v>
      </c>
      <c r="O1970" s="2">
        <f ca="1"/>
        <v>1.4347628033154645</v>
      </c>
      <c r="X1970" s="2">
        <f ca="1"/>
        <v>28.05517689755888</v>
      </c>
      <c r="AG1970" s="2">
        <f ca="1"/>
        <v>0.8435203385224499</v>
      </c>
      <c r="AH1970" s="2" t="str">
        <f ca="1"/>
        <v>Bad</v>
      </c>
    </row>
    <row r="1971" spans="2:34">
      <c r="B1971" s="2">
        <f ca="1"/>
        <v>0.73083357116356651</v>
      </c>
      <c r="O1971" s="2">
        <f ca="1"/>
        <v>1.2487871274191735</v>
      </c>
      <c r="X1971" s="2">
        <f ca="1"/>
        <v>19.580580697120503</v>
      </c>
      <c r="AG1971" s="2">
        <f ca="1"/>
        <v>0.73591670940061804</v>
      </c>
      <c r="AH1971" s="2" t="str">
        <f ca="1"/>
        <v>Bad</v>
      </c>
    </row>
    <row r="1972" spans="2:34">
      <c r="B1972" s="2">
        <f ca="1"/>
        <v>0.34509898460705846</v>
      </c>
      <c r="O1972" s="2">
        <f ca="1"/>
        <v>-0.29959964149283608</v>
      </c>
      <c r="X1972" s="2">
        <f ca="1"/>
        <v>28.850112944389579</v>
      </c>
      <c r="AG1972" s="2">
        <f ca="1"/>
        <v>0.30339516412771794</v>
      </c>
      <c r="AH1972" s="2" t="str">
        <f ca="1"/>
        <v>OK</v>
      </c>
    </row>
    <row r="1973" spans="2:34">
      <c r="B1973" s="2">
        <f ca="1"/>
        <v>0.58835236927089429</v>
      </c>
      <c r="O1973" s="2">
        <f ca="1"/>
        <v>0.60118232546520189</v>
      </c>
      <c r="X1973" s="2">
        <f ca="1"/>
        <v>50.654556773798376</v>
      </c>
      <c r="AG1973" s="2">
        <f ca="1"/>
        <v>0.26592761664268694</v>
      </c>
      <c r="AH1973" s="2" t="str">
        <f ca="1"/>
        <v>OK</v>
      </c>
    </row>
    <row r="1974" spans="2:34">
      <c r="B1974" s="2">
        <f ca="1"/>
        <v>0.72096768611833872</v>
      </c>
      <c r="O1974" s="2">
        <f ca="1"/>
        <v>-0.40659158035985987</v>
      </c>
      <c r="X1974" s="2">
        <f ca="1"/>
        <v>70.937085365570255</v>
      </c>
      <c r="AG1974" s="2">
        <f ca="1"/>
        <v>0.26520010824417595</v>
      </c>
      <c r="AH1974" s="2" t="str">
        <f ca="1"/>
        <v>OK</v>
      </c>
    </row>
    <row r="1975" spans="2:34">
      <c r="B1975" s="2">
        <f ca="1"/>
        <v>0.56799183160916322</v>
      </c>
      <c r="O1975" s="2">
        <f ca="1"/>
        <v>-1.5307398576139841</v>
      </c>
      <c r="X1975" s="2">
        <f ca="1"/>
        <v>45.647785320516981</v>
      </c>
      <c r="AG1975" s="2">
        <f ca="1"/>
        <v>0.17724828149341243</v>
      </c>
      <c r="AH1975" s="2" t="str">
        <f ca="1"/>
        <v>OK</v>
      </c>
    </row>
    <row r="1976" spans="2:34">
      <c r="B1976" s="2">
        <f ca="1"/>
        <v>0.18384250574583971</v>
      </c>
      <c r="O1976" s="2">
        <f ca="1"/>
        <v>0.18632343161001191</v>
      </c>
      <c r="X1976" s="2">
        <f ca="1"/>
        <v>57.827055387805324</v>
      </c>
      <c r="AG1976" s="2">
        <f ca="1"/>
        <v>0.28582898597168405</v>
      </c>
      <c r="AH1976" s="2" t="str">
        <f ca="1"/>
        <v>OK</v>
      </c>
    </row>
    <row r="1977" spans="2:34">
      <c r="B1977" s="2">
        <f ca="1"/>
        <v>0.40407860285190145</v>
      </c>
      <c r="O1977" s="2">
        <f ca="1"/>
        <v>-1.1885073402485933</v>
      </c>
      <c r="X1977" s="2">
        <f ca="1"/>
        <v>36.115064570446108</v>
      </c>
      <c r="AG1977" s="2">
        <f ca="1"/>
        <v>0.73232153350042761</v>
      </c>
      <c r="AH1977" s="2" t="str">
        <f ca="1"/>
        <v>Bad</v>
      </c>
    </row>
    <row r="1978" spans="2:34">
      <c r="B1978" s="2">
        <f ca="1"/>
        <v>0.47638646246190475</v>
      </c>
      <c r="O1978" s="2">
        <f ca="1"/>
        <v>1.0717176535596411</v>
      </c>
      <c r="X1978" s="2">
        <f ca="1"/>
        <v>24.037352053101301</v>
      </c>
      <c r="AG1978" s="2">
        <f ca="1"/>
        <v>0.5329512383645274</v>
      </c>
      <c r="AH1978" s="2" t="str">
        <f ca="1"/>
        <v>Bad</v>
      </c>
    </row>
    <row r="1979" spans="2:34">
      <c r="B1979" s="2">
        <f ca="1"/>
        <v>0.818427485670153</v>
      </c>
      <c r="O1979" s="2">
        <f ca="1"/>
        <v>0.73287807096060453</v>
      </c>
      <c r="X1979" s="2">
        <f ca="1"/>
        <v>70.255986115932075</v>
      </c>
      <c r="AG1979" s="2">
        <f ca="1"/>
        <v>0.66298515503205313</v>
      </c>
      <c r="AH1979" s="2" t="str">
        <f ca="1"/>
        <v>Bad</v>
      </c>
    </row>
    <row r="1980" spans="2:34">
      <c r="B1980" s="2">
        <f ca="1"/>
        <v>0.84055990625816923</v>
      </c>
      <c r="O1980" s="2">
        <f ca="1"/>
        <v>-5.5007395452726211E-2</v>
      </c>
      <c r="X1980" s="2">
        <f ca="1"/>
        <v>21.81405729096209</v>
      </c>
      <c r="AG1980" s="2">
        <f ca="1"/>
        <v>1.1609876938552643E-2</v>
      </c>
      <c r="AH1980" s="2" t="str">
        <f ca="1"/>
        <v>Good</v>
      </c>
    </row>
    <row r="1981" spans="2:34">
      <c r="B1981" s="2">
        <f ca="1"/>
        <v>0.80225003422957286</v>
      </c>
      <c r="O1981" s="2">
        <f ca="1"/>
        <v>0.60937425413891066</v>
      </c>
      <c r="X1981" s="2">
        <f ca="1"/>
        <v>59.667861044027326</v>
      </c>
      <c r="AG1981" s="2">
        <f ca="1"/>
        <v>6.931749392347486E-2</v>
      </c>
      <c r="AH1981" s="2" t="str">
        <f ca="1"/>
        <v>OK</v>
      </c>
    </row>
    <row r="1982" spans="2:34">
      <c r="B1982" s="2">
        <f ca="1"/>
        <v>0.34625603987576192</v>
      </c>
      <c r="O1982" s="2">
        <f ca="1"/>
        <v>-4.2977660279596222E-2</v>
      </c>
      <c r="X1982" s="2">
        <f ca="1"/>
        <v>24.156261409243935</v>
      </c>
      <c r="AG1982" s="2">
        <f ca="1"/>
        <v>0.75228823059744765</v>
      </c>
      <c r="AH1982" s="2" t="str">
        <f ca="1"/>
        <v>Bad</v>
      </c>
    </row>
    <row r="1983" spans="2:34">
      <c r="B1983" s="2">
        <f ca="1"/>
        <v>0.66868185159728277</v>
      </c>
      <c r="O1983" s="2">
        <f ca="1"/>
        <v>-2.0337426015855211</v>
      </c>
      <c r="X1983" s="2">
        <f ca="1"/>
        <v>52.085438227216173</v>
      </c>
      <c r="AG1983" s="2">
        <f ca="1"/>
        <v>0.5223664827632315</v>
      </c>
      <c r="AH1983" s="2" t="str">
        <f ca="1"/>
        <v>Bad</v>
      </c>
    </row>
    <row r="1984" spans="2:34">
      <c r="B1984" s="2">
        <f ca="1"/>
        <v>0.10511519770199684</v>
      </c>
      <c r="O1984" s="2">
        <f ca="1"/>
        <v>-1.3527336919584667</v>
      </c>
      <c r="X1984" s="2">
        <f ca="1"/>
        <v>52.986059072115395</v>
      </c>
      <c r="AG1984" s="2">
        <f ca="1"/>
        <v>0.42276598113351027</v>
      </c>
      <c r="AH1984" s="2" t="str">
        <f ca="1"/>
        <v>Bad</v>
      </c>
    </row>
    <row r="1985" spans="2:34">
      <c r="B1985" s="2">
        <f ca="1"/>
        <v>0.87029776033848316</v>
      </c>
      <c r="O1985" s="2">
        <f ca="1"/>
        <v>-3.2148914446953947E-2</v>
      </c>
      <c r="X1985" s="2">
        <f ca="1"/>
        <v>50.8522954318518</v>
      </c>
      <c r="AG1985" s="2">
        <f ca="1"/>
        <v>0.74728553403678255</v>
      </c>
      <c r="AH1985" s="2" t="str">
        <f ca="1"/>
        <v>Bad</v>
      </c>
    </row>
    <row r="1986" spans="2:34">
      <c r="B1986" s="2">
        <f ca="1"/>
        <v>0.35834932754535287</v>
      </c>
      <c r="O1986" s="2">
        <f ca="1"/>
        <v>1.2314618450777335</v>
      </c>
      <c r="X1986" s="2">
        <f ca="1"/>
        <v>50.011369043718553</v>
      </c>
      <c r="AG1986" s="2">
        <f ca="1"/>
        <v>0.22644710787324085</v>
      </c>
      <c r="AH1986" s="2" t="str">
        <f ca="1"/>
        <v>OK</v>
      </c>
    </row>
    <row r="1987" spans="2:34">
      <c r="B1987" s="2">
        <f ca="1"/>
        <v>0.34031159047024695</v>
      </c>
      <c r="O1987" s="2">
        <f ca="1"/>
        <v>-1.2520532964101103</v>
      </c>
      <c r="X1987" s="2">
        <f ca="1"/>
        <v>93.192973889849426</v>
      </c>
      <c r="AG1987" s="2">
        <f ca="1"/>
        <v>0.85858467584865927</v>
      </c>
      <c r="AH1987" s="2" t="str">
        <f ca="1"/>
        <v>Bad</v>
      </c>
    </row>
    <row r="1988" spans="2:34">
      <c r="B1988" s="2">
        <f ca="1"/>
        <v>0.35806996906175459</v>
      </c>
      <c r="O1988" s="2">
        <f ca="1"/>
        <v>-0.72327073228510042</v>
      </c>
      <c r="X1988" s="2">
        <f ca="1"/>
        <v>65.652805626520816</v>
      </c>
      <c r="AG1988" s="2">
        <f ca="1"/>
        <v>0.17717067708321799</v>
      </c>
      <c r="AH1988" s="2" t="str">
        <f ca="1"/>
        <v>OK</v>
      </c>
    </row>
    <row r="1989" spans="2:34">
      <c r="B1989" s="2">
        <f ca="1"/>
        <v>0.17324391302305986</v>
      </c>
      <c r="O1989" s="2">
        <f ca="1"/>
        <v>0.60689585499138288</v>
      </c>
      <c r="X1989" s="2">
        <f ca="1"/>
        <v>32.727303682967147</v>
      </c>
      <c r="AG1989" s="2">
        <f ca="1"/>
        <v>0.29037210129235236</v>
      </c>
      <c r="AH1989" s="2" t="str">
        <f ca="1"/>
        <v>OK</v>
      </c>
    </row>
    <row r="1990" spans="2:34">
      <c r="B1990" s="2">
        <f ca="1"/>
        <v>0.27139045228701852</v>
      </c>
      <c r="O1990" s="2">
        <f ca="1"/>
        <v>0.35965217614212763</v>
      </c>
      <c r="X1990" s="2">
        <f ca="1"/>
        <v>63.237527285472851</v>
      </c>
      <c r="AG1990" s="2">
        <f ca="1"/>
        <v>0.1785084437615776</v>
      </c>
      <c r="AH1990" s="2" t="str">
        <f ca="1"/>
        <v>OK</v>
      </c>
    </row>
    <row r="1991" spans="2:34">
      <c r="B1991" s="2">
        <f ca="1"/>
        <v>8.2170388291204377E-2</v>
      </c>
      <c r="O1991" s="2">
        <f ca="1"/>
        <v>1.0377779222130099</v>
      </c>
      <c r="X1991" s="2">
        <f ca="1"/>
        <v>47.953093038451513</v>
      </c>
      <c r="AG1991" s="2">
        <f ca="1"/>
        <v>0.22941026309720147</v>
      </c>
      <c r="AH1991" s="2" t="str">
        <f ca="1"/>
        <v>OK</v>
      </c>
    </row>
    <row r="1992" spans="2:34">
      <c r="B1992" s="2">
        <f ca="1"/>
        <v>0.17956645552423534</v>
      </c>
      <c r="O1992" s="2">
        <f ca="1"/>
        <v>0.69004887751189026</v>
      </c>
      <c r="X1992" s="2">
        <f ca="1"/>
        <v>82.663690318366832</v>
      </c>
      <c r="AG1992" s="2">
        <f ca="1"/>
        <v>0.26736095667649407</v>
      </c>
      <c r="AH1992" s="2" t="str">
        <f ca="1"/>
        <v>OK</v>
      </c>
    </row>
    <row r="1993" spans="2:34">
      <c r="B1993" s="2">
        <f ca="1"/>
        <v>0.91999773659680506</v>
      </c>
      <c r="O1993" s="2">
        <f ca="1"/>
        <v>-0.55905289348695064</v>
      </c>
      <c r="X1993" s="2">
        <f ca="1"/>
        <v>61.695862722785755</v>
      </c>
      <c r="AG1993" s="2">
        <f ca="1"/>
        <v>0.92581567141701138</v>
      </c>
      <c r="AH1993" s="2" t="str">
        <f ca="1"/>
        <v>Bad</v>
      </c>
    </row>
    <row r="1994" spans="2:34">
      <c r="B1994" s="2">
        <f ca="1"/>
        <v>0.38548453924414727</v>
      </c>
      <c r="O1994" s="2">
        <f ca="1"/>
        <v>0.57786716942029448</v>
      </c>
      <c r="X1994" s="2">
        <f ca="1"/>
        <v>31.44504688284669</v>
      </c>
      <c r="AG1994" s="2">
        <f ca="1"/>
        <v>0.32656799502739786</v>
      </c>
      <c r="AH1994" s="2" t="str">
        <f ca="1"/>
        <v>OK</v>
      </c>
    </row>
    <row r="1995" spans="2:34">
      <c r="B1995" s="2">
        <f ca="1"/>
        <v>0.73863119580225733</v>
      </c>
      <c r="O1995" s="2">
        <f ca="1"/>
        <v>-0.36086916926806006</v>
      </c>
      <c r="X1995" s="2">
        <f ca="1"/>
        <v>40.589736430854792</v>
      </c>
      <c r="AG1995" s="2">
        <f ca="1"/>
        <v>0.93438526043330539</v>
      </c>
      <c r="AH1995" s="2" t="str">
        <f ca="1"/>
        <v>Bad</v>
      </c>
    </row>
    <row r="1996" spans="2:34">
      <c r="B1996" s="2">
        <f ca="1"/>
        <v>0.14759603107036856</v>
      </c>
      <c r="O1996" s="2">
        <f ca="1"/>
        <v>0.36101929932306265</v>
      </c>
      <c r="X1996" s="2">
        <f ca="1"/>
        <v>68.536510711580149</v>
      </c>
      <c r="AG1996" s="2">
        <f ca="1"/>
        <v>0.61391148690570141</v>
      </c>
      <c r="AH1996" s="2" t="str">
        <f ca="1"/>
        <v>Bad</v>
      </c>
    </row>
    <row r="1997" spans="2:34">
      <c r="B1997" s="2">
        <f ca="1"/>
        <v>0.10014275552039176</v>
      </c>
      <c r="O1997" s="2">
        <f ca="1"/>
        <v>5.8291244914175686E-2</v>
      </c>
      <c r="X1997" s="2">
        <f ca="1"/>
        <v>30.807805517310062</v>
      </c>
      <c r="AG1997" s="2">
        <f ca="1"/>
        <v>0.66199117754297698</v>
      </c>
      <c r="AH1997" s="2" t="str">
        <f ca="1"/>
        <v>Bad</v>
      </c>
    </row>
    <row r="1998" spans="2:34">
      <c r="B1998" s="2">
        <f ca="1"/>
        <v>0.16804407535028432</v>
      </c>
      <c r="O1998" s="2">
        <f ca="1"/>
        <v>1.2439975844373889</v>
      </c>
      <c r="X1998" s="2">
        <f ca="1"/>
        <v>34.0865438590031</v>
      </c>
      <c r="AG1998" s="2">
        <f ca="1"/>
        <v>7.5185306540336283E-2</v>
      </c>
      <c r="AH1998" s="2" t="str">
        <f ca="1"/>
        <v>OK</v>
      </c>
    </row>
    <row r="1999" spans="2:34">
      <c r="B1999" s="2">
        <f ca="1"/>
        <v>0.33994774774748504</v>
      </c>
      <c r="O1999" s="2">
        <f ca="1"/>
        <v>-0.59216061142702192</v>
      </c>
      <c r="X1999" s="2">
        <f ca="1"/>
        <v>32.149028450692143</v>
      </c>
      <c r="AG1999" s="2">
        <f ca="1"/>
        <v>0.42389026767815352</v>
      </c>
      <c r="AH1999" s="2" t="str">
        <f ca="1"/>
        <v>Bad</v>
      </c>
    </row>
    <row r="2000" spans="2:34">
      <c r="B2000" s="2">
        <f ca="1"/>
        <v>0.12733718578889697</v>
      </c>
      <c r="O2000" s="2">
        <f ca="1"/>
        <v>0.24763141232984556</v>
      </c>
      <c r="X2000" s="2">
        <f ca="1"/>
        <v>40.864796551853935</v>
      </c>
      <c r="AG2000" s="2">
        <f ca="1"/>
        <v>0.74042817901244118</v>
      </c>
      <c r="AH2000" s="2" t="str">
        <f ca="1"/>
        <v>Bad</v>
      </c>
    </row>
    <row r="2001" spans="2:34">
      <c r="B2001" s="2">
        <f ca="1"/>
        <v>0.815237302291977</v>
      </c>
      <c r="O2001" s="2">
        <f ca="1"/>
        <v>-2.5002937371686706</v>
      </c>
      <c r="X2001" s="2">
        <f ca="1"/>
        <v>46.20137470726003</v>
      </c>
      <c r="AG2001" s="2">
        <f ca="1"/>
        <v>0.73357372374432539</v>
      </c>
      <c r="AH2001" s="2" t="str">
        <f ca="1"/>
        <v>Bad</v>
      </c>
    </row>
    <row r="2002" spans="2:34">
      <c r="B2002" s="2">
        <f ca="1"/>
        <v>0.34807606621303777</v>
      </c>
      <c r="O2002" s="2">
        <f ca="1"/>
        <v>0.70417971029260462</v>
      </c>
      <c r="X2002" s="2">
        <f ca="1"/>
        <v>48.359986069278804</v>
      </c>
      <c r="AG2002" s="2">
        <f ca="1"/>
        <v>0.56167923273905496</v>
      </c>
      <c r="AH2002" s="2" t="str">
        <f ca="1"/>
        <v>Bad</v>
      </c>
    </row>
    <row r="2003" spans="2:34">
      <c r="B2003" s="2">
        <f ca="1"/>
        <v>0.5336782844399075</v>
      </c>
      <c r="O2003" s="2">
        <f ca="1"/>
        <v>0.24025548392714466</v>
      </c>
      <c r="X2003" s="2">
        <f ca="1"/>
        <v>58.481128779770927</v>
      </c>
      <c r="AG2003" s="2">
        <f ca="1"/>
        <v>0.39957799820598838</v>
      </c>
      <c r="AH2003" s="2" t="str">
        <f ca="1"/>
        <v>OK</v>
      </c>
    </row>
    <row r="2004" spans="2:34">
      <c r="B2004" s="2">
        <f ca="1"/>
        <v>0.11547975934871779</v>
      </c>
      <c r="O2004" s="2">
        <f ca="1"/>
        <v>-1.7992827910341236</v>
      </c>
      <c r="X2004" s="2">
        <f ca="1"/>
        <v>41.73038370357213</v>
      </c>
      <c r="AG2004" s="2">
        <f ca="1"/>
        <v>0.28676124112345125</v>
      </c>
      <c r="AH2004" s="2" t="str">
        <f ca="1"/>
        <v>OK</v>
      </c>
    </row>
    <row r="2005" spans="2:34">
      <c r="B2005" s="2">
        <f ca="1"/>
        <v>0.81698864525489245</v>
      </c>
      <c r="O2005" s="2">
        <f ca="1"/>
        <v>-7.8655216176835241E-2</v>
      </c>
      <c r="X2005" s="2">
        <f ca="1"/>
        <v>71.016138136660842</v>
      </c>
      <c r="AG2005" s="2">
        <f ca="1"/>
        <v>0.38570382501679124</v>
      </c>
      <c r="AH2005" s="2" t="str">
        <f ca="1"/>
        <v>OK</v>
      </c>
    </row>
    <row r="2006" spans="2:34">
      <c r="B2006" s="2">
        <f ca="1"/>
        <v>0.86428319501684303</v>
      </c>
      <c r="O2006" s="2">
        <f ca="1"/>
        <v>0.30472710069959835</v>
      </c>
      <c r="X2006" s="2">
        <f ca="1"/>
        <v>31.595122670639473</v>
      </c>
      <c r="AG2006" s="2">
        <f ca="1"/>
        <v>0.86430519295185082</v>
      </c>
      <c r="AH2006" s="2" t="str">
        <f ca="1"/>
        <v>Bad</v>
      </c>
    </row>
    <row r="2007" spans="2:34">
      <c r="B2007" s="2">
        <f ca="1"/>
        <v>0.57981767384303806</v>
      </c>
      <c r="O2007" s="2">
        <f ca="1"/>
        <v>9.2234148649282879E-3</v>
      </c>
      <c r="X2007" s="2">
        <f ca="1"/>
        <v>44.241185914386165</v>
      </c>
      <c r="AG2007" s="2">
        <f ca="1"/>
        <v>0.62023164029487354</v>
      </c>
      <c r="AH2007" s="2" t="str">
        <f ca="1"/>
        <v>Bad</v>
      </c>
    </row>
    <row r="2008" spans="2:34">
      <c r="B2008" s="2">
        <f ca="1"/>
        <v>0.18926901451989075</v>
      </c>
      <c r="O2008" s="2">
        <f ca="1"/>
        <v>-8.7283439605379612E-2</v>
      </c>
      <c r="X2008" s="2">
        <f ca="1"/>
        <v>29.953293999370846</v>
      </c>
      <c r="AG2008" s="2">
        <f ca="1"/>
        <v>0.48424930040744307</v>
      </c>
      <c r="AH2008" s="2" t="str">
        <f ca="1"/>
        <v>Bad</v>
      </c>
    </row>
    <row r="2009" spans="2:34">
      <c r="B2009" s="2">
        <f ca="1"/>
        <v>0.32900267169266173</v>
      </c>
      <c r="O2009" s="2">
        <f ca="1"/>
        <v>-0.5704118944299289</v>
      </c>
      <c r="X2009" s="2">
        <f ca="1"/>
        <v>49.487523504673845</v>
      </c>
      <c r="AG2009" s="2">
        <f ca="1"/>
        <v>7.7288567670456665E-2</v>
      </c>
      <c r="AH2009" s="2" t="str">
        <f ca="1"/>
        <v>OK</v>
      </c>
    </row>
    <row r="2010" spans="2:34">
      <c r="B2010" s="2">
        <f ca="1"/>
        <v>0.23668217161499272</v>
      </c>
      <c r="O2010" s="2">
        <f ca="1"/>
        <v>1.0608375632817777</v>
      </c>
      <c r="X2010" s="2">
        <f ca="1"/>
        <v>46.67262326483921</v>
      </c>
      <c r="AG2010" s="2">
        <f ca="1"/>
        <v>0.33380541829787513</v>
      </c>
      <c r="AH2010" s="2" t="str">
        <f ca="1"/>
        <v>OK</v>
      </c>
    </row>
    <row r="2011" spans="2:34">
      <c r="B2011" s="2">
        <f ca="1"/>
        <v>0.37369229422498029</v>
      </c>
      <c r="O2011" s="2">
        <f ca="1"/>
        <v>0.84527145723347619</v>
      </c>
      <c r="X2011" s="2">
        <f ca="1"/>
        <v>39.095937849581176</v>
      </c>
      <c r="AG2011" s="2">
        <f ca="1"/>
        <v>0.90509602375155485</v>
      </c>
      <c r="AH2011" s="2" t="str">
        <f ca="1"/>
        <v>Bad</v>
      </c>
    </row>
    <row r="2012" spans="2:34">
      <c r="B2012" s="2">
        <f ca="1"/>
        <v>0.62055192044757002</v>
      </c>
      <c r="O2012" s="2">
        <f ca="1"/>
        <v>0.95787702067239644</v>
      </c>
      <c r="X2012" s="2">
        <f ca="1"/>
        <v>56.786102289479473</v>
      </c>
      <c r="AG2012" s="2">
        <f ca="1"/>
        <v>0.983358715710829</v>
      </c>
      <c r="AH2012" s="2" t="str">
        <f ca="1"/>
        <v>Bad</v>
      </c>
    </row>
    <row r="2013" spans="2:34">
      <c r="B2013" s="2">
        <f ca="1"/>
        <v>0.23623396070807012</v>
      </c>
      <c r="O2013" s="2">
        <f ca="1"/>
        <v>0.72189439800247335</v>
      </c>
      <c r="X2013" s="2">
        <f ca="1"/>
        <v>33.55108073846489</v>
      </c>
      <c r="AG2013" s="2">
        <f ca="1"/>
        <v>0.19026502391196187</v>
      </c>
      <c r="AH2013" s="2" t="str">
        <f ca="1"/>
        <v>OK</v>
      </c>
    </row>
    <row r="2014" spans="2:34">
      <c r="B2014" s="2">
        <f ca="1"/>
        <v>0.46717113652651876</v>
      </c>
      <c r="O2014" s="2">
        <f ca="1"/>
        <v>0.2664780858581331</v>
      </c>
      <c r="X2014" s="2">
        <f ca="1"/>
        <v>39.895282988811395</v>
      </c>
      <c r="AG2014" s="2">
        <f ca="1"/>
        <v>0.29728125158097685</v>
      </c>
      <c r="AH2014" s="2" t="str">
        <f ca="1"/>
        <v>OK</v>
      </c>
    </row>
    <row r="2015" spans="2:34">
      <c r="B2015" s="2">
        <f ca="1"/>
        <v>0.52913889383025436</v>
      </c>
      <c r="O2015" s="2">
        <f ca="1"/>
        <v>1.7204999805859447</v>
      </c>
      <c r="X2015" s="2">
        <f ca="1"/>
        <v>35.949654828142187</v>
      </c>
      <c r="AG2015" s="2">
        <f ca="1"/>
        <v>0.81742319622095216</v>
      </c>
      <c r="AH2015" s="2" t="str">
        <f ca="1"/>
        <v>Bad</v>
      </c>
    </row>
    <row r="2016" spans="2:34">
      <c r="B2016" s="2">
        <f ca="1"/>
        <v>0.35106907362287543</v>
      </c>
      <c r="O2016" s="2">
        <f ca="1"/>
        <v>8.5294535961864371E-2</v>
      </c>
      <c r="X2016" s="2">
        <f ca="1"/>
        <v>54.630684971622692</v>
      </c>
      <c r="AG2016" s="2">
        <f ca="1"/>
        <v>0.69782822141709633</v>
      </c>
      <c r="AH2016" s="2" t="str">
        <f ca="1"/>
        <v>Bad</v>
      </c>
    </row>
    <row r="2017" spans="2:34">
      <c r="B2017" s="2">
        <f ca="1"/>
        <v>0.61563595306125452</v>
      </c>
      <c r="O2017" s="2">
        <f ca="1"/>
        <v>1.4719052661572383</v>
      </c>
      <c r="X2017" s="2">
        <f ca="1"/>
        <v>79.786179846362657</v>
      </c>
      <c r="AG2017" s="2">
        <f ca="1"/>
        <v>0.94664434652685192</v>
      </c>
      <c r="AH2017" s="2" t="str">
        <f ca="1"/>
        <v>Bad</v>
      </c>
    </row>
    <row r="2018" spans="2:34">
      <c r="B2018" s="2">
        <f ca="1"/>
        <v>0.37029948002378243</v>
      </c>
      <c r="O2018" s="2">
        <f ca="1"/>
        <v>1.8430210489750725</v>
      </c>
      <c r="X2018" s="2">
        <f ca="1"/>
        <v>54.181667319507191</v>
      </c>
      <c r="AG2018" s="2">
        <f ca="1"/>
        <v>0.66443347559622201</v>
      </c>
      <c r="AH2018" s="2" t="str">
        <f ca="1"/>
        <v>Bad</v>
      </c>
    </row>
    <row r="2019" spans="2:34">
      <c r="B2019" s="2">
        <f ca="1"/>
        <v>0.56679731601301819</v>
      </c>
      <c r="O2019" s="2">
        <f ca="1"/>
        <v>1.0072077469234071</v>
      </c>
      <c r="X2019" s="2">
        <f ca="1"/>
        <v>42.714268115859674</v>
      </c>
      <c r="AG2019" s="2">
        <f ca="1"/>
        <v>0.90554441104946459</v>
      </c>
      <c r="AH2019" s="2" t="str">
        <f ca="1"/>
        <v>Bad</v>
      </c>
    </row>
    <row r="2020" spans="2:34">
      <c r="B2020" s="2">
        <f ca="1"/>
        <v>0.19322203677833505</v>
      </c>
      <c r="O2020" s="2">
        <f ca="1"/>
        <v>-1.2696234800072597</v>
      </c>
      <c r="X2020" s="2">
        <f ca="1"/>
        <v>38.999264236195742</v>
      </c>
      <c r="AG2020" s="2">
        <f ca="1"/>
        <v>0.61053851162584527</v>
      </c>
      <c r="AH2020" s="2" t="str">
        <f ca="1"/>
        <v>Bad</v>
      </c>
    </row>
    <row r="2021" spans="2:34">
      <c r="B2021" s="2">
        <f ca="1"/>
        <v>0.50031646982774181</v>
      </c>
      <c r="O2021" s="2">
        <f ca="1"/>
        <v>0.30572230861166522</v>
      </c>
      <c r="X2021" s="2">
        <f ca="1"/>
        <v>32.007725107543415</v>
      </c>
      <c r="AG2021" s="2">
        <f ca="1"/>
        <v>0.75518104894284699</v>
      </c>
      <c r="AH2021" s="2" t="str">
        <f ca="1"/>
        <v>Bad</v>
      </c>
    </row>
    <row r="2022" spans="2:34">
      <c r="B2022" s="2">
        <f ca="1"/>
        <v>0.46380064687437428</v>
      </c>
      <c r="O2022" s="2">
        <f ca="1"/>
        <v>1.2654512030630356</v>
      </c>
      <c r="X2022" s="2">
        <f ca="1"/>
        <v>34.060768899434699</v>
      </c>
      <c r="AG2022" s="2">
        <f ca="1"/>
        <v>0.49905494488329927</v>
      </c>
      <c r="AH2022" s="2" t="str">
        <f ca="1"/>
        <v>Bad</v>
      </c>
    </row>
    <row r="2023" spans="2:34">
      <c r="B2023" s="2">
        <f ca="1"/>
        <v>8.8523315282841075E-2</v>
      </c>
      <c r="O2023" s="2">
        <f ca="1"/>
        <v>0.66735007673344782</v>
      </c>
      <c r="X2023" s="2">
        <f ca="1"/>
        <v>63.890804549985376</v>
      </c>
      <c r="AG2023" s="2">
        <f ca="1"/>
        <v>0.43669532970211677</v>
      </c>
      <c r="AH2023" s="2" t="str">
        <f ca="1"/>
        <v>Bad</v>
      </c>
    </row>
    <row r="2024" spans="2:34">
      <c r="B2024" s="2">
        <f ca="1"/>
        <v>0.94751340770693937</v>
      </c>
      <c r="O2024" s="2">
        <f ca="1"/>
        <v>-1.6971936001229011</v>
      </c>
      <c r="X2024" s="2">
        <f ca="1"/>
        <v>51.003946164020675</v>
      </c>
      <c r="AG2024" s="2">
        <f ca="1"/>
        <v>0.90403214834804912</v>
      </c>
      <c r="AH2024" s="2" t="str">
        <f ca="1"/>
        <v>Bad</v>
      </c>
    </row>
    <row r="2025" spans="2:34">
      <c r="B2025" s="2">
        <f ca="1"/>
        <v>0.22360305699126104</v>
      </c>
      <c r="O2025" s="2">
        <f ca="1"/>
        <v>1.304660611900627</v>
      </c>
      <c r="X2025" s="2">
        <f ca="1"/>
        <v>41.500020430058285</v>
      </c>
      <c r="AG2025" s="2">
        <f ca="1"/>
        <v>0.15371518877375556</v>
      </c>
      <c r="AH2025" s="2" t="str">
        <f ca="1"/>
        <v>OK</v>
      </c>
    </row>
    <row r="2026" spans="2:34">
      <c r="B2026" s="2">
        <f ca="1"/>
        <v>0.39956319515503469</v>
      </c>
      <c r="O2026" s="2">
        <f ca="1"/>
        <v>-0.78319442084120861</v>
      </c>
      <c r="X2026" s="2">
        <f ca="1"/>
        <v>46.073683428225578</v>
      </c>
      <c r="AG2026" s="2">
        <f ca="1"/>
        <v>0.45528768864788405</v>
      </c>
      <c r="AH2026" s="2" t="str">
        <f ca="1"/>
        <v>Bad</v>
      </c>
    </row>
    <row r="2027" spans="2:34">
      <c r="B2027" s="2">
        <f ca="1"/>
        <v>0.5516788777427406</v>
      </c>
      <c r="O2027" s="2">
        <f ca="1"/>
        <v>-0.50840344450013608</v>
      </c>
      <c r="X2027" s="2">
        <f ca="1"/>
        <v>70.515496415355344</v>
      </c>
      <c r="AG2027" s="2">
        <f ca="1"/>
        <v>0.72308685118201099</v>
      </c>
      <c r="AH2027" s="2" t="str">
        <f ca="1"/>
        <v>Bad</v>
      </c>
    </row>
    <row r="2028" spans="2:34">
      <c r="B2028" s="2">
        <f ca="1"/>
        <v>0.80085533252042573</v>
      </c>
      <c r="O2028" s="2">
        <f ca="1"/>
        <v>-2.1420366679503582</v>
      </c>
      <c r="X2028" s="2">
        <f ca="1"/>
        <v>32.317746962089899</v>
      </c>
      <c r="AG2028" s="2">
        <f ca="1"/>
        <v>2.5366483648921578E-2</v>
      </c>
      <c r="AH2028" s="2" t="str">
        <f ca="1"/>
        <v>Good</v>
      </c>
    </row>
    <row r="2029" spans="2:34">
      <c r="B2029" s="2">
        <f ca="1"/>
        <v>0.59616942254105809</v>
      </c>
      <c r="O2029" s="2">
        <f ca="1"/>
        <v>-0.51130806894209935</v>
      </c>
      <c r="X2029" s="2">
        <f ca="1"/>
        <v>59.033991634109562</v>
      </c>
      <c r="AG2029" s="2">
        <f ca="1"/>
        <v>0.76919390971928836</v>
      </c>
      <c r="AH2029" s="2" t="str">
        <f ca="1"/>
        <v>Bad</v>
      </c>
    </row>
    <row r="2030" spans="2:34">
      <c r="B2030" s="2">
        <f ca="1"/>
        <v>0.80175090282858963</v>
      </c>
      <c r="O2030" s="2">
        <f ca="1"/>
        <v>-0.68580117651295291</v>
      </c>
      <c r="X2030" s="2">
        <f ca="1"/>
        <v>67.875213520936384</v>
      </c>
      <c r="AG2030" s="2">
        <f ca="1"/>
        <v>0.472480878678879</v>
      </c>
      <c r="AH2030" s="2" t="str">
        <f ca="1"/>
        <v>Bad</v>
      </c>
    </row>
    <row r="2031" spans="2:34">
      <c r="B2031" s="2">
        <f ca="1"/>
        <v>0.965975273969093</v>
      </c>
      <c r="O2031" s="2">
        <f ca="1"/>
        <v>0.37832007924829758</v>
      </c>
      <c r="X2031" s="2">
        <f ca="1"/>
        <v>45.757333432828815</v>
      </c>
      <c r="AG2031" s="2">
        <f ca="1"/>
        <v>0.38699654803159578</v>
      </c>
      <c r="AH2031" s="2" t="str">
        <f ca="1"/>
        <v>OK</v>
      </c>
    </row>
    <row r="2032" spans="2:34">
      <c r="B2032" s="2">
        <f ca="1"/>
        <v>0.28102205380746081</v>
      </c>
      <c r="O2032" s="2">
        <f ca="1"/>
        <v>1.6066099446321453</v>
      </c>
      <c r="X2032" s="2">
        <f ca="1"/>
        <v>44.19042170681378</v>
      </c>
      <c r="AG2032" s="2">
        <f ca="1"/>
        <v>0.41598105562201915</v>
      </c>
      <c r="AH2032" s="2" t="str">
        <f ca="1"/>
        <v>Bad</v>
      </c>
    </row>
    <row r="2033" spans="2:34">
      <c r="B2033" s="2">
        <f ca="1"/>
        <v>0.35168469235771727</v>
      </c>
      <c r="O2033" s="2">
        <f ca="1"/>
        <v>-0.83185068788976224</v>
      </c>
      <c r="X2033" s="2">
        <f ca="1"/>
        <v>63.387851491265728</v>
      </c>
      <c r="AG2033" s="2">
        <f ca="1"/>
        <v>0.90668894037615577</v>
      </c>
      <c r="AH2033" s="2" t="str">
        <f ca="1"/>
        <v>Bad</v>
      </c>
    </row>
    <row r="2034" spans="2:34">
      <c r="B2034" s="2">
        <f ca="1"/>
        <v>0.24591664573491245</v>
      </c>
      <c r="O2034" s="2">
        <f ca="1"/>
        <v>-1.2504606819094046</v>
      </c>
      <c r="X2034" s="2">
        <f ca="1"/>
        <v>50.636981951402419</v>
      </c>
      <c r="AG2034" s="2">
        <f ca="1"/>
        <v>0.94763113799384402</v>
      </c>
      <c r="AH2034" s="2" t="str">
        <f ca="1"/>
        <v>Bad</v>
      </c>
    </row>
    <row r="2035" spans="2:34">
      <c r="B2035" s="2">
        <f ca="1"/>
        <v>8.8401808288197881E-2</v>
      </c>
      <c r="O2035" s="2">
        <f ca="1"/>
        <v>0.559813477466933</v>
      </c>
      <c r="X2035" s="2">
        <f ca="1"/>
        <v>41.124471915698948</v>
      </c>
      <c r="AG2035" s="2">
        <f ca="1"/>
        <v>0.14194968823886733</v>
      </c>
      <c r="AH2035" s="2" t="str">
        <f ca="1"/>
        <v>OK</v>
      </c>
    </row>
    <row r="2036" spans="2:34">
      <c r="B2036" s="2">
        <f ca="1"/>
        <v>0.2779725868923999</v>
      </c>
      <c r="O2036" s="2">
        <f ca="1"/>
        <v>0.21285392883458554</v>
      </c>
      <c r="X2036" s="2">
        <f ca="1"/>
        <v>49.802971864975817</v>
      </c>
      <c r="AG2036" s="2">
        <f ca="1"/>
        <v>0.5684346597918013</v>
      </c>
      <c r="AH2036" s="2" t="str">
        <f ca="1"/>
        <v>Bad</v>
      </c>
    </row>
    <row r="2037" spans="2:34">
      <c r="B2037" s="2">
        <f ca="1"/>
        <v>0.46457764992396</v>
      </c>
      <c r="O2037" s="2">
        <f ca="1"/>
        <v>-0.20597495355971335</v>
      </c>
      <c r="X2037" s="2">
        <f ca="1"/>
        <v>67.695240405429502</v>
      </c>
      <c r="AG2037" s="2">
        <f ca="1"/>
        <v>0.71540427258553296</v>
      </c>
      <c r="AH2037" s="2" t="str">
        <f ca="1"/>
        <v>Bad</v>
      </c>
    </row>
    <row r="2038" spans="2:34">
      <c r="B2038" s="2">
        <f ca="1"/>
        <v>0.24235894460913365</v>
      </c>
      <c r="O2038" s="2">
        <f ca="1"/>
        <v>1.1278748201768951</v>
      </c>
      <c r="X2038" s="2">
        <f ca="1"/>
        <v>44.794000579710342</v>
      </c>
      <c r="AG2038" s="2">
        <f ca="1"/>
        <v>0.155747087679595</v>
      </c>
      <c r="AH2038" s="2" t="str">
        <f ca="1"/>
        <v>OK</v>
      </c>
    </row>
    <row r="2039" spans="2:34">
      <c r="B2039" s="2">
        <f ca="1"/>
        <v>0.64264759414930395</v>
      </c>
      <c r="O2039" s="2">
        <f ca="1"/>
        <v>0.89540262730903297</v>
      </c>
      <c r="X2039" s="2">
        <f ca="1"/>
        <v>38.35420630919694</v>
      </c>
      <c r="AG2039" s="2">
        <f ca="1"/>
        <v>7.3733573134399766E-2</v>
      </c>
      <c r="AH2039" s="2" t="str">
        <f ca="1"/>
        <v>OK</v>
      </c>
    </row>
    <row r="2040" spans="2:34">
      <c r="B2040" s="2">
        <f ca="1"/>
        <v>0.28427713749285854</v>
      </c>
      <c r="O2040" s="2">
        <f ca="1"/>
        <v>0.98296090581994933</v>
      </c>
      <c r="X2040" s="2">
        <f ca="1"/>
        <v>57.336916205264352</v>
      </c>
      <c r="AG2040" s="2">
        <f ca="1"/>
        <v>0.57658797397435757</v>
      </c>
      <c r="AH2040" s="2" t="str">
        <f ca="1"/>
        <v>Bad</v>
      </c>
    </row>
    <row r="2041" spans="2:34">
      <c r="B2041" s="2">
        <f ca="1"/>
        <v>0.59606756933853222</v>
      </c>
      <c r="O2041" s="2">
        <f ca="1"/>
        <v>0.32868290194669042</v>
      </c>
      <c r="X2041" s="2">
        <f ca="1"/>
        <v>45.948309287049398</v>
      </c>
      <c r="AG2041" s="2">
        <f ca="1"/>
        <v>0.99617222051948051</v>
      </c>
      <c r="AH2041" s="2" t="str">
        <f ca="1"/>
        <v>Bad</v>
      </c>
    </row>
    <row r="2042" spans="2:34">
      <c r="B2042" s="2">
        <f ca="1"/>
        <v>0.98240276216245337</v>
      </c>
      <c r="O2042" s="2">
        <f ca="1"/>
        <v>-7.1068513575867631E-2</v>
      </c>
      <c r="X2042" s="2">
        <f ca="1"/>
        <v>26.698023309377721</v>
      </c>
      <c r="AG2042" s="2">
        <f ca="1"/>
        <v>0.29731461763971567</v>
      </c>
      <c r="AH2042" s="2" t="str">
        <f ca="1"/>
        <v>OK</v>
      </c>
    </row>
    <row r="2043" spans="2:34">
      <c r="B2043" s="2">
        <f ca="1"/>
        <v>0.75625603268089181</v>
      </c>
      <c r="O2043" s="2">
        <f ca="1"/>
        <v>0.46397674372424513</v>
      </c>
      <c r="X2043" s="2">
        <f ca="1"/>
        <v>72.651189611862947</v>
      </c>
      <c r="AG2043" s="2">
        <f ca="1"/>
        <v>0.55659548669955683</v>
      </c>
      <c r="AH2043" s="2" t="str">
        <f ca="1"/>
        <v>Bad</v>
      </c>
    </row>
    <row r="2044" spans="2:34">
      <c r="B2044" s="2">
        <f ca="1"/>
        <v>0.37430085382864564</v>
      </c>
      <c r="O2044" s="2">
        <f ca="1"/>
        <v>0.66103209334173141</v>
      </c>
      <c r="X2044" s="2">
        <f ca="1"/>
        <v>29.973489425421661</v>
      </c>
      <c r="AG2044" s="2">
        <f ca="1"/>
        <v>0.80859276043240769</v>
      </c>
      <c r="AH2044" s="2" t="str">
        <f ca="1"/>
        <v>Bad</v>
      </c>
    </row>
    <row r="2045" spans="2:34">
      <c r="B2045" s="2">
        <f ca="1"/>
        <v>0.68032635314431622</v>
      </c>
      <c r="O2045" s="2">
        <f ca="1"/>
        <v>-1.5848451881872441</v>
      </c>
      <c r="X2045" s="2">
        <f ca="1"/>
        <v>76.803908228401411</v>
      </c>
      <c r="AG2045" s="2">
        <f ca="1"/>
        <v>0.6170395310728265</v>
      </c>
      <c r="AH2045" s="2" t="str">
        <f ca="1"/>
        <v>Bad</v>
      </c>
    </row>
    <row r="2046" spans="2:34">
      <c r="B2046" s="2">
        <f ca="1"/>
        <v>0.65687408412906834</v>
      </c>
      <c r="O2046" s="2">
        <f ca="1"/>
        <v>-0.66495940537089826</v>
      </c>
      <c r="X2046" s="2">
        <f ca="1"/>
        <v>38.739094042519667</v>
      </c>
      <c r="AG2046" s="2">
        <f ca="1"/>
        <v>0.11251229531595963</v>
      </c>
      <c r="AH2046" s="2" t="str">
        <f ca="1"/>
        <v>OK</v>
      </c>
    </row>
    <row r="2047" spans="2:34">
      <c r="B2047" s="2">
        <f ca="1"/>
        <v>0.61658376194511666</v>
      </c>
      <c r="O2047" s="2">
        <f ca="1"/>
        <v>0.67190634192380527</v>
      </c>
      <c r="X2047" s="2">
        <f ca="1"/>
        <v>49.605940496872805</v>
      </c>
      <c r="AG2047" s="2">
        <f ca="1"/>
        <v>0.19108997475673406</v>
      </c>
      <c r="AH2047" s="2" t="str">
        <f ca="1"/>
        <v>OK</v>
      </c>
    </row>
    <row r="2048" spans="2:34">
      <c r="B2048" s="2">
        <f ca="1"/>
        <v>5.9893474871816954E-2</v>
      </c>
      <c r="O2048" s="2">
        <f ca="1"/>
        <v>-2.5513461687072629</v>
      </c>
      <c r="X2048" s="2">
        <f ca="1"/>
        <v>48.474840887270155</v>
      </c>
      <c r="AG2048" s="2">
        <f ca="1"/>
        <v>0.30966433090797696</v>
      </c>
      <c r="AH2048" s="2" t="str">
        <f ca="1"/>
        <v>OK</v>
      </c>
    </row>
    <row r="2049" spans="2:34">
      <c r="B2049" s="2">
        <f ca="1"/>
        <v>0.18193715176692815</v>
      </c>
      <c r="O2049" s="2">
        <f ca="1"/>
        <v>-0.68170049705369773</v>
      </c>
      <c r="X2049" s="2">
        <f ca="1"/>
        <v>32.780561499690172</v>
      </c>
      <c r="AG2049" s="2">
        <f ca="1"/>
        <v>0.65035005737224938</v>
      </c>
      <c r="AH2049" s="2" t="str">
        <f ca="1"/>
        <v>Bad</v>
      </c>
    </row>
    <row r="2050" spans="2:34">
      <c r="B2050" s="2">
        <f ca="1"/>
        <v>0.92115186617724021</v>
      </c>
      <c r="O2050" s="2">
        <f ca="1"/>
        <v>0.78571552408613377</v>
      </c>
      <c r="X2050" s="2">
        <f ca="1"/>
        <v>35.979667709231549</v>
      </c>
      <c r="AG2050" s="2">
        <f ca="1"/>
        <v>0.1312855006687117</v>
      </c>
      <c r="AH2050" s="2" t="str">
        <f ca="1"/>
        <v>OK</v>
      </c>
    </row>
    <row r="2051" spans="2:34">
      <c r="B2051" s="2">
        <f ca="1"/>
        <v>0.67503475096713506</v>
      </c>
      <c r="O2051" s="2">
        <f ca="1"/>
        <v>-1.6209606298050934</v>
      </c>
      <c r="X2051" s="2">
        <f ca="1"/>
        <v>56.06910732954735</v>
      </c>
      <c r="AG2051" s="2">
        <f ca="1"/>
        <v>6.8591060932479797E-2</v>
      </c>
      <c r="AH2051" s="2" t="str">
        <f ca="1"/>
        <v>OK</v>
      </c>
    </row>
    <row r="2052" spans="2:34">
      <c r="B2052" s="2">
        <f ca="1"/>
        <v>0.85558009453385053</v>
      </c>
      <c r="O2052" s="2">
        <f ca="1"/>
        <v>-0.21168527375888646</v>
      </c>
      <c r="X2052" s="2">
        <f ca="1"/>
        <v>36.983691080814353</v>
      </c>
      <c r="AG2052" s="2">
        <f ca="1"/>
        <v>0.83311397743303783</v>
      </c>
      <c r="AH2052" s="2" t="str">
        <f ca="1"/>
        <v>Bad</v>
      </c>
    </row>
    <row r="2053" spans="2:34">
      <c r="B2053" s="2">
        <f ca="1"/>
        <v>0.56749989229375353</v>
      </c>
      <c r="O2053" s="2">
        <f ca="1"/>
        <v>1.1722238966609706</v>
      </c>
      <c r="X2053" s="2">
        <f ca="1"/>
        <v>52.734582558969372</v>
      </c>
      <c r="AG2053" s="2">
        <f ca="1"/>
        <v>0.19467703411414661</v>
      </c>
      <c r="AH2053" s="2" t="str">
        <f ca="1"/>
        <v>OK</v>
      </c>
    </row>
    <row r="2054" spans="2:34">
      <c r="B2054" s="2">
        <f ca="1"/>
        <v>3.4819871003000324E-2</v>
      </c>
      <c r="O2054" s="2">
        <f ca="1"/>
        <v>0.61173620731903322</v>
      </c>
      <c r="X2054" s="2">
        <f ca="1"/>
        <v>41.192381734467986</v>
      </c>
      <c r="AG2054" s="2">
        <f ca="1"/>
        <v>0.88318473184342716</v>
      </c>
      <c r="AH2054" s="2" t="str">
        <f ca="1"/>
        <v>Bad</v>
      </c>
    </row>
    <row r="2055" spans="2:34">
      <c r="B2055" s="2">
        <f ca="1"/>
        <v>0.33650189897552241</v>
      </c>
      <c r="O2055" s="2">
        <f ca="1"/>
        <v>1.3877959622082978</v>
      </c>
      <c r="X2055" s="2">
        <f ca="1"/>
        <v>50.532097652589584</v>
      </c>
      <c r="AG2055" s="2">
        <f ca="1"/>
        <v>0.38698109425630367</v>
      </c>
      <c r="AH2055" s="2" t="str">
        <f ca="1"/>
        <v>OK</v>
      </c>
    </row>
    <row r="2056" spans="2:34">
      <c r="B2056" s="2">
        <f ca="1"/>
        <v>0.15891149430511575</v>
      </c>
      <c r="O2056" s="2">
        <f ca="1"/>
        <v>-0.68142147826023391</v>
      </c>
      <c r="X2056" s="2">
        <f ca="1"/>
        <v>32.007847796665743</v>
      </c>
      <c r="AG2056" s="2">
        <f ca="1"/>
        <v>3.7766248815081616E-2</v>
      </c>
      <c r="AH2056" s="2" t="str">
        <f ca="1"/>
        <v>Good</v>
      </c>
    </row>
    <row r="2057" spans="2:34">
      <c r="B2057" s="2">
        <f ca="1"/>
        <v>0.29445238228682191</v>
      </c>
      <c r="O2057" s="2">
        <f ca="1"/>
        <v>0.62961214042790281</v>
      </c>
      <c r="X2057" s="2">
        <f ca="1"/>
        <v>38.779465987317629</v>
      </c>
      <c r="AG2057" s="2">
        <f ca="1"/>
        <v>8.0613030641906169E-2</v>
      </c>
      <c r="AH2057" s="2" t="str">
        <f ca="1"/>
        <v>OK</v>
      </c>
    </row>
    <row r="2058" spans="2:34">
      <c r="B2058" s="2">
        <f ca="1"/>
        <v>0.88846250131873727</v>
      </c>
      <c r="O2058" s="2">
        <f ca="1"/>
        <v>0.73424899909340824</v>
      </c>
      <c r="X2058" s="2">
        <f ca="1"/>
        <v>40.884039218019417</v>
      </c>
      <c r="AG2058" s="2">
        <f ca="1"/>
        <v>0.25074682791081204</v>
      </c>
      <c r="AH2058" s="2" t="str">
        <f ca="1"/>
        <v>OK</v>
      </c>
    </row>
    <row r="2059" spans="2:34">
      <c r="B2059" s="2">
        <f ca="1"/>
        <v>0.34506834362941574</v>
      </c>
      <c r="O2059" s="2">
        <f ca="1"/>
        <v>-0.264995505720244</v>
      </c>
      <c r="X2059" s="2">
        <f ca="1"/>
        <v>34.024527775103238</v>
      </c>
      <c r="AG2059" s="2">
        <f ca="1"/>
        <v>0.78452285732104521</v>
      </c>
      <c r="AH2059" s="2" t="str">
        <f ca="1"/>
        <v>Bad</v>
      </c>
    </row>
    <row r="2060" spans="2:34">
      <c r="B2060" s="2">
        <f ca="1"/>
        <v>0.96272010547443299</v>
      </c>
      <c r="O2060" s="2">
        <f ca="1"/>
        <v>-1.8317275237721273</v>
      </c>
      <c r="X2060" s="2">
        <f ca="1"/>
        <v>43.541349137680506</v>
      </c>
      <c r="AG2060" s="2">
        <f ca="1"/>
        <v>0.41387129117152299</v>
      </c>
      <c r="AH2060" s="2" t="str">
        <f ca="1"/>
        <v>Bad</v>
      </c>
    </row>
    <row r="2061" spans="2:34">
      <c r="B2061" s="2">
        <f ca="1"/>
        <v>0.25682487728818915</v>
      </c>
      <c r="O2061" s="2">
        <f ca="1"/>
        <v>0.32230858698084441</v>
      </c>
      <c r="X2061" s="2">
        <f ca="1"/>
        <v>29.465057501630049</v>
      </c>
      <c r="AG2061" s="2">
        <f ca="1"/>
        <v>0.52353379970184744</v>
      </c>
      <c r="AH2061" s="2" t="str">
        <f ca="1"/>
        <v>Bad</v>
      </c>
    </row>
    <row r="2062" spans="2:34">
      <c r="B2062" s="2">
        <f ca="1"/>
        <v>0.78615865396015816</v>
      </c>
      <c r="O2062" s="2">
        <f ca="1"/>
        <v>-4.4874866607766666E-3</v>
      </c>
      <c r="X2062" s="2">
        <f ca="1"/>
        <v>35.697350940588493</v>
      </c>
      <c r="AG2062" s="2">
        <f ca="1"/>
        <v>0.66259662230319583</v>
      </c>
      <c r="AH2062" s="2" t="str">
        <f ca="1"/>
        <v>Bad</v>
      </c>
    </row>
    <row r="2063" spans="2:34">
      <c r="B2063" s="2">
        <f ca="1"/>
        <v>3.1573453780617822E-2</v>
      </c>
      <c r="O2063" s="2">
        <f ca="1"/>
        <v>-0.24955456209339805</v>
      </c>
      <c r="X2063" s="2">
        <f ca="1"/>
        <v>51.349262805476542</v>
      </c>
      <c r="AG2063" s="2">
        <f ca="1"/>
        <v>0.5534619534246612</v>
      </c>
      <c r="AH2063" s="2" t="str">
        <f ca="1"/>
        <v>Bad</v>
      </c>
    </row>
    <row r="2064" spans="2:34">
      <c r="B2064" s="2">
        <f ca="1"/>
        <v>0.50100607758182458</v>
      </c>
      <c r="O2064" s="2">
        <f ca="1"/>
        <v>1.9425974955494505</v>
      </c>
      <c r="X2064" s="2">
        <f ca="1"/>
        <v>42.743757125269717</v>
      </c>
      <c r="AG2064" s="2">
        <f ca="1"/>
        <v>0.41350546701180591</v>
      </c>
      <c r="AH2064" s="2" t="str">
        <f ca="1"/>
        <v>Bad</v>
      </c>
    </row>
    <row r="2065" spans="2:34">
      <c r="B2065" s="2">
        <f ca="1"/>
        <v>0.33590356727177162</v>
      </c>
      <c r="O2065" s="2">
        <f ca="1"/>
        <v>-0.15732551297728375</v>
      </c>
      <c r="X2065" s="2">
        <f ca="1"/>
        <v>40.179238622977245</v>
      </c>
      <c r="AG2065" s="2">
        <f ca="1"/>
        <v>0.99895629051943047</v>
      </c>
      <c r="AH2065" s="2" t="str">
        <f ca="1"/>
        <v>Bad</v>
      </c>
    </row>
    <row r="2066" spans="2:34">
      <c r="B2066" s="2">
        <f ca="1"/>
        <v>0.36895128380511544</v>
      </c>
      <c r="O2066" s="2">
        <f ca="1"/>
        <v>-0.50207529078950441</v>
      </c>
      <c r="X2066" s="2">
        <f ca="1"/>
        <v>19.38008533213862</v>
      </c>
      <c r="AG2066" s="2">
        <f ca="1"/>
        <v>0.57953872858382383</v>
      </c>
      <c r="AH2066" s="2" t="str">
        <f ca="1"/>
        <v>Bad</v>
      </c>
    </row>
    <row r="2067" spans="2:34">
      <c r="B2067" s="2">
        <f ca="1"/>
        <v>7.6399743112689489E-3</v>
      </c>
      <c r="O2067" s="2">
        <f ca="1"/>
        <v>-0.722868419198478</v>
      </c>
      <c r="X2067" s="2">
        <f ca="1"/>
        <v>95.073321297571852</v>
      </c>
      <c r="AG2067" s="2">
        <f ca="1"/>
        <v>0.95394253801026641</v>
      </c>
      <c r="AH2067" s="2" t="str">
        <f ca="1"/>
        <v>Bad</v>
      </c>
    </row>
    <row r="2068" spans="2:34">
      <c r="B2068" s="2">
        <f ca="1"/>
        <v>0.67847917320942908</v>
      </c>
      <c r="O2068" s="2">
        <f ca="1"/>
        <v>-2.7034700957902924</v>
      </c>
      <c r="X2068" s="2">
        <f ca="1"/>
        <v>51.294164803107059</v>
      </c>
      <c r="AG2068" s="2">
        <f ca="1"/>
        <v>0.24717597113705136</v>
      </c>
      <c r="AH2068" s="2" t="str">
        <f ca="1"/>
        <v>OK</v>
      </c>
    </row>
    <row r="2069" spans="2:34">
      <c r="B2069" s="2">
        <f ca="1"/>
        <v>9.944905645038471E-3</v>
      </c>
      <c r="O2069" s="2">
        <f ca="1"/>
        <v>0.29922151098446481</v>
      </c>
      <c r="X2069" s="2">
        <f ca="1"/>
        <v>74.795430198191326</v>
      </c>
      <c r="AG2069" s="2">
        <f ca="1"/>
        <v>0.4939600164455451</v>
      </c>
      <c r="AH2069" s="2" t="str">
        <f ca="1"/>
        <v>Bad</v>
      </c>
    </row>
    <row r="2070" spans="2:34">
      <c r="B2070" s="2">
        <f ca="1"/>
        <v>0.49408742536494565</v>
      </c>
      <c r="O2070" s="2">
        <f ca="1"/>
        <v>0.43957282092516031</v>
      </c>
      <c r="X2070" s="2">
        <f ca="1"/>
        <v>48.056768946699819</v>
      </c>
      <c r="AG2070" s="2">
        <f ca="1"/>
        <v>0.29058780285844366</v>
      </c>
      <c r="AH2070" s="2" t="str">
        <f ca="1"/>
        <v>OK</v>
      </c>
    </row>
    <row r="2071" spans="2:34">
      <c r="B2071" s="2">
        <f ca="1"/>
        <v>0.21130742676331304</v>
      </c>
      <c r="O2071" s="2">
        <f ca="1"/>
        <v>-9.2892521647605822E-2</v>
      </c>
      <c r="X2071" s="2">
        <f ca="1"/>
        <v>47.48875024207365</v>
      </c>
      <c r="AG2071" s="2">
        <f ca="1"/>
        <v>0.3906508365631296</v>
      </c>
      <c r="AH2071" s="2" t="str">
        <f ca="1"/>
        <v>OK</v>
      </c>
    </row>
    <row r="2072" spans="2:34">
      <c r="B2072" s="2">
        <f ca="1"/>
        <v>4.5729714306883773E-2</v>
      </c>
      <c r="O2072" s="2">
        <f ca="1"/>
        <v>-0.8456256537780461</v>
      </c>
      <c r="X2072" s="2">
        <f ca="1"/>
        <v>42.345569274847193</v>
      </c>
      <c r="AG2072" s="2">
        <f ca="1"/>
        <v>0.86863607841649038</v>
      </c>
      <c r="AH2072" s="2" t="str">
        <f ca="1"/>
        <v>Bad</v>
      </c>
    </row>
    <row r="2073" spans="2:34">
      <c r="B2073" s="2">
        <f ca="1"/>
        <v>0.25605971042735476</v>
      </c>
      <c r="O2073" s="2">
        <f ca="1"/>
        <v>-1.7445286605780121</v>
      </c>
      <c r="X2073" s="2">
        <f ca="1"/>
        <v>43.682570282745417</v>
      </c>
      <c r="AG2073" s="2">
        <f ca="1"/>
        <v>2.5286964442824855E-2</v>
      </c>
      <c r="AH2073" s="2" t="str">
        <f ca="1"/>
        <v>Good</v>
      </c>
    </row>
    <row r="2074" spans="2:34">
      <c r="B2074" s="2">
        <f ca="1"/>
        <v>0.14174630773968921</v>
      </c>
      <c r="O2074" s="2">
        <f ca="1"/>
        <v>-1.1839693182368205</v>
      </c>
      <c r="X2074" s="2">
        <f ca="1"/>
        <v>37.722419310302861</v>
      </c>
      <c r="AG2074" s="2">
        <f ca="1"/>
        <v>0.66204064779543725</v>
      </c>
      <c r="AH2074" s="2" t="str">
        <f ca="1"/>
        <v>Bad</v>
      </c>
    </row>
    <row r="2075" spans="2:34">
      <c r="B2075" s="2">
        <f ca="1"/>
        <v>0.49372796495594029</v>
      </c>
      <c r="O2075" s="2">
        <f ca="1"/>
        <v>1.3026228882968529</v>
      </c>
      <c r="X2075" s="2">
        <f ca="1"/>
        <v>51.958470934775931</v>
      </c>
      <c r="AG2075" s="2">
        <f ca="1"/>
        <v>0.32270023651988811</v>
      </c>
      <c r="AH2075" s="2" t="str">
        <f ca="1"/>
        <v>OK</v>
      </c>
    </row>
    <row r="2076" spans="2:34">
      <c r="B2076" s="2">
        <f ca="1"/>
        <v>3.3011833069805707E-2</v>
      </c>
      <c r="O2076" s="2">
        <f ca="1"/>
        <v>-0.87539411391233757</v>
      </c>
      <c r="X2076" s="2">
        <f ca="1"/>
        <v>54.387387777920466</v>
      </c>
      <c r="AG2076" s="2">
        <f ca="1"/>
        <v>0.96411826248702415</v>
      </c>
      <c r="AH2076" s="2" t="str">
        <f ca="1"/>
        <v>Bad</v>
      </c>
    </row>
    <row r="2077" spans="2:34">
      <c r="B2077" s="2">
        <f ca="1"/>
        <v>0.67088568532819615</v>
      </c>
      <c r="O2077" s="2">
        <f ca="1"/>
        <v>0.96871081190559949</v>
      </c>
      <c r="X2077" s="2">
        <f ca="1"/>
        <v>81.12089794043284</v>
      </c>
      <c r="AG2077" s="2">
        <f ca="1"/>
        <v>0.94948961760982908</v>
      </c>
      <c r="AH2077" s="2" t="str">
        <f ca="1"/>
        <v>Bad</v>
      </c>
    </row>
    <row r="2078" spans="2:34">
      <c r="B2078" s="2">
        <f ca="1"/>
        <v>0.43867575621655663</v>
      </c>
      <c r="O2078" s="2">
        <f ca="1"/>
        <v>0.72717844566437639</v>
      </c>
      <c r="X2078" s="2">
        <f ca="1"/>
        <v>47.419511670683619</v>
      </c>
      <c r="AG2078" s="2">
        <f ca="1"/>
        <v>0.38245640700926242</v>
      </c>
      <c r="AH2078" s="2" t="str">
        <f ca="1"/>
        <v>OK</v>
      </c>
    </row>
    <row r="2079" spans="2:34">
      <c r="B2079" s="2">
        <f ca="1"/>
        <v>0.41581850444376323</v>
      </c>
      <c r="O2079" s="2">
        <f ca="1"/>
        <v>0.57928870723760262</v>
      </c>
      <c r="X2079" s="2">
        <f ca="1"/>
        <v>46.879214014596577</v>
      </c>
      <c r="AG2079" s="2">
        <f ca="1"/>
        <v>8.8658268094475634E-2</v>
      </c>
      <c r="AH2079" s="2" t="str">
        <f ca="1"/>
        <v>OK</v>
      </c>
    </row>
    <row r="2080" spans="2:34">
      <c r="B2080" s="2">
        <f ca="1"/>
        <v>0.4872420630002563</v>
      </c>
      <c r="O2080" s="2">
        <f ca="1"/>
        <v>-0.18334579714778151</v>
      </c>
      <c r="X2080" s="2">
        <f ca="1"/>
        <v>35.472237793651821</v>
      </c>
      <c r="AG2080" s="2">
        <f ca="1"/>
        <v>0.13183680177291635</v>
      </c>
      <c r="AH2080" s="2" t="str">
        <f ca="1"/>
        <v>OK</v>
      </c>
    </row>
    <row r="2081" spans="2:34">
      <c r="B2081" s="2">
        <f ca="1"/>
        <v>0.62175879632525133</v>
      </c>
      <c r="O2081" s="2">
        <f ca="1"/>
        <v>0.1744782184681381</v>
      </c>
      <c r="X2081" s="2">
        <f ca="1"/>
        <v>60.629051781457846</v>
      </c>
      <c r="AG2081" s="2">
        <f ca="1"/>
        <v>0.37545189311287808</v>
      </c>
      <c r="AH2081" s="2" t="str">
        <f ca="1"/>
        <v>OK</v>
      </c>
    </row>
    <row r="2082" spans="2:34">
      <c r="B2082" s="2">
        <f ca="1"/>
        <v>4.3316568021712909E-2</v>
      </c>
      <c r="O2082" s="2">
        <f ca="1"/>
        <v>0.2115829762284574</v>
      </c>
      <c r="X2082" s="2">
        <f ca="1"/>
        <v>44.506547128559717</v>
      </c>
      <c r="AG2082" s="2">
        <f ca="1"/>
        <v>0.99756484959026803</v>
      </c>
      <c r="AH2082" s="2" t="str">
        <f ca="1"/>
        <v>Bad</v>
      </c>
    </row>
    <row r="2083" spans="2:34">
      <c r="B2083" s="2">
        <f ca="1"/>
        <v>0.41285204914661766</v>
      </c>
      <c r="O2083" s="2">
        <f ca="1"/>
        <v>1.1669059164636773</v>
      </c>
      <c r="X2083" s="2">
        <f ca="1"/>
        <v>38.259786668977384</v>
      </c>
      <c r="AG2083" s="2">
        <f ca="1"/>
        <v>0.95547923315410599</v>
      </c>
      <c r="AH2083" s="2" t="str">
        <f ca="1"/>
        <v>Bad</v>
      </c>
    </row>
    <row r="2084" spans="2:34">
      <c r="B2084" s="2">
        <f ca="1"/>
        <v>0.31228578893441905</v>
      </c>
      <c r="O2084" s="2">
        <f ca="1"/>
        <v>0.40192548385592242</v>
      </c>
      <c r="X2084" s="2">
        <f ca="1"/>
        <v>60.950662451555047</v>
      </c>
      <c r="AG2084" s="2">
        <f ca="1"/>
        <v>1.6219041214626362E-2</v>
      </c>
      <c r="AH2084" s="2" t="str">
        <f ca="1"/>
        <v>Good</v>
      </c>
    </row>
    <row r="2085" spans="2:34">
      <c r="B2085" s="2">
        <f ca="1"/>
        <v>0.86862332529062303</v>
      </c>
      <c r="O2085" s="2">
        <f ca="1"/>
        <v>-9.5888843706435439E-2</v>
      </c>
      <c r="X2085" s="2">
        <f ca="1"/>
        <v>48.878520926266745</v>
      </c>
      <c r="AG2085" s="2">
        <f ca="1"/>
        <v>0.18339598046590022</v>
      </c>
      <c r="AH2085" s="2" t="str">
        <f ca="1"/>
        <v>OK</v>
      </c>
    </row>
    <row r="2086" spans="2:34">
      <c r="B2086" s="2">
        <f ca="1"/>
        <v>0.66165667013649654</v>
      </c>
      <c r="O2086" s="2">
        <f ca="1"/>
        <v>-1.2816022914623864</v>
      </c>
      <c r="X2086" s="2">
        <f ca="1"/>
        <v>22.393568217793106</v>
      </c>
      <c r="AG2086" s="2">
        <f ca="1"/>
        <v>1.4251436502723536E-3</v>
      </c>
      <c r="AH2086" s="2" t="str">
        <f ca="1"/>
        <v>Good</v>
      </c>
    </row>
    <row r="2087" spans="2:34">
      <c r="B2087" s="2">
        <f ca="1"/>
        <v>0.10592441369664729</v>
      </c>
      <c r="O2087" s="2">
        <f ca="1"/>
        <v>-0.18821319238508291</v>
      </c>
      <c r="X2087" s="2">
        <f ca="1"/>
        <v>38.779935295579911</v>
      </c>
      <c r="AG2087" s="2">
        <f ca="1"/>
        <v>0.27250706832344695</v>
      </c>
      <c r="AH2087" s="2" t="str">
        <f ca="1"/>
        <v>OK</v>
      </c>
    </row>
    <row r="2088" spans="2:34">
      <c r="B2088" s="2">
        <f ca="1"/>
        <v>0.62363753330292604</v>
      </c>
      <c r="O2088" s="2">
        <f ca="1"/>
        <v>-0.2435548992407639</v>
      </c>
      <c r="X2088" s="2">
        <f ca="1"/>
        <v>51.48421750194349</v>
      </c>
      <c r="AG2088" s="2">
        <f ca="1"/>
        <v>0.38853115278807682</v>
      </c>
      <c r="AH2088" s="2" t="str">
        <f ca="1"/>
        <v>OK</v>
      </c>
    </row>
    <row r="2089" spans="2:34">
      <c r="B2089" s="2">
        <f ca="1"/>
        <v>0.90816299848701876</v>
      </c>
      <c r="O2089" s="2">
        <f ca="1"/>
        <v>0.17421047396237696</v>
      </c>
      <c r="X2089" s="2">
        <f ca="1"/>
        <v>50.02037782210116</v>
      </c>
      <c r="AG2089" s="2">
        <f ca="1"/>
        <v>0.58075639960301473</v>
      </c>
      <c r="AH2089" s="2" t="str">
        <f ca="1"/>
        <v>Bad</v>
      </c>
    </row>
    <row r="2090" spans="2:34">
      <c r="B2090" s="2">
        <f ca="1"/>
        <v>0.71507330355727494</v>
      </c>
      <c r="O2090" s="2">
        <f ca="1"/>
        <v>-0.22337231555275006</v>
      </c>
      <c r="X2090" s="2">
        <f ca="1"/>
        <v>31.736667894402313</v>
      </c>
      <c r="AG2090" s="2">
        <f ca="1"/>
        <v>0.24727995829466587</v>
      </c>
      <c r="AH2090" s="2" t="str">
        <f ca="1"/>
        <v>OK</v>
      </c>
    </row>
    <row r="2091" spans="2:34">
      <c r="B2091" s="2">
        <f ca="1"/>
        <v>0.42648550256714923</v>
      </c>
      <c r="O2091" s="2">
        <f ca="1"/>
        <v>-1.5797104788223073E-2</v>
      </c>
      <c r="X2091" s="2">
        <f ca="1"/>
        <v>34.253911224638863</v>
      </c>
      <c r="AG2091" s="2">
        <f ca="1"/>
        <v>0.8082707263044806</v>
      </c>
      <c r="AH2091" s="2" t="str">
        <f ca="1"/>
        <v>Bad</v>
      </c>
    </row>
    <row r="2092" spans="2:34">
      <c r="B2092" s="2">
        <f ca="1"/>
        <v>0.71397573393843872</v>
      </c>
      <c r="O2092" s="2">
        <f ca="1"/>
        <v>1.5858830039480281</v>
      </c>
      <c r="X2092" s="2">
        <f ca="1"/>
        <v>36.3310974557984</v>
      </c>
      <c r="AG2092" s="2">
        <f ca="1"/>
        <v>3.6844138464211529E-2</v>
      </c>
      <c r="AH2092" s="2" t="str">
        <f ca="1"/>
        <v>Good</v>
      </c>
    </row>
    <row r="2093" spans="2:34">
      <c r="B2093" s="2">
        <f ca="1"/>
        <v>0.83026729603944305</v>
      </c>
      <c r="O2093" s="2">
        <f ca="1"/>
        <v>-0.22702529150077405</v>
      </c>
      <c r="X2093" s="2">
        <f ca="1"/>
        <v>45.881455062071439</v>
      </c>
      <c r="AG2093" s="2">
        <f ca="1"/>
        <v>0.22653603515158993</v>
      </c>
      <c r="AH2093" s="2" t="str">
        <f ca="1"/>
        <v>OK</v>
      </c>
    </row>
    <row r="2094" spans="2:34">
      <c r="B2094" s="2">
        <f ca="1"/>
        <v>0.73299120638580018</v>
      </c>
      <c r="O2094" s="2">
        <f ca="1"/>
        <v>-2.1632265296310442</v>
      </c>
      <c r="X2094" s="2">
        <f ca="1"/>
        <v>56.775016472300564</v>
      </c>
      <c r="AG2094" s="2">
        <f ca="1"/>
        <v>0.38442242397178705</v>
      </c>
      <c r="AH2094" s="2" t="str">
        <f ca="1"/>
        <v>OK</v>
      </c>
    </row>
    <row r="2095" spans="2:34">
      <c r="B2095" s="2">
        <f ca="1"/>
        <v>0.29775830829873517</v>
      </c>
      <c r="O2095" s="2">
        <f ca="1"/>
        <v>0.39148997081818981</v>
      </c>
      <c r="X2095" s="2">
        <f ca="1"/>
        <v>52.82913765801878</v>
      </c>
      <c r="AG2095" s="2">
        <f ca="1"/>
        <v>0.20138045162648766</v>
      </c>
      <c r="AH2095" s="2" t="str">
        <f ca="1"/>
        <v>OK</v>
      </c>
    </row>
    <row r="2096" spans="2:34">
      <c r="B2096" s="2">
        <f ca="1"/>
        <v>0.36093952877272484</v>
      </c>
      <c r="O2096" s="2">
        <f ca="1"/>
        <v>-0.89596050769834812</v>
      </c>
      <c r="X2096" s="2">
        <f ca="1"/>
        <v>50.42261969949525</v>
      </c>
      <c r="AG2096" s="2">
        <f ca="1"/>
        <v>0.70534628941034438</v>
      </c>
      <c r="AH2096" s="2" t="str">
        <f ca="1"/>
        <v>Bad</v>
      </c>
    </row>
    <row r="2097" spans="2:34">
      <c r="B2097" s="2">
        <f ca="1"/>
        <v>0.77212151938103801</v>
      </c>
      <c r="O2097" s="2">
        <f ca="1"/>
        <v>-0.98460859930270328</v>
      </c>
      <c r="X2097" s="2">
        <f ca="1"/>
        <v>28.652581069790916</v>
      </c>
      <c r="AG2097" s="2">
        <f ca="1"/>
        <v>0.34715936789274915</v>
      </c>
      <c r="AH2097" s="2" t="str">
        <f ca="1"/>
        <v>OK</v>
      </c>
    </row>
    <row r="2098" spans="2:34">
      <c r="B2098" s="2">
        <f ca="1"/>
        <v>0.93080576816345584</v>
      </c>
      <c r="O2098" s="2">
        <f ca="1"/>
        <v>1.203750740548402</v>
      </c>
      <c r="X2098" s="2">
        <f ca="1"/>
        <v>47.812145011983624</v>
      </c>
      <c r="AG2098" s="2">
        <f ca="1"/>
        <v>0.24332023352290522</v>
      </c>
      <c r="AH2098" s="2" t="str">
        <f ca="1"/>
        <v>OK</v>
      </c>
    </row>
    <row r="2099" spans="2:34">
      <c r="B2099" s="2">
        <f ca="1"/>
        <v>0.5524638813356233</v>
      </c>
      <c r="O2099" s="2">
        <f ca="1"/>
        <v>0.28609427779990942</v>
      </c>
      <c r="X2099" s="2">
        <f ca="1"/>
        <v>35.004036368784234</v>
      </c>
      <c r="AG2099" s="2">
        <f ca="1"/>
        <v>2.624583712544637E-2</v>
      </c>
      <c r="AH2099" s="2" t="str">
        <f ca="1"/>
        <v>Good</v>
      </c>
    </row>
    <row r="2100" spans="2:34">
      <c r="B2100" s="2">
        <f ca="1"/>
        <v>6.0478201722914404E-2</v>
      </c>
      <c r="O2100" s="2">
        <f ca="1"/>
        <v>-0.85657842014633412</v>
      </c>
      <c r="X2100" s="2">
        <f ca="1"/>
        <v>49.995372515129716</v>
      </c>
      <c r="AG2100" s="2">
        <f ca="1"/>
        <v>0.1105225468731228</v>
      </c>
      <c r="AH2100" s="2" t="str">
        <f ca="1"/>
        <v>OK</v>
      </c>
    </row>
    <row r="2101" spans="2:34">
      <c r="B2101" s="2">
        <f ca="1"/>
        <v>0.94384499805330391</v>
      </c>
      <c r="O2101" s="2">
        <f ca="1"/>
        <v>-1.779323720698053</v>
      </c>
      <c r="X2101" s="2">
        <f ca="1"/>
        <v>77.240721731315332</v>
      </c>
      <c r="AG2101" s="2">
        <f ca="1"/>
        <v>0.27495881859784665</v>
      </c>
      <c r="AH2101" s="2" t="str">
        <f ca="1"/>
        <v>OK</v>
      </c>
    </row>
    <row r="2102" spans="2:34">
      <c r="B2102" s="2">
        <f ca="1"/>
        <v>0.75025805897254827</v>
      </c>
      <c r="O2102" s="2">
        <f ca="1"/>
        <v>-1.0441709513457758</v>
      </c>
      <c r="X2102" s="2">
        <f ca="1"/>
        <v>39.290744098781822</v>
      </c>
      <c r="AG2102" s="2">
        <f ca="1"/>
        <v>0.90975857496274237</v>
      </c>
      <c r="AH2102" s="2" t="str">
        <f ca="1"/>
        <v>Bad</v>
      </c>
    </row>
    <row r="2103" spans="2:34">
      <c r="B2103" s="2">
        <f ca="1"/>
        <v>0.18072399769132108</v>
      </c>
      <c r="O2103" s="2">
        <f ca="1"/>
        <v>0.87319189964045074</v>
      </c>
      <c r="X2103" s="2">
        <f ca="1"/>
        <v>37.265409771734326</v>
      </c>
      <c r="AG2103" s="2">
        <f ca="1"/>
        <v>0.10740832018169244</v>
      </c>
      <c r="AH2103" s="2" t="str">
        <f ca="1"/>
        <v>OK</v>
      </c>
    </row>
    <row r="2104" spans="2:34">
      <c r="B2104" s="2">
        <f ca="1"/>
        <v>0.65223240206744482</v>
      </c>
      <c r="O2104" s="2">
        <f ca="1"/>
        <v>-0.30747077520680155</v>
      </c>
      <c r="X2104" s="2">
        <f ca="1"/>
        <v>40.930988008632028</v>
      </c>
      <c r="AG2104" s="2">
        <f ca="1"/>
        <v>0.92040399701299358</v>
      </c>
      <c r="AH2104" s="2" t="str">
        <f ca="1"/>
        <v>Bad</v>
      </c>
    </row>
    <row r="2105" spans="2:34">
      <c r="B2105" s="2">
        <f ca="1"/>
        <v>0.45332692424262855</v>
      </c>
      <c r="O2105" s="2">
        <f ca="1"/>
        <v>-0.98753140835417708</v>
      </c>
      <c r="X2105" s="2">
        <f ca="1"/>
        <v>39.688973475810592</v>
      </c>
      <c r="AG2105" s="2">
        <f ca="1"/>
        <v>0.40616472356245947</v>
      </c>
      <c r="AH2105" s="2" t="str">
        <f ca="1"/>
        <v>Bad</v>
      </c>
    </row>
    <row r="2106" spans="2:34">
      <c r="B2106" s="2">
        <f ca="1"/>
        <v>0.70940714095188251</v>
      </c>
      <c r="O2106" s="2">
        <f ca="1"/>
        <v>-0.78323297638070344</v>
      </c>
      <c r="X2106" s="2">
        <f ca="1"/>
        <v>40.836574743289155</v>
      </c>
      <c r="AG2106" s="2">
        <f ca="1"/>
        <v>7.5914402160866201E-2</v>
      </c>
      <c r="AH2106" s="2" t="str">
        <f ca="1"/>
        <v>OK</v>
      </c>
    </row>
    <row r="2107" spans="2:34">
      <c r="B2107" s="2">
        <f ca="1"/>
        <v>0.59927480451891935</v>
      </c>
      <c r="O2107" s="2">
        <f ca="1"/>
        <v>-1.2382797158517691</v>
      </c>
      <c r="X2107" s="2">
        <f ca="1"/>
        <v>29.721212326743167</v>
      </c>
      <c r="AG2107" s="2">
        <f ca="1"/>
        <v>0.15273755605834305</v>
      </c>
      <c r="AH2107" s="2" t="str">
        <f ca="1"/>
        <v>OK</v>
      </c>
    </row>
    <row r="2108" spans="2:34">
      <c r="B2108" s="2">
        <f ca="1"/>
        <v>0.68960271707345999</v>
      </c>
      <c r="O2108" s="2">
        <f ca="1"/>
        <v>-0.86229168589139815</v>
      </c>
      <c r="X2108" s="2">
        <f ca="1"/>
        <v>52.373533298216387</v>
      </c>
      <c r="AG2108" s="2">
        <f ca="1"/>
        <v>0.92938496737910636</v>
      </c>
      <c r="AH2108" s="2" t="str">
        <f ca="1"/>
        <v>Bad</v>
      </c>
    </row>
    <row r="2109" spans="2:34">
      <c r="B2109" s="2">
        <f ca="1"/>
        <v>8.9156480848047615E-2</v>
      </c>
      <c r="O2109" s="2">
        <f ca="1"/>
        <v>0.87572319986883651</v>
      </c>
      <c r="X2109" s="2">
        <f ca="1"/>
        <v>35.256985971397171</v>
      </c>
      <c r="AG2109" s="2">
        <f ca="1"/>
        <v>0.65429199020838347</v>
      </c>
      <c r="AH2109" s="2" t="str">
        <f ca="1"/>
        <v>Bad</v>
      </c>
    </row>
    <row r="2110" spans="2:34">
      <c r="B2110" s="2">
        <f ca="1"/>
        <v>0.12431178819163935</v>
      </c>
      <c r="O2110" s="2">
        <f ca="1"/>
        <v>1.5138655303909514</v>
      </c>
      <c r="X2110" s="2">
        <f ca="1"/>
        <v>43.524088233830163</v>
      </c>
      <c r="AG2110" s="2">
        <f ca="1"/>
        <v>0.89902349990303931</v>
      </c>
      <c r="AH2110" s="2" t="str">
        <f ca="1"/>
        <v>Bad</v>
      </c>
    </row>
    <row r="2111" spans="2:34">
      <c r="B2111" s="2">
        <f ca="1"/>
        <v>0.66963524039699607</v>
      </c>
      <c r="O2111" s="2">
        <f ca="1"/>
        <v>0.89668412770665384</v>
      </c>
      <c r="X2111" s="2">
        <f ca="1"/>
        <v>44.605689369251849</v>
      </c>
      <c r="AG2111" s="2">
        <f ca="1"/>
        <v>0.6542168908154109</v>
      </c>
      <c r="AH2111" s="2" t="str">
        <f ca="1"/>
        <v>Bad</v>
      </c>
    </row>
    <row r="2112" spans="2:34">
      <c r="B2112" s="2">
        <f ca="1"/>
        <v>0.4342462203581825</v>
      </c>
      <c r="O2112" s="2">
        <f ca="1"/>
        <v>0.41419635251700859</v>
      </c>
      <c r="X2112" s="2">
        <f ca="1"/>
        <v>69.137672207053157</v>
      </c>
      <c r="AG2112" s="2">
        <f ca="1"/>
        <v>0.69912533978505742</v>
      </c>
      <c r="AH2112" s="2" t="str">
        <f ca="1"/>
        <v>Bad</v>
      </c>
    </row>
    <row r="2113" spans="2:34">
      <c r="B2113" s="2">
        <f ca="1"/>
        <v>0.41277447613192164</v>
      </c>
      <c r="O2113" s="2">
        <f ca="1"/>
        <v>6.315651028791916E-2</v>
      </c>
      <c r="X2113" s="2">
        <f ca="1"/>
        <v>52.32905338504434</v>
      </c>
      <c r="AG2113" s="2">
        <f ca="1"/>
        <v>0.30997931429225534</v>
      </c>
      <c r="AH2113" s="2" t="str">
        <f ca="1"/>
        <v>OK</v>
      </c>
    </row>
    <row r="2114" spans="2:34">
      <c r="B2114" s="2">
        <f ca="1"/>
        <v>0.70361606638313678</v>
      </c>
      <c r="O2114" s="2">
        <f ca="1"/>
        <v>-0.1872183342435608</v>
      </c>
      <c r="X2114" s="2">
        <f ca="1"/>
        <v>61.185095031788642</v>
      </c>
      <c r="AG2114" s="2">
        <f ca="1"/>
        <v>0.61111359218075889</v>
      </c>
      <c r="AH2114" s="2" t="str">
        <f ca="1"/>
        <v>Bad</v>
      </c>
    </row>
    <row r="2115" spans="2:34">
      <c r="B2115" s="2">
        <f ca="1"/>
        <v>0.23202737061506062</v>
      </c>
      <c r="O2115" s="2">
        <f ca="1"/>
        <v>-0.85833683035844421</v>
      </c>
      <c r="X2115" s="2">
        <f ca="1"/>
        <v>52.090456396662276</v>
      </c>
      <c r="AG2115" s="2">
        <f ca="1"/>
        <v>0.34178866399149621</v>
      </c>
      <c r="AH2115" s="2" t="str">
        <f ca="1"/>
        <v>OK</v>
      </c>
    </row>
    <row r="2116" spans="2:34">
      <c r="B2116" s="2">
        <f ca="1"/>
        <v>0.30403233839248633</v>
      </c>
      <c r="O2116" s="2">
        <f ca="1"/>
        <v>-0.26517973336100337</v>
      </c>
      <c r="X2116" s="2">
        <f ca="1"/>
        <v>38.084846502481192</v>
      </c>
      <c r="AG2116" s="2">
        <f ca="1"/>
        <v>0.52984966596230598</v>
      </c>
      <c r="AH2116" s="2" t="str">
        <f ca="1"/>
        <v>Bad</v>
      </c>
    </row>
    <row r="2117" spans="2:34">
      <c r="B2117" s="2">
        <f ca="1"/>
        <v>0.65684076175263995</v>
      </c>
      <c r="O2117" s="2">
        <f ca="1"/>
        <v>-1.2079610964622494</v>
      </c>
      <c r="X2117" s="2">
        <f ca="1"/>
        <v>54.704188220808952</v>
      </c>
      <c r="AG2117" s="2">
        <f ca="1"/>
        <v>0.2131622915034963</v>
      </c>
      <c r="AH2117" s="2" t="str">
        <f ca="1"/>
        <v>OK</v>
      </c>
    </row>
    <row r="2118" spans="2:34">
      <c r="B2118" s="2">
        <f ca="1"/>
        <v>0.44669613122494312</v>
      </c>
      <c r="O2118" s="2">
        <f ca="1"/>
        <v>-8.336011037638022E-2</v>
      </c>
      <c r="X2118" s="2">
        <f ca="1"/>
        <v>98.615855156538657</v>
      </c>
      <c r="AG2118" s="2">
        <f ca="1"/>
        <v>0.90559745306208361</v>
      </c>
      <c r="AH2118" s="2" t="str">
        <f ca="1"/>
        <v>Bad</v>
      </c>
    </row>
    <row r="2119" spans="2:34">
      <c r="B2119" s="2">
        <f ca="1"/>
        <v>0.78080382323638986</v>
      </c>
      <c r="O2119" s="2">
        <f ca="1"/>
        <v>-2.0996855526560734</v>
      </c>
      <c r="X2119" s="2">
        <f ca="1"/>
        <v>60.616035452214803</v>
      </c>
      <c r="AG2119" s="2">
        <f ca="1"/>
        <v>0.41983896721697778</v>
      </c>
      <c r="AH2119" s="2" t="str">
        <f ca="1"/>
        <v>Bad</v>
      </c>
    </row>
    <row r="2120" spans="2:34">
      <c r="B2120" s="2">
        <f ca="1"/>
        <v>0.38698058883086039</v>
      </c>
      <c r="O2120" s="2">
        <f ca="1"/>
        <v>1.7730482804236016</v>
      </c>
      <c r="X2120" s="2">
        <f ca="1"/>
        <v>65.103641749167224</v>
      </c>
      <c r="AG2120" s="2">
        <f ca="1"/>
        <v>0.6763879259616703</v>
      </c>
      <c r="AH2120" s="2" t="str">
        <f ca="1"/>
        <v>Bad</v>
      </c>
    </row>
    <row r="2121" spans="2:34">
      <c r="B2121" s="2">
        <f ca="1"/>
        <v>0.46288604615485429</v>
      </c>
      <c r="O2121" s="2">
        <f ca="1"/>
        <v>-6.6943619807207422E-2</v>
      </c>
      <c r="X2121" s="2">
        <f ca="1"/>
        <v>32.063893065237458</v>
      </c>
      <c r="AG2121" s="2">
        <f ca="1"/>
        <v>0.74614706698280009</v>
      </c>
      <c r="AH2121" s="2" t="str">
        <f ca="1"/>
        <v>Bad</v>
      </c>
    </row>
    <row r="2122" spans="2:34">
      <c r="B2122" s="2">
        <f ca="1"/>
        <v>0.61833229751543106</v>
      </c>
      <c r="O2122" s="2">
        <f ca="1"/>
        <v>-0.33784142988344651</v>
      </c>
      <c r="X2122" s="2">
        <f ca="1"/>
        <v>39.958413142248062</v>
      </c>
      <c r="AG2122" s="2">
        <f ca="1"/>
        <v>0.23397772211377421</v>
      </c>
      <c r="AH2122" s="2" t="str">
        <f ca="1"/>
        <v>OK</v>
      </c>
    </row>
    <row r="2123" spans="2:34">
      <c r="B2123" s="2">
        <f ca="1"/>
        <v>0.52546890797604595</v>
      </c>
      <c r="O2123" s="2">
        <f ca="1"/>
        <v>-0.44197899205459801</v>
      </c>
      <c r="X2123" s="2">
        <f ca="1"/>
        <v>45.426200920715956</v>
      </c>
      <c r="AG2123" s="2">
        <f ca="1"/>
        <v>0.61194524957197061</v>
      </c>
      <c r="AH2123" s="2" t="str">
        <f ca="1"/>
        <v>Bad</v>
      </c>
    </row>
    <row r="2124" spans="2:34">
      <c r="B2124" s="2">
        <f ca="1"/>
        <v>0.64100918825610664</v>
      </c>
      <c r="O2124" s="2">
        <f ca="1"/>
        <v>-0.58640789544344063</v>
      </c>
      <c r="X2124" s="2">
        <f ca="1"/>
        <v>38.253976610035437</v>
      </c>
      <c r="AG2124" s="2">
        <f ca="1"/>
        <v>0.87726021142803035</v>
      </c>
      <c r="AH2124" s="2" t="str">
        <f ca="1"/>
        <v>Bad</v>
      </c>
    </row>
    <row r="2125" spans="2:34">
      <c r="B2125" s="2">
        <f ca="1"/>
        <v>0.94038316339401962</v>
      </c>
      <c r="O2125" s="2">
        <f ca="1"/>
        <v>-1.2365130338370836</v>
      </c>
      <c r="X2125" s="2">
        <f ca="1"/>
        <v>50.585586510957583</v>
      </c>
      <c r="AG2125" s="2">
        <f ca="1"/>
        <v>0.54740594896419625</v>
      </c>
      <c r="AH2125" s="2" t="str">
        <f ca="1"/>
        <v>Bad</v>
      </c>
    </row>
    <row r="2126" spans="2:34">
      <c r="B2126" s="2">
        <f ca="1"/>
        <v>0.55227288893563919</v>
      </c>
      <c r="O2126" s="2">
        <f ca="1"/>
        <v>-0.59893738107113648</v>
      </c>
      <c r="X2126" s="2">
        <f ca="1"/>
        <v>62.090108493090398</v>
      </c>
      <c r="AG2126" s="2">
        <f ca="1"/>
        <v>0.51393685840694969</v>
      </c>
      <c r="AH2126" s="2" t="str">
        <f ca="1"/>
        <v>Bad</v>
      </c>
    </row>
    <row r="2127" spans="2:34">
      <c r="B2127" s="2">
        <f ca="1"/>
        <v>0.48913742076395095</v>
      </c>
      <c r="O2127" s="2">
        <f ca="1"/>
        <v>-1.0197096539373356</v>
      </c>
      <c r="X2127" s="2">
        <f ca="1"/>
        <v>54.305294775655085</v>
      </c>
      <c r="AG2127" s="2">
        <f ca="1"/>
        <v>0.74171816908099109</v>
      </c>
      <c r="AH2127" s="2" t="str">
        <f ca="1"/>
        <v>Bad</v>
      </c>
    </row>
    <row r="2128" spans="2:34">
      <c r="B2128" s="2">
        <f ca="1"/>
        <v>0.16471256930199796</v>
      </c>
      <c r="O2128" s="2">
        <f ca="1"/>
        <v>0.89444706523580575</v>
      </c>
      <c r="X2128" s="2">
        <f ca="1"/>
        <v>48.469568917049955</v>
      </c>
      <c r="AG2128" s="2">
        <f ca="1"/>
        <v>0.13561006507924112</v>
      </c>
      <c r="AH2128" s="2" t="str">
        <f ca="1"/>
        <v>OK</v>
      </c>
    </row>
    <row r="2129" spans="2:34">
      <c r="B2129" s="2">
        <f ca="1"/>
        <v>0.86406838639247852</v>
      </c>
      <c r="O2129" s="2">
        <f ca="1"/>
        <v>0.40827476533992185</v>
      </c>
      <c r="X2129" s="2">
        <f ca="1"/>
        <v>48.448720907193632</v>
      </c>
      <c r="AG2129" s="2">
        <f ca="1"/>
        <v>2.8988348250288398E-2</v>
      </c>
      <c r="AH2129" s="2" t="str">
        <f ca="1"/>
        <v>Good</v>
      </c>
    </row>
    <row r="2130" spans="2:34">
      <c r="B2130" s="2">
        <f ca="1"/>
        <v>0.67891023917817961</v>
      </c>
      <c r="O2130" s="2">
        <f ca="1"/>
        <v>-0.3128541359451591</v>
      </c>
      <c r="X2130" s="2">
        <f ca="1"/>
        <v>23.863985098092964</v>
      </c>
      <c r="AG2130" s="2">
        <f ca="1"/>
        <v>0.69140971331623735</v>
      </c>
      <c r="AH2130" s="2" t="str">
        <f ca="1"/>
        <v>Bad</v>
      </c>
    </row>
    <row r="2131" spans="2:34">
      <c r="B2131" s="2">
        <f ca="1"/>
        <v>0.34823105072799909</v>
      </c>
      <c r="O2131" s="2">
        <f ca="1"/>
        <v>0.70707253727799013</v>
      </c>
      <c r="X2131" s="2">
        <f ca="1"/>
        <v>55.963446813174414</v>
      </c>
      <c r="AG2131" s="2">
        <f ca="1"/>
        <v>0.37585595122828286</v>
      </c>
      <c r="AH2131" s="2" t="str">
        <f ca="1"/>
        <v>OK</v>
      </c>
    </row>
    <row r="2132" spans="2:34">
      <c r="B2132" s="2">
        <f ca="1"/>
        <v>0.73502551942325445</v>
      </c>
      <c r="O2132" s="2">
        <f ca="1"/>
        <v>-1.7987580978955238</v>
      </c>
      <c r="X2132" s="2">
        <f ca="1"/>
        <v>51.640470946803617</v>
      </c>
      <c r="AG2132" s="2">
        <f ca="1"/>
        <v>8.0739836162159184E-2</v>
      </c>
      <c r="AH2132" s="2" t="str">
        <f ca="1"/>
        <v>OK</v>
      </c>
    </row>
    <row r="2133" spans="2:34">
      <c r="B2133" s="2">
        <f ca="1"/>
        <v>0.91802034370521524</v>
      </c>
      <c r="O2133" s="2">
        <f ca="1"/>
        <v>1.2851534010189836</v>
      </c>
      <c r="X2133" s="2">
        <f ca="1"/>
        <v>41.280191574346823</v>
      </c>
      <c r="AG2133" s="2">
        <f ca="1"/>
        <v>0.10567487414221088</v>
      </c>
      <c r="AH2133" s="2" t="str">
        <f ca="1"/>
        <v>OK</v>
      </c>
    </row>
    <row r="2134" spans="2:34">
      <c r="B2134" s="2">
        <f ca="1"/>
        <v>4.3406487266889116E-2</v>
      </c>
      <c r="O2134" s="2">
        <f ca="1"/>
        <v>0.49670385741756884</v>
      </c>
      <c r="X2134" s="2">
        <f ca="1"/>
        <v>72.152523309224264</v>
      </c>
      <c r="AG2134" s="2">
        <f ca="1"/>
        <v>0.16063157428649699</v>
      </c>
      <c r="AH2134" s="2" t="str">
        <f ca="1"/>
        <v>OK</v>
      </c>
    </row>
    <row r="2135" spans="2:34">
      <c r="B2135" s="2">
        <f ca="1"/>
        <v>0.87942475140063281</v>
      </c>
      <c r="O2135" s="2">
        <f ca="1"/>
        <v>-1.5260397623983948</v>
      </c>
      <c r="X2135" s="2">
        <f ca="1"/>
        <v>69.013604455233605</v>
      </c>
      <c r="AG2135" s="2">
        <f ca="1"/>
        <v>0.92527654424427963</v>
      </c>
      <c r="AH2135" s="2" t="str">
        <f ca="1"/>
        <v>Bad</v>
      </c>
    </row>
    <row r="2136" spans="2:34">
      <c r="B2136" s="2">
        <f ca="1"/>
        <v>6.752171993978795E-2</v>
      </c>
      <c r="O2136" s="2">
        <f ca="1"/>
        <v>1.8167775377152875E-2</v>
      </c>
      <c r="X2136" s="2">
        <f ca="1"/>
        <v>45.161778548065648</v>
      </c>
      <c r="AG2136" s="2">
        <f ca="1"/>
        <v>0.78212022905724665</v>
      </c>
      <c r="AH2136" s="2" t="str">
        <f ca="1"/>
        <v>Bad</v>
      </c>
    </row>
    <row r="2137" spans="2:34">
      <c r="B2137" s="2">
        <f ca="1"/>
        <v>0.61866383077390918</v>
      </c>
      <c r="O2137" s="2">
        <f ca="1"/>
        <v>9.8140924641325317E-2</v>
      </c>
      <c r="X2137" s="2">
        <f ca="1"/>
        <v>35.117724723872499</v>
      </c>
      <c r="AG2137" s="2">
        <f ca="1"/>
        <v>0.85757120061333558</v>
      </c>
      <c r="AH2137" s="2" t="str">
        <f ca="1"/>
        <v>Bad</v>
      </c>
    </row>
    <row r="2138" spans="2:34">
      <c r="B2138" s="2">
        <f ca="1"/>
        <v>0.66608462723857009</v>
      </c>
      <c r="O2138" s="2">
        <f ca="1"/>
        <v>-0.39109972035355584</v>
      </c>
      <c r="X2138" s="2">
        <f ca="1"/>
        <v>42.983818916187886</v>
      </c>
      <c r="AG2138" s="2">
        <f ca="1"/>
        <v>0.15220062081020758</v>
      </c>
      <c r="AH2138" s="2" t="str">
        <f ca="1"/>
        <v>OK</v>
      </c>
    </row>
    <row r="2139" spans="2:34">
      <c r="B2139" s="2">
        <f ca="1"/>
        <v>0.43602625045841759</v>
      </c>
      <c r="O2139" s="2">
        <f ca="1"/>
        <v>4.9919114415930131E-2</v>
      </c>
      <c r="X2139" s="2">
        <f ca="1"/>
        <v>48.98632730890148</v>
      </c>
      <c r="AG2139" s="2">
        <f ca="1"/>
        <v>0.40678318634056687</v>
      </c>
      <c r="AH2139" s="2" t="str">
        <f ca="1"/>
        <v>Bad</v>
      </c>
    </row>
    <row r="2140" spans="2:34">
      <c r="B2140" s="2">
        <f ca="1"/>
        <v>0.24117641820166069</v>
      </c>
      <c r="O2140" s="2">
        <f ca="1"/>
        <v>-0.28164621909568199</v>
      </c>
      <c r="X2140" s="2">
        <f ca="1"/>
        <v>58.188374470162586</v>
      </c>
      <c r="AG2140" s="2">
        <f ca="1"/>
        <v>0.99811914692896075</v>
      </c>
      <c r="AH2140" s="2" t="str">
        <f ca="1"/>
        <v>Bad</v>
      </c>
    </row>
    <row r="2141" spans="2:34">
      <c r="B2141" s="2">
        <f ca="1"/>
        <v>0.44187262895098467</v>
      </c>
      <c r="O2141" s="2">
        <f ca="1"/>
        <v>-0.60475011624842356</v>
      </c>
      <c r="X2141" s="2">
        <f ca="1"/>
        <v>76.462863038952008</v>
      </c>
      <c r="AG2141" s="2">
        <f ca="1"/>
        <v>9.2632316420203864E-2</v>
      </c>
      <c r="AH2141" s="2" t="str">
        <f ca="1"/>
        <v>OK</v>
      </c>
    </row>
    <row r="2142" spans="2:34">
      <c r="B2142" s="2">
        <f ca="1"/>
        <v>0.14306348276768421</v>
      </c>
      <c r="O2142" s="2">
        <f ca="1"/>
        <v>0.33226621863101335</v>
      </c>
      <c r="X2142" s="2">
        <f ca="1"/>
        <v>27.651870797451707</v>
      </c>
      <c r="AG2142" s="2">
        <f ca="1"/>
        <v>0.70936244217679123</v>
      </c>
      <c r="AH2142" s="2" t="str">
        <f ca="1"/>
        <v>Bad</v>
      </c>
    </row>
    <row r="2143" spans="2:34">
      <c r="B2143" s="2">
        <f ca="1"/>
        <v>0.70694047729803144</v>
      </c>
      <c r="O2143" s="2">
        <f ca="1"/>
        <v>0.75540738242411198</v>
      </c>
      <c r="X2143" s="2">
        <f ca="1"/>
        <v>41.216880353519912</v>
      </c>
      <c r="AG2143" s="2">
        <f ca="1"/>
        <v>0.13176543163410703</v>
      </c>
      <c r="AH2143" s="2" t="str">
        <f ca="1"/>
        <v>OK</v>
      </c>
    </row>
    <row r="2144" spans="2:34">
      <c r="B2144" s="2">
        <f ca="1"/>
        <v>0.60284296127507186</v>
      </c>
      <c r="O2144" s="2">
        <f ca="1"/>
        <v>2.5502309929118026</v>
      </c>
      <c r="X2144" s="2">
        <f ca="1"/>
        <v>37.901050154912006</v>
      </c>
      <c r="AG2144" s="2">
        <f ca="1"/>
        <v>0.64413413727549873</v>
      </c>
      <c r="AH2144" s="2" t="str">
        <f ca="1"/>
        <v>Bad</v>
      </c>
    </row>
    <row r="2145" spans="2:34">
      <c r="B2145" s="2">
        <f ca="1"/>
        <v>0.78740906466942406</v>
      </c>
      <c r="O2145" s="2">
        <f ca="1"/>
        <v>0.52228890687421092</v>
      </c>
      <c r="X2145" s="2">
        <f ca="1"/>
        <v>52.679969951114877</v>
      </c>
      <c r="AG2145" s="2">
        <f ca="1"/>
        <v>0.32052797642172659</v>
      </c>
      <c r="AH2145" s="2" t="str">
        <f ca="1"/>
        <v>OK</v>
      </c>
    </row>
    <row r="2146" spans="2:34">
      <c r="B2146" s="2">
        <f ca="1"/>
        <v>0.48100328416346949</v>
      </c>
      <c r="O2146" s="2">
        <f ca="1"/>
        <v>0.39004600592818761</v>
      </c>
      <c r="X2146" s="2">
        <f ca="1"/>
        <v>75.493774140376345</v>
      </c>
      <c r="AG2146" s="2">
        <f ca="1"/>
        <v>3.849846917991151E-2</v>
      </c>
      <c r="AH2146" s="2" t="str">
        <f ca="1"/>
        <v>Good</v>
      </c>
    </row>
    <row r="2147" spans="2:34">
      <c r="B2147" s="2">
        <f ca="1"/>
        <v>0.45237099942300874</v>
      </c>
      <c r="O2147" s="2">
        <f ca="1"/>
        <v>1.9622682082323892</v>
      </c>
      <c r="X2147" s="2">
        <f ca="1"/>
        <v>52.355174306330298</v>
      </c>
      <c r="AG2147" s="2">
        <f ca="1"/>
        <v>0.72550266030014621</v>
      </c>
      <c r="AH2147" s="2" t="str">
        <f ca="1"/>
        <v>Bad</v>
      </c>
    </row>
    <row r="2148" spans="2:34">
      <c r="B2148" s="2">
        <f ca="1"/>
        <v>0.75997341402451735</v>
      </c>
      <c r="O2148" s="2">
        <f ca="1"/>
        <v>-0.57992260149576536</v>
      </c>
      <c r="X2148" s="2">
        <f ca="1"/>
        <v>41.341451494431595</v>
      </c>
      <c r="AG2148" s="2">
        <f ca="1"/>
        <v>0.12736580911873174</v>
      </c>
      <c r="AH2148" s="2" t="str">
        <f ca="1"/>
        <v>OK</v>
      </c>
    </row>
    <row r="2149" spans="2:34">
      <c r="B2149" s="2">
        <f ca="1"/>
        <v>0.31374392863261003</v>
      </c>
      <c r="O2149" s="2">
        <f ca="1"/>
        <v>0.30895425002923599</v>
      </c>
      <c r="X2149" s="2">
        <f ca="1"/>
        <v>29.342713573739875</v>
      </c>
      <c r="AG2149" s="2">
        <f ca="1"/>
        <v>0.16827227198842021</v>
      </c>
      <c r="AH2149" s="2" t="str">
        <f ca="1"/>
        <v>OK</v>
      </c>
    </row>
    <row r="2150" spans="2:34">
      <c r="B2150" s="2">
        <f ca="1"/>
        <v>0.5048554264131746</v>
      </c>
      <c r="O2150" s="2">
        <f ca="1"/>
        <v>0.24006039628044509</v>
      </c>
      <c r="X2150" s="2">
        <f ca="1"/>
        <v>30.181272467859067</v>
      </c>
      <c r="AG2150" s="2">
        <f ca="1"/>
        <v>0.86443376794952531</v>
      </c>
      <c r="AH2150" s="2" t="str">
        <f ca="1"/>
        <v>Bad</v>
      </c>
    </row>
    <row r="2151" spans="2:34">
      <c r="B2151" s="2">
        <f ca="1"/>
        <v>0.78998677004814821</v>
      </c>
      <c r="O2151" s="2">
        <f ca="1"/>
        <v>0.65148572461507925</v>
      </c>
      <c r="X2151" s="2">
        <f ca="1"/>
        <v>60.944366994139088</v>
      </c>
      <c r="AG2151" s="2">
        <f ca="1"/>
        <v>0.80270970402571962</v>
      </c>
      <c r="AH2151" s="2" t="str">
        <f ca="1"/>
        <v>Bad</v>
      </c>
    </row>
    <row r="2152" spans="2:34">
      <c r="B2152" s="2">
        <f ca="1"/>
        <v>0.22604434675207874</v>
      </c>
      <c r="O2152" s="2">
        <f ca="1"/>
        <v>1.6668020027053014</v>
      </c>
      <c r="X2152" s="2">
        <f ca="1"/>
        <v>41.066071585710674</v>
      </c>
      <c r="AG2152" s="2">
        <f ca="1"/>
        <v>0.60713968498401094</v>
      </c>
      <c r="AH2152" s="2" t="str">
        <f ca="1"/>
        <v>Bad</v>
      </c>
    </row>
    <row r="2153" spans="2:34">
      <c r="B2153" s="2">
        <f ca="1"/>
        <v>0.7616097650212279</v>
      </c>
      <c r="O2153" s="2">
        <f ca="1"/>
        <v>-1.0839377051589063</v>
      </c>
      <c r="X2153" s="2">
        <f ca="1"/>
        <v>42.828126541551931</v>
      </c>
      <c r="AG2153" s="2">
        <f ca="1"/>
        <v>0.12855165564066784</v>
      </c>
      <c r="AH2153" s="2" t="str">
        <f ca="1"/>
        <v>OK</v>
      </c>
    </row>
    <row r="2154" spans="2:34">
      <c r="B2154" s="2">
        <f ca="1"/>
        <v>0.24573327052316496</v>
      </c>
      <c r="O2154" s="2">
        <f ca="1"/>
        <v>-0.72532729653951644</v>
      </c>
      <c r="X2154" s="2">
        <f ca="1"/>
        <v>42.158814417219503</v>
      </c>
      <c r="AG2154" s="2">
        <f ca="1"/>
        <v>6.7082647059842682E-2</v>
      </c>
      <c r="AH2154" s="2" t="str">
        <f ca="1"/>
        <v>OK</v>
      </c>
    </row>
    <row r="2155" spans="2:34">
      <c r="B2155" s="2">
        <f ca="1"/>
        <v>0.12090718622733743</v>
      </c>
      <c r="O2155" s="2">
        <f ca="1"/>
        <v>-0.72661075955524046</v>
      </c>
      <c r="X2155" s="2">
        <f ca="1"/>
        <v>70.909720563911947</v>
      </c>
      <c r="AG2155" s="2">
        <f ca="1"/>
        <v>0.80523517065131345</v>
      </c>
      <c r="AH2155" s="2" t="str">
        <f ca="1"/>
        <v>Bad</v>
      </c>
    </row>
    <row r="2156" spans="2:34">
      <c r="B2156" s="2">
        <f ca="1"/>
        <v>0.6202822746587171</v>
      </c>
      <c r="O2156" s="2">
        <f ca="1"/>
        <v>0.36202710945729494</v>
      </c>
      <c r="X2156" s="2">
        <f ca="1"/>
        <v>55.174156949327596</v>
      </c>
      <c r="AG2156" s="2">
        <f ca="1"/>
        <v>0.42458025726679338</v>
      </c>
      <c r="AH2156" s="2" t="str">
        <f ca="1"/>
        <v>Bad</v>
      </c>
    </row>
    <row r="2157" spans="2:34">
      <c r="B2157" s="2">
        <f ca="1"/>
        <v>1.3800277903390779E-2</v>
      </c>
      <c r="O2157" s="2">
        <f ca="1"/>
        <v>-0.33139564876141264</v>
      </c>
      <c r="X2157" s="2">
        <f ca="1"/>
        <v>41.133798167837305</v>
      </c>
      <c r="AG2157" s="2">
        <f ca="1"/>
        <v>0.89643960251958466</v>
      </c>
      <c r="AH2157" s="2" t="str">
        <f ca="1"/>
        <v>Bad</v>
      </c>
    </row>
    <row r="2158" spans="2:34">
      <c r="B2158" s="2">
        <f ca="1"/>
        <v>0.99166566270951462</v>
      </c>
      <c r="O2158" s="2">
        <f ca="1"/>
        <v>-0.25590204131770711</v>
      </c>
      <c r="X2158" s="2">
        <f ca="1"/>
        <v>55.600197553607948</v>
      </c>
      <c r="AG2158" s="2">
        <f ca="1"/>
        <v>0.96449381758444686</v>
      </c>
      <c r="AH2158" s="2" t="str">
        <f ca="1"/>
        <v>Bad</v>
      </c>
    </row>
    <row r="2159" spans="2:34">
      <c r="B2159" s="2">
        <f ca="1"/>
        <v>1.0575094052644562E-2</v>
      </c>
      <c r="O2159" s="2">
        <f ca="1"/>
        <v>0.44445527315359812</v>
      </c>
      <c r="X2159" s="2">
        <f ca="1"/>
        <v>70.779700434641072</v>
      </c>
      <c r="AG2159" s="2">
        <f ca="1"/>
        <v>0.74549299178220751</v>
      </c>
      <c r="AH2159" s="2" t="str">
        <f ca="1"/>
        <v>Bad</v>
      </c>
    </row>
    <row r="2160" spans="2:34">
      <c r="B2160" s="2">
        <f ca="1"/>
        <v>7.0656364298601337E-2</v>
      </c>
      <c r="O2160" s="2">
        <f ca="1"/>
        <v>1.9232218176821466E-2</v>
      </c>
      <c r="X2160" s="2">
        <f ca="1"/>
        <v>53.674202252191712</v>
      </c>
      <c r="AG2160" s="2">
        <f ca="1"/>
        <v>0.59481011938341877</v>
      </c>
      <c r="AH2160" s="2" t="str">
        <f ca="1"/>
        <v>Bad</v>
      </c>
    </row>
    <row r="2161" spans="2:34">
      <c r="B2161" s="2">
        <f ca="1"/>
        <v>0.70474366660826715</v>
      </c>
      <c r="O2161" s="2">
        <f ca="1"/>
        <v>-3.6095130310335073E-2</v>
      </c>
      <c r="X2161" s="2">
        <f ca="1"/>
        <v>30.715501132183881</v>
      </c>
      <c r="AG2161" s="2">
        <f ca="1"/>
        <v>0.79939061474220185</v>
      </c>
      <c r="AH2161" s="2" t="str">
        <f ca="1"/>
        <v>Bad</v>
      </c>
    </row>
    <row r="2162" spans="2:34">
      <c r="B2162" s="2">
        <f ca="1"/>
        <v>0.57316457202405746</v>
      </c>
      <c r="O2162" s="2">
        <f ca="1"/>
        <v>-0.39553102413389146</v>
      </c>
      <c r="X2162" s="2">
        <f ca="1"/>
        <v>46.340272279535107</v>
      </c>
      <c r="AG2162" s="2">
        <f ca="1"/>
        <v>0.56568251134094338</v>
      </c>
      <c r="AH2162" s="2" t="str">
        <f ca="1"/>
        <v>Bad</v>
      </c>
    </row>
    <row r="2163" spans="2:34">
      <c r="B2163" s="2">
        <f ca="1"/>
        <v>0.27885166664283823</v>
      </c>
      <c r="O2163" s="2">
        <f ca="1"/>
        <v>0.37049019094465069</v>
      </c>
      <c r="X2163" s="2">
        <f ca="1"/>
        <v>63.63994809848937</v>
      </c>
      <c r="AG2163" s="2">
        <f ca="1"/>
        <v>3.4969237387069807E-2</v>
      </c>
      <c r="AH2163" s="2" t="str">
        <f ca="1"/>
        <v>Good</v>
      </c>
    </row>
    <row r="2164" spans="2:34">
      <c r="B2164" s="2">
        <f ca="1"/>
        <v>0.56295125587392314</v>
      </c>
      <c r="O2164" s="2">
        <f ca="1"/>
        <v>0.26271172724153236</v>
      </c>
      <c r="X2164" s="2">
        <f ca="1"/>
        <v>53.822445169857865</v>
      </c>
      <c r="AG2164" s="2">
        <f ca="1"/>
        <v>0.68569425954186625</v>
      </c>
      <c r="AH2164" s="2" t="str">
        <f ca="1"/>
        <v>Bad</v>
      </c>
    </row>
    <row r="2165" spans="2:34">
      <c r="B2165" s="2">
        <f ca="1"/>
        <v>0.10526048506321484</v>
      </c>
      <c r="O2165" s="2">
        <f ca="1"/>
        <v>-4.3689427780662649E-2</v>
      </c>
      <c r="X2165" s="2">
        <f ca="1"/>
        <v>43.39895617224574</v>
      </c>
      <c r="AG2165" s="2">
        <f ca="1"/>
        <v>0.7513314376116087</v>
      </c>
      <c r="AH2165" s="2" t="str">
        <f ca="1"/>
        <v>Bad</v>
      </c>
    </row>
    <row r="2166" spans="2:34">
      <c r="B2166" s="2">
        <f ca="1"/>
        <v>0.17274350009868633</v>
      </c>
      <c r="O2166" s="2">
        <f ca="1"/>
        <v>-0.11845320631674933</v>
      </c>
      <c r="X2166" s="2">
        <f ca="1"/>
        <v>76.090774648765475</v>
      </c>
      <c r="AG2166" s="2">
        <f ca="1"/>
        <v>0.91661010472828974</v>
      </c>
      <c r="AH2166" s="2" t="str">
        <f ca="1"/>
        <v>Bad</v>
      </c>
    </row>
    <row r="2167" spans="2:34">
      <c r="B2167" s="2">
        <f ca="1"/>
        <v>0.98471023921515943</v>
      </c>
      <c r="O2167" s="2">
        <f ca="1"/>
        <v>0.87570645371960065</v>
      </c>
      <c r="X2167" s="2">
        <f ca="1"/>
        <v>39.370644338681245</v>
      </c>
      <c r="AG2167" s="2">
        <f ca="1"/>
        <v>0.40211779590712671</v>
      </c>
      <c r="AH2167" s="2" t="str">
        <f ca="1"/>
        <v>Bad</v>
      </c>
    </row>
    <row r="2168" spans="2:34">
      <c r="B2168" s="2">
        <f ca="1"/>
        <v>9.4197197033534019E-2</v>
      </c>
      <c r="O2168" s="2">
        <f ca="1"/>
        <v>-0.76036638083608443</v>
      </c>
      <c r="X2168" s="2">
        <f ca="1"/>
        <v>31.166438568248658</v>
      </c>
      <c r="AG2168" s="2">
        <f ca="1"/>
        <v>0.37428801178565996</v>
      </c>
      <c r="AH2168" s="2" t="str">
        <f ca="1"/>
        <v>OK</v>
      </c>
    </row>
    <row r="2169" spans="2:34">
      <c r="B2169" s="2">
        <f ca="1"/>
        <v>0.79055920739137453</v>
      </c>
      <c r="O2169" s="2">
        <f ca="1"/>
        <v>-0.79248984544992018</v>
      </c>
      <c r="X2169" s="2">
        <f ca="1"/>
        <v>50.085452165182303</v>
      </c>
      <c r="AG2169" s="2">
        <f ca="1"/>
        <v>7.2341327777694087E-2</v>
      </c>
      <c r="AH2169" s="2" t="str">
        <f ca="1"/>
        <v>OK</v>
      </c>
    </row>
    <row r="2170" spans="2:34">
      <c r="B2170" s="2">
        <f ca="1"/>
        <v>0.2172491468849107</v>
      </c>
      <c r="O2170" s="2">
        <f ca="1"/>
        <v>4.2824135237262598E-2</v>
      </c>
      <c r="X2170" s="2">
        <f ca="1"/>
        <v>37.742800377158133</v>
      </c>
      <c r="AG2170" s="2">
        <f ca="1"/>
        <v>0.43980340874760038</v>
      </c>
      <c r="AH2170" s="2" t="str">
        <f ca="1"/>
        <v>Bad</v>
      </c>
    </row>
    <row r="2171" spans="2:34">
      <c r="B2171" s="2">
        <f ca="1"/>
        <v>0.70046907617489973</v>
      </c>
      <c r="O2171" s="2">
        <f ca="1"/>
        <v>-0.70587234888770778</v>
      </c>
      <c r="X2171" s="2">
        <f ca="1"/>
        <v>44.709831643443685</v>
      </c>
      <c r="AG2171" s="2">
        <f ca="1"/>
        <v>0.7534415943629702</v>
      </c>
      <c r="AH2171" s="2" t="str">
        <f ca="1"/>
        <v>Bad</v>
      </c>
    </row>
    <row r="2172" spans="2:34">
      <c r="B2172" s="2">
        <f ca="1"/>
        <v>0.93038418259856281</v>
      </c>
      <c r="O2172" s="2">
        <f ca="1"/>
        <v>-0.32008295703179918</v>
      </c>
      <c r="X2172" s="2">
        <f ca="1"/>
        <v>64.048908451221692</v>
      </c>
      <c r="AG2172" s="2">
        <f ca="1"/>
        <v>0.89041503940335898</v>
      </c>
      <c r="AH2172" s="2" t="str">
        <f ca="1"/>
        <v>Bad</v>
      </c>
    </row>
    <row r="2173" spans="2:34">
      <c r="B2173" s="2">
        <f ca="1"/>
        <v>9.5725863342012607E-2</v>
      </c>
      <c r="O2173" s="2">
        <f ca="1"/>
        <v>-0.44258129570776733</v>
      </c>
      <c r="X2173" s="2">
        <f ca="1"/>
        <v>42.318262560100152</v>
      </c>
      <c r="AG2173" s="2">
        <f ca="1"/>
        <v>0.20722477806951045</v>
      </c>
      <c r="AH2173" s="2" t="str">
        <f ca="1"/>
        <v>OK</v>
      </c>
    </row>
    <row r="2174" spans="2:34">
      <c r="B2174" s="2">
        <f ca="1"/>
        <v>0.68441482055248137</v>
      </c>
      <c r="O2174" s="2">
        <f ca="1"/>
        <v>3.6519703940194027E-2</v>
      </c>
      <c r="X2174" s="2">
        <f ca="1"/>
        <v>76.913172666781634</v>
      </c>
      <c r="AG2174" s="2">
        <f ca="1"/>
        <v>0.16447208835783078</v>
      </c>
      <c r="AH2174" s="2" t="str">
        <f ca="1"/>
        <v>OK</v>
      </c>
    </row>
    <row r="2175" spans="2:34">
      <c r="B2175" s="2">
        <f ca="1"/>
        <v>0.21168780740193127</v>
      </c>
      <c r="O2175" s="2">
        <f ca="1"/>
        <v>1.5546210813894012</v>
      </c>
      <c r="X2175" s="2">
        <f ca="1"/>
        <v>44.589592164196539</v>
      </c>
      <c r="AG2175" s="2">
        <f ca="1"/>
        <v>0.26790468430896963</v>
      </c>
      <c r="AH2175" s="2" t="str">
        <f ca="1"/>
        <v>OK</v>
      </c>
    </row>
    <row r="2176" spans="2:34">
      <c r="B2176" s="2">
        <f ca="1"/>
        <v>4.4772469577130103E-3</v>
      </c>
      <c r="O2176" s="2">
        <f ca="1"/>
        <v>-0.80842448381668819</v>
      </c>
      <c r="X2176" s="2">
        <f ca="1"/>
        <v>36.557816478731496</v>
      </c>
      <c r="AG2176" s="2">
        <f ca="1"/>
        <v>0.70144466804566741</v>
      </c>
      <c r="AH2176" s="2" t="str">
        <f ca="1"/>
        <v>Bad</v>
      </c>
    </row>
    <row r="2177" spans="2:34">
      <c r="B2177" s="2">
        <f ca="1"/>
        <v>0.40320092304671862</v>
      </c>
      <c r="O2177" s="2">
        <f ca="1"/>
        <v>-8.1661970979147777E-2</v>
      </c>
      <c r="X2177" s="2">
        <f ca="1"/>
        <v>53.60655202642085</v>
      </c>
      <c r="AG2177" s="2">
        <f ca="1"/>
        <v>0.89658651446820881</v>
      </c>
      <c r="AH2177" s="2" t="str">
        <f ca="1"/>
        <v>Bad</v>
      </c>
    </row>
    <row r="2178" spans="2:34">
      <c r="B2178" s="2">
        <f ca="1"/>
        <v>0.8122434915889909</v>
      </c>
      <c r="O2178" s="2">
        <f ca="1"/>
        <v>0.78523898607807197</v>
      </c>
      <c r="X2178" s="2">
        <f ca="1"/>
        <v>52.035876384507546</v>
      </c>
      <c r="AG2178" s="2">
        <f ca="1"/>
        <v>0.23886555222790884</v>
      </c>
      <c r="AH2178" s="2" t="str">
        <f ca="1"/>
        <v>OK</v>
      </c>
    </row>
    <row r="2179" spans="2:34">
      <c r="B2179" s="2">
        <f ca="1"/>
        <v>0.90667534081617318</v>
      </c>
      <c r="O2179" s="2">
        <f ca="1"/>
        <v>0.54007068291127724</v>
      </c>
      <c r="X2179" s="2">
        <f ca="1"/>
        <v>49.379975862749426</v>
      </c>
      <c r="AG2179" s="2">
        <f ca="1"/>
        <v>0.94477238108722661</v>
      </c>
      <c r="AH2179" s="2" t="str">
        <f ca="1"/>
        <v>Bad</v>
      </c>
    </row>
    <row r="2180" spans="2:34">
      <c r="B2180" s="2">
        <f ca="1"/>
        <v>0.1641658938310524</v>
      </c>
      <c r="O2180" s="2">
        <f ca="1"/>
        <v>2.0170245924815227</v>
      </c>
      <c r="X2180" s="2">
        <f ca="1"/>
        <v>52.261223620407435</v>
      </c>
      <c r="AG2180" s="2">
        <f ca="1"/>
        <v>0.70699688403919669</v>
      </c>
      <c r="AH2180" s="2" t="str">
        <f ca="1"/>
        <v>Bad</v>
      </c>
    </row>
    <row r="2181" spans="2:34">
      <c r="B2181" s="2">
        <f ca="1"/>
        <v>0.35169215143029264</v>
      </c>
      <c r="O2181" s="2">
        <f ca="1"/>
        <v>-0.49934375263029851</v>
      </c>
      <c r="X2181" s="2">
        <f ca="1"/>
        <v>11.697980554470247</v>
      </c>
      <c r="AG2181" s="2">
        <f ca="1"/>
        <v>6.4462731075397572E-2</v>
      </c>
      <c r="AH2181" s="2" t="str">
        <f ca="1"/>
        <v>OK</v>
      </c>
    </row>
    <row r="2182" spans="2:34">
      <c r="B2182" s="2">
        <f ca="1"/>
        <v>5.903585565204339E-2</v>
      </c>
      <c r="O2182" s="2">
        <f ca="1"/>
        <v>-1.9174341909525081</v>
      </c>
      <c r="X2182" s="2">
        <f ca="1"/>
        <v>64.637499212578859</v>
      </c>
      <c r="AG2182" s="2">
        <f ca="1"/>
        <v>5.4418900756713962E-2</v>
      </c>
      <c r="AH2182" s="2" t="str">
        <f ca="1"/>
        <v>OK</v>
      </c>
    </row>
    <row r="2183" spans="2:34">
      <c r="B2183" s="2">
        <f ca="1"/>
        <v>2.3080717693285902E-2</v>
      </c>
      <c r="O2183" s="2">
        <f ca="1"/>
        <v>-0.19870913793401079</v>
      </c>
      <c r="X2183" s="2">
        <f ca="1"/>
        <v>84.28877094668249</v>
      </c>
      <c r="AG2183" s="2">
        <f ca="1"/>
        <v>0.1229256292343357</v>
      </c>
      <c r="AH2183" s="2" t="str">
        <f ca="1"/>
        <v>OK</v>
      </c>
    </row>
    <row r="2184" spans="2:34">
      <c r="B2184" s="2">
        <f ca="1"/>
        <v>0.77251459779517351</v>
      </c>
      <c r="O2184" s="2">
        <f ca="1"/>
        <v>6.8633509836335538E-3</v>
      </c>
      <c r="X2184" s="2">
        <f ca="1"/>
        <v>50.489784583655528</v>
      </c>
      <c r="AG2184" s="2">
        <f ca="1"/>
        <v>0.3313140324360333</v>
      </c>
      <c r="AH2184" s="2" t="str">
        <f ca="1"/>
        <v>OK</v>
      </c>
    </row>
    <row r="2185" spans="2:34">
      <c r="B2185" s="2">
        <f ca="1"/>
        <v>0.75807895503230371</v>
      </c>
      <c r="O2185" s="2">
        <f ca="1"/>
        <v>-0.52906599187878867</v>
      </c>
      <c r="X2185" s="2">
        <f ca="1"/>
        <v>51.591480663448948</v>
      </c>
      <c r="AG2185" s="2">
        <f ca="1"/>
        <v>0.11193714697166879</v>
      </c>
      <c r="AH2185" s="2" t="str">
        <f ca="1"/>
        <v>OK</v>
      </c>
    </row>
    <row r="2186" spans="2:34">
      <c r="B2186" s="2">
        <f ca="1"/>
        <v>0.80386470271897403</v>
      </c>
      <c r="O2186" s="2">
        <f ca="1"/>
        <v>-0.83955381230235904</v>
      </c>
      <c r="X2186" s="2">
        <f ca="1"/>
        <v>43.034798031964328</v>
      </c>
      <c r="AG2186" s="2">
        <f ca="1"/>
        <v>0.75715352233274946</v>
      </c>
      <c r="AH2186" s="2" t="str">
        <f ca="1"/>
        <v>Bad</v>
      </c>
    </row>
    <row r="2187" spans="2:34">
      <c r="B2187" s="2">
        <f ca="1"/>
        <v>3.2839841301597561E-2</v>
      </c>
      <c r="O2187" s="2">
        <f ca="1"/>
        <v>1.4185220089472805</v>
      </c>
      <c r="X2187" s="2">
        <f ca="1"/>
        <v>40.306099589336092</v>
      </c>
      <c r="AG2187" s="2">
        <f ca="1"/>
        <v>0.24849058400462787</v>
      </c>
      <c r="AH2187" s="2" t="str">
        <f ca="1"/>
        <v>OK</v>
      </c>
    </row>
    <row r="2188" spans="2:34">
      <c r="B2188" s="2">
        <f ca="1"/>
        <v>0.55854516440010582</v>
      </c>
      <c r="O2188" s="2">
        <f ca="1"/>
        <v>0.41371311840861291</v>
      </c>
      <c r="X2188" s="2">
        <f ca="1"/>
        <v>29.975550325065292</v>
      </c>
      <c r="AG2188" s="2">
        <f ca="1"/>
        <v>7.0061308082663087E-2</v>
      </c>
      <c r="AH2188" s="2" t="str">
        <f ca="1"/>
        <v>OK</v>
      </c>
    </row>
    <row r="2189" spans="2:34">
      <c r="B2189" s="2">
        <f ca="1"/>
        <v>0.72102059254146345</v>
      </c>
      <c r="O2189" s="2">
        <f ca="1"/>
        <v>0.29464534274925602</v>
      </c>
      <c r="X2189" s="2">
        <f ca="1"/>
        <v>55.914574560789887</v>
      </c>
      <c r="AG2189" s="2">
        <f ca="1"/>
        <v>0.19156882092304084</v>
      </c>
      <c r="AH2189" s="2" t="str">
        <f ca="1"/>
        <v>OK</v>
      </c>
    </row>
    <row r="2190" spans="2:34">
      <c r="B2190" s="2">
        <f ca="1"/>
        <v>6.3981797962474607E-2</v>
      </c>
      <c r="O2190" s="2">
        <f ca="1"/>
        <v>0.5359690411913175</v>
      </c>
      <c r="X2190" s="2">
        <f ca="1"/>
        <v>59.893829550479339</v>
      </c>
      <c r="AG2190" s="2">
        <f ca="1"/>
        <v>0.86789137093428037</v>
      </c>
      <c r="AH2190" s="2" t="str">
        <f ca="1"/>
        <v>Bad</v>
      </c>
    </row>
    <row r="2191" spans="2:34">
      <c r="B2191" s="2">
        <f ca="1"/>
        <v>0.8261517739210531</v>
      </c>
      <c r="O2191" s="2">
        <f ca="1"/>
        <v>-0.1550232901917111</v>
      </c>
      <c r="X2191" s="2">
        <f ca="1"/>
        <v>27.055466212526905</v>
      </c>
      <c r="AG2191" s="2">
        <f ca="1"/>
        <v>0.79325389044033923</v>
      </c>
      <c r="AH2191" s="2" t="str">
        <f ca="1"/>
        <v>Bad</v>
      </c>
    </row>
    <row r="2192" spans="2:34">
      <c r="B2192" s="2">
        <f ca="1"/>
        <v>0.10613418661204532</v>
      </c>
      <c r="O2192" s="2">
        <f ca="1"/>
        <v>1.049811822766028</v>
      </c>
      <c r="X2192" s="2">
        <f ca="1"/>
        <v>92.911412794049468</v>
      </c>
      <c r="AG2192" s="2">
        <f ca="1"/>
        <v>0.91818813086924211</v>
      </c>
      <c r="AH2192" s="2" t="str">
        <f ca="1"/>
        <v>Bad</v>
      </c>
    </row>
    <row r="2193" spans="2:34">
      <c r="B2193" s="2">
        <f ca="1"/>
        <v>0.14628544659347886</v>
      </c>
      <c r="O2193" s="2">
        <f ca="1"/>
        <v>-0.57873107144972258</v>
      </c>
      <c r="X2193" s="2">
        <f ca="1"/>
        <v>37.865469100235494</v>
      </c>
      <c r="AG2193" s="2">
        <f ca="1"/>
        <v>0.71522640901579226</v>
      </c>
      <c r="AH2193" s="2" t="str">
        <f ca="1"/>
        <v>Bad</v>
      </c>
    </row>
    <row r="2194" spans="2:34">
      <c r="B2194" s="2">
        <f ca="1"/>
        <v>0.67534472900147136</v>
      </c>
      <c r="O2194" s="2">
        <f ca="1"/>
        <v>0.58013245329141527</v>
      </c>
      <c r="X2194" s="2">
        <f ca="1"/>
        <v>60.801804305671794</v>
      </c>
      <c r="AG2194" s="2">
        <f ca="1"/>
        <v>1.5429726410400413E-2</v>
      </c>
      <c r="AH2194" s="2" t="str">
        <f ca="1"/>
        <v>Good</v>
      </c>
    </row>
    <row r="2195" spans="2:34">
      <c r="B2195" s="2">
        <f ca="1"/>
        <v>0.82457481566538293</v>
      </c>
      <c r="O2195" s="2">
        <f ca="1"/>
        <v>-1.2466519529657665</v>
      </c>
      <c r="X2195" s="2">
        <f ca="1"/>
        <v>68.067047400648789</v>
      </c>
      <c r="AG2195" s="2">
        <f ca="1"/>
        <v>0.20636931097777955</v>
      </c>
      <c r="AH2195" s="2" t="str">
        <f ca="1"/>
        <v>OK</v>
      </c>
    </row>
    <row r="2196" spans="2:34">
      <c r="B2196" s="2">
        <f ca="1"/>
        <v>0.58398963779898905</v>
      </c>
      <c r="O2196" s="2">
        <f ca="1"/>
        <v>1.126551227824117</v>
      </c>
      <c r="X2196" s="2">
        <f ca="1"/>
        <v>21.0629416185648</v>
      </c>
      <c r="AG2196" s="2">
        <f ca="1"/>
        <v>0.96688404623094204</v>
      </c>
      <c r="AH2196" s="2" t="str">
        <f ca="1"/>
        <v>Bad</v>
      </c>
    </row>
    <row r="2197" spans="2:34">
      <c r="B2197" s="2">
        <f ca="1"/>
        <v>0.24048713376519903</v>
      </c>
      <c r="O2197" s="2">
        <f ca="1"/>
        <v>-5.592101213371772E-3</v>
      </c>
      <c r="X2197" s="2">
        <f ca="1"/>
        <v>48.032507285901367</v>
      </c>
      <c r="AG2197" s="2">
        <f ca="1"/>
        <v>0.98733623018113659</v>
      </c>
      <c r="AH2197" s="2" t="str">
        <f ca="1"/>
        <v>Bad</v>
      </c>
    </row>
    <row r="2198" spans="2:34">
      <c r="B2198" s="2">
        <f ca="1"/>
        <v>0.68760013688684629</v>
      </c>
      <c r="O2198" s="2">
        <f ca="1"/>
        <v>-1.65982906534233</v>
      </c>
      <c r="X2198" s="2">
        <f ca="1"/>
        <v>58.024141794752936</v>
      </c>
      <c r="AG2198" s="2">
        <f ca="1"/>
        <v>0.10875422264259482</v>
      </c>
      <c r="AH2198" s="2" t="str">
        <f ca="1"/>
        <v>OK</v>
      </c>
    </row>
    <row r="2199" spans="2:34">
      <c r="B2199" s="2">
        <f ca="1"/>
        <v>0.71165626441173968</v>
      </c>
      <c r="O2199" s="2">
        <f ca="1"/>
        <v>-0.37316772189656683</v>
      </c>
      <c r="X2199" s="2">
        <f ca="1"/>
        <v>80.897336876221559</v>
      </c>
      <c r="AG2199" s="2">
        <f ca="1"/>
        <v>0.57660807429437866</v>
      </c>
      <c r="AH2199" s="2" t="str">
        <f ca="1"/>
        <v>Bad</v>
      </c>
    </row>
    <row r="2200" spans="2:34">
      <c r="B2200" s="2">
        <f ca="1"/>
        <v>0.29572223128675934</v>
      </c>
      <c r="O2200" s="2">
        <f ca="1"/>
        <v>1.0050730134527219</v>
      </c>
      <c r="X2200" s="2">
        <f ca="1"/>
        <v>21.401470432432838</v>
      </c>
      <c r="AG2200" s="2">
        <f ca="1"/>
        <v>0.26802871828988928</v>
      </c>
      <c r="AH2200" s="2" t="str">
        <f ca="1"/>
        <v>OK</v>
      </c>
    </row>
    <row r="2201" spans="2:34">
      <c r="B2201" s="2">
        <f ca="1"/>
        <v>3.6912023118658155E-3</v>
      </c>
      <c r="O2201" s="2">
        <f ca="1"/>
        <v>0.25710494323641514</v>
      </c>
      <c r="X2201" s="2">
        <f ca="1"/>
        <v>72.019343808130515</v>
      </c>
      <c r="AG2201" s="2">
        <f ca="1"/>
        <v>0.77721326672958124</v>
      </c>
      <c r="AH2201" s="2" t="str">
        <f ca="1"/>
        <v>Bad</v>
      </c>
    </row>
    <row r="2202" spans="2:34">
      <c r="B2202" s="2">
        <f ca="1"/>
        <v>0.23702440468645913</v>
      </c>
      <c r="O2202" s="2">
        <f ca="1"/>
        <v>0.14567910375066176</v>
      </c>
      <c r="X2202" s="2">
        <f ca="1"/>
        <v>69.13105979479343</v>
      </c>
      <c r="AG2202" s="2">
        <f ca="1"/>
        <v>0.36220513099808049</v>
      </c>
      <c r="AH2202" s="2" t="str">
        <f ca="1"/>
        <v>OK</v>
      </c>
    </row>
    <row r="2203" spans="2:34">
      <c r="B2203" s="2">
        <f ca="1"/>
        <v>0.30129380420232721</v>
      </c>
      <c r="O2203" s="2">
        <f ca="1"/>
        <v>-0.47563300732943026</v>
      </c>
      <c r="X2203" s="2">
        <f ca="1"/>
        <v>40.426293937923312</v>
      </c>
      <c r="AG2203" s="2">
        <f ca="1"/>
        <v>0.51239790858404577</v>
      </c>
      <c r="AH2203" s="2" t="str">
        <f ca="1"/>
        <v>Bad</v>
      </c>
    </row>
    <row r="2204" spans="2:34">
      <c r="B2204" s="2">
        <f ca="1"/>
        <v>0.4206373430709569</v>
      </c>
      <c r="O2204" s="2">
        <f ca="1"/>
        <v>1.0088389378429945</v>
      </c>
      <c r="X2204" s="2">
        <f ca="1"/>
        <v>44.371092970245201</v>
      </c>
      <c r="AG2204" s="2">
        <f ca="1"/>
        <v>0.96826795692503986</v>
      </c>
      <c r="AH2204" s="2" t="str">
        <f ca="1"/>
        <v>Bad</v>
      </c>
    </row>
    <row r="2205" spans="2:34">
      <c r="B2205" s="2">
        <f ca="1"/>
        <v>0.77016829730934044</v>
      </c>
      <c r="O2205" s="2">
        <f ca="1"/>
        <v>-1.0615879723387092</v>
      </c>
      <c r="X2205" s="2">
        <f ca="1"/>
        <v>42.267106583410822</v>
      </c>
      <c r="AG2205" s="2">
        <f ca="1"/>
        <v>5.0307400016643911E-2</v>
      </c>
      <c r="AH2205" s="2" t="str">
        <f ca="1"/>
        <v>OK</v>
      </c>
    </row>
    <row r="2206" spans="2:34">
      <c r="B2206" s="2">
        <f ca="1"/>
        <v>0.49391393722437082</v>
      </c>
      <c r="O2206" s="2">
        <f ca="1"/>
        <v>0.87513776877421001</v>
      </c>
      <c r="X2206" s="2">
        <f ca="1"/>
        <v>39.919517049522952</v>
      </c>
      <c r="AG2206" s="2">
        <f ca="1"/>
        <v>0.35034880662819545</v>
      </c>
      <c r="AH2206" s="2" t="str">
        <f ca="1"/>
        <v>OK</v>
      </c>
    </row>
    <row r="2207" spans="2:34">
      <c r="B2207" s="2">
        <f ca="1"/>
        <v>0.69058423530129565</v>
      </c>
      <c r="O2207" s="2">
        <f ca="1"/>
        <v>-1.7872277913740311</v>
      </c>
      <c r="X2207" s="2">
        <f ca="1"/>
        <v>30.114406913115225</v>
      </c>
      <c r="AG2207" s="2">
        <f ca="1"/>
        <v>0.2104673572280209</v>
      </c>
      <c r="AH2207" s="2" t="str">
        <f ca="1"/>
        <v>OK</v>
      </c>
    </row>
    <row r="2208" spans="2:34">
      <c r="B2208" s="2">
        <f ca="1"/>
        <v>0.92874282676217024</v>
      </c>
      <c r="O2208" s="2">
        <f ca="1"/>
        <v>-0.304254358159043</v>
      </c>
      <c r="X2208" s="2">
        <f ca="1"/>
        <v>64.451192509937229</v>
      </c>
      <c r="AG2208" s="2">
        <f ca="1"/>
        <v>0.42687994113367922</v>
      </c>
      <c r="AH2208" s="2" t="str">
        <f ca="1"/>
        <v>Bad</v>
      </c>
    </row>
    <row r="2209" spans="2:34">
      <c r="B2209" s="2">
        <f ca="1"/>
        <v>0.26257394130762735</v>
      </c>
      <c r="O2209" s="2">
        <f ca="1"/>
        <v>0.63811880795000819</v>
      </c>
      <c r="X2209" s="2">
        <f ca="1"/>
        <v>28.124562210213444</v>
      </c>
      <c r="AG2209" s="2">
        <f ca="1"/>
        <v>0.10224751223121076</v>
      </c>
      <c r="AH2209" s="2" t="str">
        <f ca="1"/>
        <v>OK</v>
      </c>
    </row>
    <row r="2210" spans="2:34">
      <c r="B2210" s="2">
        <f ca="1"/>
        <v>0.15819637681912813</v>
      </c>
      <c r="O2210" s="2">
        <f ca="1"/>
        <v>0.26452754671472084</v>
      </c>
      <c r="X2210" s="2">
        <f ca="1"/>
        <v>70.815131891256101</v>
      </c>
      <c r="AG2210" s="2">
        <f ca="1"/>
        <v>3.1463279006025635E-2</v>
      </c>
      <c r="AH2210" s="2" t="str">
        <f ca="1"/>
        <v>Good</v>
      </c>
    </row>
    <row r="2211" spans="2:34">
      <c r="B2211" s="2">
        <f ca="1"/>
        <v>0.48505049844114612</v>
      </c>
      <c r="O2211" s="2">
        <f ca="1"/>
        <v>-0.12134240253128911</v>
      </c>
      <c r="X2211" s="2">
        <f ca="1"/>
        <v>63.5631033846348</v>
      </c>
      <c r="AG2211" s="2">
        <f ca="1"/>
        <v>0.19966549200077366</v>
      </c>
      <c r="AH2211" s="2" t="str">
        <f ca="1"/>
        <v>OK</v>
      </c>
    </row>
    <row r="2212" spans="2:34">
      <c r="B2212" s="2">
        <f ca="1"/>
        <v>0.57393599002177531</v>
      </c>
      <c r="O2212" s="2">
        <f ca="1"/>
        <v>0.64291297101153688</v>
      </c>
      <c r="X2212" s="2">
        <f ca="1"/>
        <v>66.930144106099846</v>
      </c>
      <c r="AG2212" s="2">
        <f ca="1"/>
        <v>0.75600892501137951</v>
      </c>
      <c r="AH2212" s="2" t="str">
        <f ca="1"/>
        <v>Bad</v>
      </c>
    </row>
    <row r="2213" spans="2:34">
      <c r="B2213" s="2">
        <f ca="1"/>
        <v>0.3543086364415744</v>
      </c>
      <c r="O2213" s="2">
        <f ca="1"/>
        <v>0.82130200799776543</v>
      </c>
      <c r="X2213" s="2">
        <f ca="1"/>
        <v>43.539922731317603</v>
      </c>
      <c r="AG2213" s="2">
        <f ca="1"/>
        <v>0.18606394733052922</v>
      </c>
      <c r="AH2213" s="2" t="str">
        <f ca="1"/>
        <v>OK</v>
      </c>
    </row>
    <row r="2214" spans="2:34">
      <c r="B2214" s="2">
        <f ca="1"/>
        <v>0.57360794639165658</v>
      </c>
      <c r="O2214" s="2">
        <f ca="1"/>
        <v>-0.3795002845057216</v>
      </c>
      <c r="X2214" s="2">
        <f ca="1"/>
        <v>31.807319075361491</v>
      </c>
      <c r="AG2214" s="2">
        <f ca="1"/>
        <v>0.92593857484763276</v>
      </c>
      <c r="AH2214" s="2" t="str">
        <f ca="1"/>
        <v>Bad</v>
      </c>
    </row>
    <row r="2215" spans="2:34">
      <c r="B2215" s="2">
        <f ca="1"/>
        <v>0.51539624966186159</v>
      </c>
      <c r="O2215" s="2">
        <f ca="1"/>
        <v>-1.5525432045630487</v>
      </c>
      <c r="X2215" s="2">
        <f ca="1"/>
        <v>75.16934674837411</v>
      </c>
      <c r="AG2215" s="2">
        <f ca="1"/>
        <v>0.36812184317010765</v>
      </c>
      <c r="AH2215" s="2" t="str">
        <f ca="1"/>
        <v>OK</v>
      </c>
    </row>
    <row r="2216" spans="2:34">
      <c r="B2216" s="2">
        <f ca="1"/>
        <v>0.78434213649291884</v>
      </c>
      <c r="O2216" s="2">
        <f ca="1"/>
        <v>-0.57009062547396905</v>
      </c>
      <c r="X2216" s="2">
        <f ca="1"/>
        <v>53.248708412739362</v>
      </c>
      <c r="AG2216" s="2">
        <f ca="1"/>
        <v>0.71130110741129537</v>
      </c>
      <c r="AH2216" s="2" t="str">
        <f ca="1"/>
        <v>Bad</v>
      </c>
    </row>
    <row r="2217" spans="2:34">
      <c r="B2217" s="2">
        <f ca="1"/>
        <v>0.90754583955187118</v>
      </c>
      <c r="O2217" s="2">
        <f ca="1"/>
        <v>0.87518915165430411</v>
      </c>
      <c r="X2217" s="2">
        <f ca="1"/>
        <v>22.645749335838076</v>
      </c>
      <c r="AG2217" s="2">
        <f ca="1"/>
        <v>0.54333444167186618</v>
      </c>
      <c r="AH2217" s="2" t="str">
        <f ca="1"/>
        <v>Bad</v>
      </c>
    </row>
    <row r="2218" spans="2:34">
      <c r="B2218" s="2">
        <f ca="1"/>
        <v>0.35697762711494052</v>
      </c>
      <c r="O2218" s="2">
        <f ca="1"/>
        <v>-0.51944571904129933</v>
      </c>
      <c r="X2218" s="2">
        <f ca="1"/>
        <v>91.493347051118107</v>
      </c>
      <c r="AG2218" s="2">
        <f ca="1"/>
        <v>0.953941264402421</v>
      </c>
      <c r="AH2218" s="2" t="str">
        <f ca="1"/>
        <v>Bad</v>
      </c>
    </row>
    <row r="2219" spans="2:34">
      <c r="B2219" s="2">
        <f ca="1"/>
        <v>4.4321906726666471E-2</v>
      </c>
      <c r="O2219" s="2">
        <f ca="1"/>
        <v>-0.77332695500906645</v>
      </c>
      <c r="X2219" s="2">
        <f ca="1"/>
        <v>52.281691077355241</v>
      </c>
      <c r="AG2219" s="2">
        <f ca="1"/>
        <v>0.38998921327275027</v>
      </c>
      <c r="AH2219" s="2" t="str">
        <f ca="1"/>
        <v>OK</v>
      </c>
    </row>
    <row r="2220" spans="2:34">
      <c r="B2220" s="2">
        <f ca="1"/>
        <v>0.7196629665036669</v>
      </c>
      <c r="O2220" s="2">
        <f ca="1"/>
        <v>0.17377111837151715</v>
      </c>
      <c r="X2220" s="2">
        <f ca="1"/>
        <v>34.479721986771203</v>
      </c>
      <c r="AG2220" s="2">
        <f ca="1"/>
        <v>0.31393245857744989</v>
      </c>
      <c r="AH2220" s="2" t="str">
        <f ca="1"/>
        <v>OK</v>
      </c>
    </row>
    <row r="2221" spans="2:34">
      <c r="B2221" s="2">
        <f ca="1"/>
        <v>0.90916461625649436</v>
      </c>
      <c r="O2221" s="2">
        <f ca="1"/>
        <v>2.6573843211302379</v>
      </c>
      <c r="X2221" s="2">
        <f ca="1"/>
        <v>31.291084953381091</v>
      </c>
      <c r="AG2221" s="2">
        <f ca="1"/>
        <v>4.932595745310997E-2</v>
      </c>
      <c r="AH2221" s="2" t="str">
        <f ca="1"/>
        <v>Good</v>
      </c>
    </row>
    <row r="2222" spans="2:34">
      <c r="B2222" s="2">
        <f ca="1"/>
        <v>0.50787811686983453</v>
      </c>
      <c r="O2222" s="2">
        <f ca="1"/>
        <v>3.4772872957439457E-2</v>
      </c>
      <c r="X2222" s="2">
        <f ca="1"/>
        <v>49.300123552540718</v>
      </c>
      <c r="AG2222" s="2">
        <f ca="1"/>
        <v>0.14161393266963751</v>
      </c>
      <c r="AH2222" s="2" t="str">
        <f ca="1"/>
        <v>OK</v>
      </c>
    </row>
    <row r="2223" spans="2:34">
      <c r="B2223" s="2">
        <f ca="1"/>
        <v>0.66468089857400559</v>
      </c>
      <c r="O2223" s="2">
        <f ca="1"/>
        <v>0.93964199271619242</v>
      </c>
      <c r="X2223" s="2">
        <f ca="1"/>
        <v>80.72150187365267</v>
      </c>
      <c r="AG2223" s="2">
        <f ca="1"/>
        <v>0.41747692276191883</v>
      </c>
      <c r="AH2223" s="2" t="str">
        <f ca="1"/>
        <v>Bad</v>
      </c>
    </row>
    <row r="2224" spans="2:34">
      <c r="B2224" s="2">
        <f ca="1"/>
        <v>0.57551556402917692</v>
      </c>
      <c r="O2224" s="2">
        <f ca="1"/>
        <v>1.325934092118674</v>
      </c>
      <c r="X2224" s="2">
        <f ca="1"/>
        <v>43.513250908882483</v>
      </c>
      <c r="AG2224" s="2">
        <f ca="1"/>
        <v>0.15796179662051735</v>
      </c>
      <c r="AH2224" s="2" t="str">
        <f ca="1"/>
        <v>OK</v>
      </c>
    </row>
    <row r="2225" spans="2:34">
      <c r="B2225" s="2">
        <f ca="1"/>
        <v>0.89132800813660484</v>
      </c>
      <c r="O2225" s="2">
        <f ca="1"/>
        <v>-0.87453653052532943</v>
      </c>
      <c r="X2225" s="2">
        <f ca="1"/>
        <v>36.081858270723316</v>
      </c>
      <c r="AG2225" s="2">
        <f ca="1"/>
        <v>3.4555060930369974E-2</v>
      </c>
      <c r="AH2225" s="2" t="str">
        <f ca="1"/>
        <v>Good</v>
      </c>
    </row>
    <row r="2226" spans="2:34">
      <c r="B2226" s="2">
        <f ca="1"/>
        <v>0.10303978016942827</v>
      </c>
      <c r="O2226" s="2">
        <f ca="1"/>
        <v>-0.10923142387670143</v>
      </c>
      <c r="X2226" s="2">
        <f ca="1"/>
        <v>43.015410102941345</v>
      </c>
      <c r="AG2226" s="2">
        <f ca="1"/>
        <v>5.4782062103026608E-2</v>
      </c>
      <c r="AH2226" s="2" t="str">
        <f ca="1"/>
        <v>OK</v>
      </c>
    </row>
    <row r="2227" spans="2:34">
      <c r="B2227" s="2">
        <f ca="1"/>
        <v>0.35269849369115192</v>
      </c>
      <c r="O2227" s="2">
        <f ca="1"/>
        <v>-0.6894693890874124</v>
      </c>
      <c r="X2227" s="2">
        <f ca="1"/>
        <v>52.270227559483814</v>
      </c>
      <c r="AG2227" s="2">
        <f ca="1"/>
        <v>0.4818490852399353</v>
      </c>
      <c r="AH2227" s="2" t="str">
        <f ca="1"/>
        <v>Bad</v>
      </c>
    </row>
    <row r="2228" spans="2:34">
      <c r="B2228" s="2">
        <f ca="1"/>
        <v>0.39330844428932177</v>
      </c>
      <c r="O2228" s="2">
        <f ca="1"/>
        <v>0.51238747668773976</v>
      </c>
      <c r="X2228" s="2">
        <f ca="1"/>
        <v>28.741072928745062</v>
      </c>
      <c r="AG2228" s="2">
        <f ca="1"/>
        <v>0.88802041518680697</v>
      </c>
      <c r="AH2228" s="2" t="str">
        <f ca="1"/>
        <v>Bad</v>
      </c>
    </row>
    <row r="2229" spans="2:34">
      <c r="B2229" s="2">
        <f ca="1"/>
        <v>0.61334002019955824</v>
      </c>
      <c r="O2229" s="2">
        <f ca="1"/>
        <v>0.24671549835200479</v>
      </c>
      <c r="X2229" s="2">
        <f ca="1"/>
        <v>41.065850536342779</v>
      </c>
      <c r="AG2229" s="2">
        <f ca="1"/>
        <v>0.64625449744278107</v>
      </c>
      <c r="AH2229" s="2" t="str">
        <f ca="1"/>
        <v>Bad</v>
      </c>
    </row>
    <row r="2230" spans="2:34">
      <c r="B2230" s="2">
        <f ca="1"/>
        <v>0.58491261285938267</v>
      </c>
      <c r="O2230" s="2">
        <f ca="1"/>
        <v>1.1461298501756159</v>
      </c>
      <c r="X2230" s="2">
        <f ca="1"/>
        <v>41.326951638340603</v>
      </c>
      <c r="AG2230" s="2">
        <f ca="1"/>
        <v>0.84613162454330038</v>
      </c>
      <c r="AH2230" s="2" t="str">
        <f ca="1"/>
        <v>Bad</v>
      </c>
    </row>
    <row r="2231" spans="2:34">
      <c r="B2231" s="2">
        <f ca="1"/>
        <v>0.56854796596253676</v>
      </c>
      <c r="O2231" s="2">
        <f ca="1"/>
        <v>0.18742481325559657</v>
      </c>
      <c r="X2231" s="2">
        <f ca="1"/>
        <v>35.19849107623471</v>
      </c>
      <c r="AG2231" s="2">
        <f ca="1"/>
        <v>0.10414926181391482</v>
      </c>
      <c r="AH2231" s="2" t="str">
        <f ca="1"/>
        <v>OK</v>
      </c>
    </row>
    <row r="2232" spans="2:34">
      <c r="B2232" s="2">
        <f ca="1"/>
        <v>0.18976819847747928</v>
      </c>
      <c r="O2232" s="2">
        <f ca="1"/>
        <v>-0.58756596582335396</v>
      </c>
      <c r="X2232" s="2">
        <f ca="1"/>
        <v>55.540573616062836</v>
      </c>
      <c r="AG2232" s="2">
        <f ca="1"/>
        <v>0.11433965972044025</v>
      </c>
      <c r="AH2232" s="2" t="str">
        <f ca="1"/>
        <v>OK</v>
      </c>
    </row>
    <row r="2233" spans="2:34">
      <c r="B2233" s="2">
        <f ca="1"/>
        <v>0.8713025311875926</v>
      </c>
      <c r="O2233" s="2">
        <f ca="1"/>
        <v>0.80015227267696931</v>
      </c>
      <c r="X2233" s="2">
        <f ca="1"/>
        <v>66.031907078336829</v>
      </c>
      <c r="AG2233" s="2">
        <f ca="1"/>
        <v>0.1249486950926193</v>
      </c>
      <c r="AH2233" s="2" t="str">
        <f ca="1"/>
        <v>OK</v>
      </c>
    </row>
    <row r="2234" spans="2:34">
      <c r="B2234" s="2">
        <f ca="1"/>
        <v>0.12273034561466711</v>
      </c>
      <c r="O2234" s="2">
        <f ca="1"/>
        <v>0.43913658399082378</v>
      </c>
      <c r="X2234" s="2">
        <f ca="1"/>
        <v>68.308038127173262</v>
      </c>
      <c r="AG2234" s="2">
        <f ca="1"/>
        <v>0.56681338269694437</v>
      </c>
      <c r="AH2234" s="2" t="str">
        <f ca="1"/>
        <v>Bad</v>
      </c>
    </row>
    <row r="2235" spans="2:34">
      <c r="B2235" s="2">
        <f ca="1"/>
        <v>9.4088480136256258E-2</v>
      </c>
      <c r="O2235" s="2">
        <f ca="1"/>
        <v>-0.352637127973699</v>
      </c>
      <c r="X2235" s="2">
        <f ca="1"/>
        <v>46.190743044444673</v>
      </c>
      <c r="AG2235" s="2">
        <f ca="1"/>
        <v>0.55614730574243509</v>
      </c>
      <c r="AH2235" s="2" t="str">
        <f ca="1"/>
        <v>Bad</v>
      </c>
    </row>
    <row r="2236" spans="2:34">
      <c r="B2236" s="2">
        <f ca="1"/>
        <v>0.77141767599181943</v>
      </c>
      <c r="O2236" s="2">
        <f ca="1"/>
        <v>-0.98365433841186445</v>
      </c>
      <c r="X2236" s="2">
        <f ca="1"/>
        <v>53.320936147679646</v>
      </c>
      <c r="AG2236" s="2">
        <f ca="1"/>
        <v>0.57163088492477754</v>
      </c>
      <c r="AH2236" s="2" t="str">
        <f ca="1"/>
        <v>Bad</v>
      </c>
    </row>
    <row r="2237" spans="2:34">
      <c r="B2237" s="2">
        <f ca="1"/>
        <v>0.77082408168092353</v>
      </c>
      <c r="O2237" s="2">
        <f ca="1"/>
        <v>0.75774452348280963</v>
      </c>
      <c r="X2237" s="2">
        <f ca="1"/>
        <v>91.720176034451299</v>
      </c>
      <c r="AG2237" s="2">
        <f ca="1"/>
        <v>0.16800297855931046</v>
      </c>
      <c r="AH2237" s="2" t="str">
        <f ca="1"/>
        <v>OK</v>
      </c>
    </row>
    <row r="2238" spans="2:34">
      <c r="B2238" s="2">
        <f ca="1"/>
        <v>0.51453870952774872</v>
      </c>
      <c r="O2238" s="2">
        <f ca="1"/>
        <v>3.6815008647347686E-2</v>
      </c>
      <c r="X2238" s="2">
        <f ca="1"/>
        <v>36.30223540340895</v>
      </c>
      <c r="AG2238" s="2">
        <f ca="1"/>
        <v>0.34922813329482438</v>
      </c>
      <c r="AH2238" s="2" t="str">
        <f ca="1"/>
        <v>OK</v>
      </c>
    </row>
    <row r="2239" spans="2:34">
      <c r="B2239" s="2">
        <f ca="1"/>
        <v>0.53612984343383863</v>
      </c>
      <c r="O2239" s="2">
        <f ca="1"/>
        <v>-0.99841130145509505</v>
      </c>
      <c r="X2239" s="2">
        <f ca="1"/>
        <v>67.332775508588213</v>
      </c>
      <c r="AG2239" s="2">
        <f ca="1"/>
        <v>0.78227805216432134</v>
      </c>
      <c r="AH2239" s="2" t="str">
        <f ca="1"/>
        <v>Bad</v>
      </c>
    </row>
    <row r="2240" spans="2:34">
      <c r="B2240" s="2">
        <f ca="1"/>
        <v>0.33349031554303687</v>
      </c>
      <c r="O2240" s="2">
        <f ca="1"/>
        <v>0.15161554716708645</v>
      </c>
      <c r="X2240" s="2">
        <f ca="1"/>
        <v>59.203790151131756</v>
      </c>
      <c r="AG2240" s="2">
        <f ca="1"/>
        <v>0.2596013408106681</v>
      </c>
      <c r="AH2240" s="2" t="str">
        <f ca="1"/>
        <v>OK</v>
      </c>
    </row>
    <row r="2241" spans="2:34">
      <c r="B2241" s="2">
        <f ca="1"/>
        <v>0.16889300222786097</v>
      </c>
      <c r="O2241" s="2">
        <f ca="1"/>
        <v>0.73994140856674939</v>
      </c>
      <c r="X2241" s="2">
        <f ca="1"/>
        <v>42.147352376091327</v>
      </c>
      <c r="AG2241" s="2">
        <f ca="1"/>
        <v>0.73336002344610307</v>
      </c>
      <c r="AH2241" s="2" t="str">
        <f ca="1"/>
        <v>Bad</v>
      </c>
    </row>
    <row r="2242" spans="2:34">
      <c r="B2242" s="2">
        <f ca="1"/>
        <v>7.0599230255927514E-2</v>
      </c>
      <c r="O2242" s="2">
        <f ca="1"/>
        <v>1.1249898503685674</v>
      </c>
      <c r="X2242" s="2">
        <f ca="1"/>
        <v>47.633670744639247</v>
      </c>
      <c r="AG2242" s="2">
        <f ca="1"/>
        <v>0.30792680580271403</v>
      </c>
      <c r="AH2242" s="2" t="str">
        <f ca="1"/>
        <v>OK</v>
      </c>
    </row>
    <row r="2243" spans="2:34">
      <c r="B2243" s="2">
        <f ca="1"/>
        <v>0.97024159537581833</v>
      </c>
      <c r="O2243" s="2">
        <f ca="1"/>
        <v>0.62165696942275461</v>
      </c>
      <c r="X2243" s="2">
        <f ca="1"/>
        <v>21.970646355627036</v>
      </c>
      <c r="AG2243" s="2">
        <f ca="1"/>
        <v>0.13091104396616315</v>
      </c>
      <c r="AH2243" s="2" t="str">
        <f ca="1"/>
        <v>OK</v>
      </c>
    </row>
    <row r="2244" spans="2:34">
      <c r="B2244" s="2">
        <f ca="1"/>
        <v>0.78428967011670037</v>
      </c>
      <c r="O2244" s="2">
        <f ca="1"/>
        <v>0.31736716127003878</v>
      </c>
      <c r="X2244" s="2">
        <f ca="1"/>
        <v>31.470197131118308</v>
      </c>
      <c r="AG2244" s="2">
        <f ca="1"/>
        <v>0.15723119824600906</v>
      </c>
      <c r="AH2244" s="2" t="str">
        <f ca="1"/>
        <v>OK</v>
      </c>
    </row>
    <row r="2245" spans="2:34">
      <c r="B2245" s="2">
        <f ca="1"/>
        <v>0.9723942482853043</v>
      </c>
      <c r="O2245" s="2">
        <f ca="1"/>
        <v>-0.72228488250909606</v>
      </c>
      <c r="X2245" s="2">
        <f ca="1"/>
        <v>69.559029513257485</v>
      </c>
      <c r="AG2245" s="2">
        <f ca="1"/>
        <v>0.72285178459847965</v>
      </c>
      <c r="AH2245" s="2" t="str">
        <f ca="1"/>
        <v>Bad</v>
      </c>
    </row>
    <row r="2246" spans="2:34">
      <c r="B2246" s="2">
        <f ca="1"/>
        <v>0.32045175003420479</v>
      </c>
      <c r="O2246" s="2">
        <f ca="1"/>
        <v>-1.262515773103025</v>
      </c>
      <c r="X2246" s="2">
        <f ca="1"/>
        <v>60.219822753902498</v>
      </c>
      <c r="AG2246" s="2">
        <f ca="1"/>
        <v>0.4190970591335077</v>
      </c>
      <c r="AH2246" s="2" t="str">
        <f ca="1"/>
        <v>Bad</v>
      </c>
    </row>
    <row r="2247" spans="2:34">
      <c r="B2247" s="2">
        <f ca="1"/>
        <v>0.94112939908428483</v>
      </c>
      <c r="O2247" s="2">
        <f ca="1"/>
        <v>0.4941062211030145</v>
      </c>
      <c r="X2247" s="2">
        <f ca="1"/>
        <v>60.713629403731801</v>
      </c>
      <c r="AG2247" s="2">
        <f ca="1"/>
        <v>0.59104683749448217</v>
      </c>
      <c r="AH2247" s="2" t="str">
        <f ca="1"/>
        <v>Bad</v>
      </c>
    </row>
    <row r="2248" spans="2:34">
      <c r="B2248" s="2">
        <f ca="1"/>
        <v>2.9843177783851482E-2</v>
      </c>
      <c r="O2248" s="2">
        <f ca="1"/>
        <v>-1.1674256034201331</v>
      </c>
      <c r="X2248" s="2">
        <f ca="1"/>
        <v>68.729214816970568</v>
      </c>
      <c r="AG2248" s="2">
        <f ca="1"/>
        <v>0.74903286205879782</v>
      </c>
      <c r="AH2248" s="2" t="str">
        <f ca="1"/>
        <v>Bad</v>
      </c>
    </row>
    <row r="2249" spans="2:34">
      <c r="B2249" s="2">
        <f ca="1"/>
        <v>0.48702074065658563</v>
      </c>
      <c r="O2249" s="2">
        <f ca="1"/>
        <v>0.25711814676937522</v>
      </c>
      <c r="X2249" s="2">
        <f ca="1"/>
        <v>42.38445264025767</v>
      </c>
      <c r="AG2249" s="2">
        <f ca="1"/>
        <v>0.3570301278458019</v>
      </c>
      <c r="AH2249" s="2" t="str">
        <f ca="1"/>
        <v>OK</v>
      </c>
    </row>
    <row r="2250" spans="2:34">
      <c r="B2250" s="2">
        <f ca="1"/>
        <v>0.1700622077948406</v>
      </c>
      <c r="O2250" s="2">
        <f ca="1"/>
        <v>-1.0681387499297386</v>
      </c>
      <c r="X2250" s="2">
        <f ca="1"/>
        <v>57.527608001934098</v>
      </c>
      <c r="AG2250" s="2">
        <f ca="1"/>
        <v>0.95811973478326729</v>
      </c>
      <c r="AH2250" s="2" t="str">
        <f ca="1"/>
        <v>Bad</v>
      </c>
    </row>
    <row r="2251" spans="2:34">
      <c r="B2251" s="2">
        <f ca="1"/>
        <v>6.0894760858452468E-2</v>
      </c>
      <c r="O2251" s="2">
        <f ca="1"/>
        <v>-1.3545308315728148</v>
      </c>
      <c r="X2251" s="2">
        <f ca="1"/>
        <v>60.465872666584133</v>
      </c>
      <c r="AG2251" s="2">
        <f ca="1"/>
        <v>0.37880133640832736</v>
      </c>
      <c r="AH2251" s="2" t="str">
        <f ca="1"/>
        <v>OK</v>
      </c>
    </row>
    <row r="2252" spans="2:34">
      <c r="B2252" s="2">
        <f ca="1"/>
        <v>0.14709725189404099</v>
      </c>
      <c r="O2252" s="2">
        <f ca="1"/>
        <v>0.3650959122222735</v>
      </c>
      <c r="X2252" s="2">
        <f ca="1"/>
        <v>58.323063865889033</v>
      </c>
      <c r="AG2252" s="2">
        <f ca="1"/>
        <v>0.26975765405009833</v>
      </c>
      <c r="AH2252" s="2" t="str">
        <f ca="1"/>
        <v>OK</v>
      </c>
    </row>
    <row r="2253" spans="2:34">
      <c r="B2253" s="2">
        <f ca="1"/>
        <v>0.92333784881043468</v>
      </c>
      <c r="O2253" s="2">
        <f ca="1"/>
        <v>0.17184094289829038</v>
      </c>
      <c r="X2253" s="2">
        <f ca="1"/>
        <v>66.216665368373512</v>
      </c>
      <c r="AG2253" s="2">
        <f ca="1"/>
        <v>4.5599897764401653E-2</v>
      </c>
      <c r="AH2253" s="2" t="str">
        <f ca="1"/>
        <v>Good</v>
      </c>
    </row>
    <row r="2254" spans="2:34">
      <c r="B2254" s="2">
        <f ca="1"/>
        <v>0.65051563651900191</v>
      </c>
      <c r="O2254" s="2">
        <f ca="1"/>
        <v>-0.94672816328400977</v>
      </c>
      <c r="X2254" s="2">
        <f ca="1"/>
        <v>50.526356169989754</v>
      </c>
      <c r="AG2254" s="2">
        <f ca="1"/>
        <v>0.78534762727073404</v>
      </c>
      <c r="AH2254" s="2" t="str">
        <f ca="1"/>
        <v>Bad</v>
      </c>
    </row>
    <row r="2255" spans="2:34">
      <c r="B2255" s="2">
        <f ca="1"/>
        <v>0.34570025649574765</v>
      </c>
      <c r="O2255" s="2">
        <f ca="1"/>
        <v>-0.47571996483389761</v>
      </c>
      <c r="X2255" s="2">
        <f ca="1"/>
        <v>32.707037850965392</v>
      </c>
      <c r="AG2255" s="2">
        <f ca="1"/>
        <v>0.49095692245370004</v>
      </c>
      <c r="AH2255" s="2" t="str">
        <f ca="1"/>
        <v>Bad</v>
      </c>
    </row>
    <row r="2256" spans="2:34">
      <c r="B2256" s="2">
        <f ca="1"/>
        <v>0.5722886153320712</v>
      </c>
      <c r="O2256" s="2">
        <f ca="1"/>
        <v>1.5371730878156156</v>
      </c>
      <c r="X2256" s="2">
        <f ca="1"/>
        <v>65.594114906696689</v>
      </c>
      <c r="AG2256" s="2">
        <f ca="1"/>
        <v>1.4512681309845732E-2</v>
      </c>
      <c r="AH2256" s="2" t="str">
        <f ca="1"/>
        <v>Good</v>
      </c>
    </row>
    <row r="2257" spans="2:34">
      <c r="B2257" s="2">
        <f ca="1"/>
        <v>0.95133913034142381</v>
      </c>
      <c r="O2257" s="2">
        <f ca="1"/>
        <v>0.3045097072646642</v>
      </c>
      <c r="X2257" s="2">
        <f ca="1"/>
        <v>44.658535088864937</v>
      </c>
      <c r="AG2257" s="2">
        <f ca="1"/>
        <v>0.58674883089374053</v>
      </c>
      <c r="AH2257" s="2" t="str">
        <f ca="1"/>
        <v>Bad</v>
      </c>
    </row>
    <row r="2258" spans="2:34">
      <c r="B2258" s="2">
        <f ca="1"/>
        <v>0.6365055213446813</v>
      </c>
      <c r="O2258" s="2">
        <f ca="1"/>
        <v>-1.8460853815124263</v>
      </c>
      <c r="X2258" s="2">
        <f ca="1"/>
        <v>51.200012440228036</v>
      </c>
      <c r="AG2258" s="2">
        <f ca="1"/>
        <v>0.63804320369485645</v>
      </c>
      <c r="AH2258" s="2" t="str">
        <f ca="1"/>
        <v>Bad</v>
      </c>
    </row>
    <row r="2259" spans="2:34">
      <c r="B2259" s="2">
        <f ca="1"/>
        <v>0.31048682441905107</v>
      </c>
      <c r="O2259" s="2">
        <f ca="1"/>
        <v>0.4826732006544508</v>
      </c>
      <c r="X2259" s="2">
        <f ca="1"/>
        <v>60.1160826311962</v>
      </c>
      <c r="AG2259" s="2">
        <f ca="1"/>
        <v>0.50496002102584092</v>
      </c>
      <c r="AH2259" s="2" t="str">
        <f ca="1"/>
        <v>Bad</v>
      </c>
    </row>
    <row r="2260" spans="2:34">
      <c r="B2260" s="2">
        <f ca="1"/>
        <v>0.21035954764623588</v>
      </c>
      <c r="O2260" s="2">
        <f ca="1"/>
        <v>-9.6130497366460191E-2</v>
      </c>
      <c r="X2260" s="2">
        <f ca="1"/>
        <v>41.056374208821182</v>
      </c>
      <c r="AG2260" s="2">
        <f ca="1"/>
        <v>0.85540943406121572</v>
      </c>
      <c r="AH2260" s="2" t="str">
        <f ca="1"/>
        <v>Bad</v>
      </c>
    </row>
    <row r="2261" spans="2:34">
      <c r="B2261" s="2">
        <f ca="1"/>
        <v>0.36556640348647895</v>
      </c>
      <c r="O2261" s="2">
        <f ca="1"/>
        <v>-0.14423617476580142</v>
      </c>
      <c r="X2261" s="2">
        <f ca="1"/>
        <v>47.420311421909545</v>
      </c>
      <c r="AG2261" s="2">
        <f ca="1"/>
        <v>0.73844465778611146</v>
      </c>
      <c r="AH2261" s="2" t="str">
        <f ca="1"/>
        <v>Bad</v>
      </c>
    </row>
    <row r="2262" spans="2:34">
      <c r="B2262" s="2">
        <f ca="1"/>
        <v>0.52387918540668243</v>
      </c>
      <c r="O2262" s="2">
        <f ca="1"/>
        <v>-1.4945657277241735</v>
      </c>
      <c r="X2262" s="2">
        <f ca="1"/>
        <v>45.46622353820473</v>
      </c>
      <c r="AG2262" s="2">
        <f ca="1"/>
        <v>0.46114475292341406</v>
      </c>
      <c r="AH2262" s="2" t="str">
        <f ca="1"/>
        <v>Bad</v>
      </c>
    </row>
    <row r="2263" spans="2:34">
      <c r="B2263" s="2">
        <f ca="1"/>
        <v>0.28510974875882789</v>
      </c>
      <c r="O2263" s="2">
        <f ca="1"/>
        <v>-2.2373350897894766</v>
      </c>
      <c r="X2263" s="2">
        <f ca="1"/>
        <v>73.05337840021059</v>
      </c>
      <c r="AG2263" s="2">
        <f ca="1"/>
        <v>0.36808675613684638</v>
      </c>
      <c r="AH2263" s="2" t="str">
        <f ca="1"/>
        <v>OK</v>
      </c>
    </row>
    <row r="2264" spans="2:34">
      <c r="B2264" s="2">
        <f ca="1"/>
        <v>0.7949974124076693</v>
      </c>
      <c r="O2264" s="2">
        <f ca="1"/>
        <v>9.3664593217947109E-2</v>
      </c>
      <c r="X2264" s="2">
        <f ca="1"/>
        <v>31.27212505977775</v>
      </c>
      <c r="AG2264" s="2">
        <f ca="1"/>
        <v>0.7813374150450243</v>
      </c>
      <c r="AH2264" s="2" t="str">
        <f ca="1"/>
        <v>Bad</v>
      </c>
    </row>
    <row r="2265" spans="2:34">
      <c r="B2265" s="2">
        <f ca="1"/>
        <v>0.80648211655432123</v>
      </c>
      <c r="O2265" s="2">
        <f ca="1"/>
        <v>-1.4469791327969699</v>
      </c>
      <c r="X2265" s="2">
        <f ca="1"/>
        <v>78.256794006621064</v>
      </c>
      <c r="AG2265" s="2">
        <f ca="1"/>
        <v>0.2926277948586018</v>
      </c>
      <c r="AH2265" s="2" t="str">
        <f ca="1"/>
        <v>OK</v>
      </c>
    </row>
    <row r="2266" spans="2:34">
      <c r="B2266" s="2">
        <f ca="1"/>
        <v>0.52480513260629325</v>
      </c>
      <c r="O2266" s="2">
        <f ca="1"/>
        <v>-0.45958501074047409</v>
      </c>
      <c r="X2266" s="2">
        <f ca="1"/>
        <v>69.491688926296803</v>
      </c>
      <c r="AG2266" s="2">
        <f ca="1"/>
        <v>0.47129834283139838</v>
      </c>
      <c r="AH2266" s="2" t="str">
        <f ca="1"/>
        <v>Bad</v>
      </c>
    </row>
    <row r="2267" spans="2:34">
      <c r="B2267" s="2">
        <f ca="1"/>
        <v>0.40606051440670043</v>
      </c>
      <c r="O2267" s="2">
        <f ca="1"/>
        <v>0.50950738213427205</v>
      </c>
      <c r="X2267" s="2">
        <f ca="1"/>
        <v>51.024302890125021</v>
      </c>
      <c r="AG2267" s="2">
        <f ca="1"/>
        <v>0.37802049656491388</v>
      </c>
      <c r="AH2267" s="2" t="str">
        <f ca="1"/>
        <v>OK</v>
      </c>
    </row>
    <row r="2268" spans="2:34">
      <c r="B2268" s="2">
        <f ca="1"/>
        <v>0.32641439519095106</v>
      </c>
      <c r="O2268" s="2">
        <f ca="1"/>
        <v>2.3866014718239295</v>
      </c>
      <c r="X2268" s="2">
        <f ca="1"/>
        <v>69.577572851963851</v>
      </c>
      <c r="AG2268" s="2">
        <f ca="1"/>
        <v>0.33172863756395654</v>
      </c>
      <c r="AH2268" s="2" t="str">
        <f ca="1"/>
        <v>OK</v>
      </c>
    </row>
    <row r="2269" spans="2:34">
      <c r="B2269" s="2">
        <f ca="1"/>
        <v>0.85488425532103052</v>
      </c>
      <c r="O2269" s="2">
        <f ca="1"/>
        <v>-1.100802950211645</v>
      </c>
      <c r="X2269" s="2">
        <f ca="1"/>
        <v>47.024548051223263</v>
      </c>
      <c r="AG2269" s="2">
        <f ca="1"/>
        <v>0.12476600857244158</v>
      </c>
      <c r="AH2269" s="2" t="str">
        <f ca="1"/>
        <v>OK</v>
      </c>
    </row>
    <row r="2270" spans="2:34">
      <c r="B2270" s="2">
        <f ca="1"/>
        <v>1.3186014228512066E-2</v>
      </c>
      <c r="O2270" s="2">
        <f ca="1"/>
        <v>0.37253060982833575</v>
      </c>
      <c r="X2270" s="2">
        <f ca="1"/>
        <v>48.279462159940337</v>
      </c>
      <c r="AG2270" s="2">
        <f ca="1"/>
        <v>0.6841363028686962</v>
      </c>
      <c r="AH2270" s="2" t="str">
        <f ca="1"/>
        <v>Bad</v>
      </c>
    </row>
    <row r="2271" spans="2:34">
      <c r="B2271" s="2">
        <f ca="1"/>
        <v>0.86153934731340787</v>
      </c>
      <c r="O2271" s="2">
        <f ca="1"/>
        <v>-1.5713240936559638</v>
      </c>
      <c r="X2271" s="2">
        <f ca="1"/>
        <v>34.685693473417778</v>
      </c>
      <c r="AG2271" s="2">
        <f ca="1"/>
        <v>0.84222841039901231</v>
      </c>
      <c r="AH2271" s="2" t="str">
        <f ca="1"/>
        <v>Bad</v>
      </c>
    </row>
    <row r="2272" spans="2:34">
      <c r="B2272" s="2">
        <f ca="1"/>
        <v>4.42173442942424E-2</v>
      </c>
      <c r="O2272" s="2">
        <f ca="1"/>
        <v>-1.5307090518052333</v>
      </c>
      <c r="X2272" s="2">
        <f ca="1"/>
        <v>44.875621985795689</v>
      </c>
      <c r="AG2272" s="2">
        <f ca="1"/>
        <v>0.21376601829573727</v>
      </c>
      <c r="AH2272" s="2" t="str">
        <f ca="1"/>
        <v>OK</v>
      </c>
    </row>
    <row r="2273" spans="2:34">
      <c r="B2273" s="2">
        <f ca="1"/>
        <v>6.126216005244145E-2</v>
      </c>
      <c r="O2273" s="2">
        <f ca="1"/>
        <v>-1.2027160917261186</v>
      </c>
      <c r="X2273" s="2">
        <f ca="1"/>
        <v>37.92391158112261</v>
      </c>
      <c r="AG2273" s="2">
        <f ca="1"/>
        <v>0.32046507595487572</v>
      </c>
      <c r="AH2273" s="2" t="str">
        <f ca="1"/>
        <v>OK</v>
      </c>
    </row>
    <row r="2274" spans="2:34">
      <c r="B2274" s="2">
        <f ca="1"/>
        <v>0.62434143100847095</v>
      </c>
      <c r="O2274" s="2">
        <f ca="1"/>
        <v>0.75694500271174658</v>
      </c>
      <c r="X2274" s="2">
        <f ca="1"/>
        <v>34.463998554008931</v>
      </c>
      <c r="AG2274" s="2">
        <f ca="1"/>
        <v>0.4594552582867375</v>
      </c>
      <c r="AH2274" s="2" t="str">
        <f ca="1"/>
        <v>Bad</v>
      </c>
    </row>
    <row r="2275" spans="2:34">
      <c r="B2275" s="2">
        <f ca="1"/>
        <v>0.16665298672715911</v>
      </c>
      <c r="O2275" s="2">
        <f ca="1"/>
        <v>0.48973640741432206</v>
      </c>
      <c r="X2275" s="2">
        <f ca="1"/>
        <v>44.524425217602868</v>
      </c>
      <c r="AG2275" s="2">
        <f ca="1"/>
        <v>0.61457577981194933</v>
      </c>
      <c r="AH2275" s="2" t="str">
        <f ca="1"/>
        <v>Bad</v>
      </c>
    </row>
    <row r="2276" spans="2:34">
      <c r="B2276" s="2">
        <f ca="1"/>
        <v>0.41872095042351209</v>
      </c>
      <c r="O2276" s="2">
        <f ca="1"/>
        <v>-0.45841723428597031</v>
      </c>
      <c r="X2276" s="2">
        <f ca="1"/>
        <v>67.611102490337743</v>
      </c>
      <c r="AG2276" s="2">
        <f ca="1"/>
        <v>6.3047184323083538E-2</v>
      </c>
      <c r="AH2276" s="2" t="str">
        <f ca="1"/>
        <v>OK</v>
      </c>
    </row>
    <row r="2277" spans="2:34">
      <c r="B2277" s="2">
        <f ca="1"/>
        <v>4.4234271063054775E-2</v>
      </c>
      <c r="O2277" s="2">
        <f ca="1"/>
        <v>0.25825397994334848</v>
      </c>
      <c r="X2277" s="2">
        <f ca="1"/>
        <v>56.530479866647092</v>
      </c>
      <c r="AG2277" s="2">
        <f ca="1"/>
        <v>0.58566262338076136</v>
      </c>
      <c r="AH2277" s="2" t="str">
        <f ca="1"/>
        <v>Bad</v>
      </c>
    </row>
    <row r="2278" spans="2:34">
      <c r="B2278" s="2">
        <f ca="1"/>
        <v>0.28918339909777369</v>
      </c>
      <c r="O2278" s="2">
        <f ca="1"/>
        <v>0.6283913342173002</v>
      </c>
      <c r="X2278" s="2">
        <f ca="1"/>
        <v>46.687992565444731</v>
      </c>
      <c r="AG2278" s="2">
        <f ca="1"/>
        <v>0.6654398605773395</v>
      </c>
      <c r="AH2278" s="2" t="str">
        <f ca="1"/>
        <v>Bad</v>
      </c>
    </row>
    <row r="2279" spans="2:34">
      <c r="B2279" s="2">
        <f ca="1"/>
        <v>0.80213850218992255</v>
      </c>
      <c r="O2279" s="2">
        <f ca="1"/>
        <v>1.5807727680304231</v>
      </c>
      <c r="X2279" s="2">
        <f ca="1"/>
        <v>18.126120695255665</v>
      </c>
      <c r="AG2279" s="2">
        <f ca="1"/>
        <v>0.81342434821076459</v>
      </c>
      <c r="AH2279" s="2" t="str">
        <f ca="1"/>
        <v>Bad</v>
      </c>
    </row>
    <row r="2280" spans="2:34">
      <c r="B2280" s="2">
        <f ca="1"/>
        <v>4.1147507113054704E-2</v>
      </c>
      <c r="O2280" s="2">
        <f ca="1"/>
        <v>-0.38742484351403506</v>
      </c>
      <c r="X2280" s="2">
        <f ca="1"/>
        <v>65.253177292788152</v>
      </c>
      <c r="AG2280" s="2">
        <f ca="1"/>
        <v>0.95890743897809938</v>
      </c>
      <c r="AH2280" s="2" t="str">
        <f ca="1"/>
        <v>Bad</v>
      </c>
    </row>
    <row r="2281" spans="2:34">
      <c r="B2281" s="2">
        <f ca="1"/>
        <v>0.87750995026729073</v>
      </c>
      <c r="O2281" s="2">
        <f ca="1"/>
        <v>-1.7544974847960655</v>
      </c>
      <c r="X2281" s="2">
        <f ca="1"/>
        <v>69.228537931496248</v>
      </c>
      <c r="AG2281" s="2">
        <f ca="1"/>
        <v>0.38505658634967066</v>
      </c>
      <c r="AH2281" s="2" t="str">
        <f ca="1"/>
        <v>OK</v>
      </c>
    </row>
    <row r="2282" spans="2:34">
      <c r="B2282" s="2">
        <f ca="1"/>
        <v>0.89709959858823529</v>
      </c>
      <c r="O2282" s="2">
        <f ca="1"/>
        <v>-0.33893943859095566</v>
      </c>
      <c r="X2282" s="2">
        <f ca="1"/>
        <v>11.375109363007258</v>
      </c>
      <c r="AG2282" s="2">
        <f ca="1"/>
        <v>0.48838638865620077</v>
      </c>
      <c r="AH2282" s="2" t="str">
        <f ca="1"/>
        <v>Bad</v>
      </c>
    </row>
    <row r="2283" spans="2:34">
      <c r="B2283" s="2">
        <f ca="1"/>
        <v>0.27091918713325103</v>
      </c>
      <c r="O2283" s="2">
        <f ca="1"/>
        <v>-0.51416326064282691</v>
      </c>
      <c r="X2283" s="2">
        <f ca="1"/>
        <v>60.700957986792965</v>
      </c>
      <c r="AG2283" s="2">
        <f ca="1"/>
        <v>0.58888439000229686</v>
      </c>
      <c r="AH2283" s="2" t="str">
        <f ca="1"/>
        <v>Bad</v>
      </c>
    </row>
    <row r="2284" spans="2:34">
      <c r="B2284" s="2">
        <f ca="1"/>
        <v>0.66948154345418409</v>
      </c>
      <c r="O2284" s="2">
        <f ca="1"/>
        <v>0.78220393897914398</v>
      </c>
      <c r="X2284" s="2">
        <f ca="1"/>
        <v>48.475674895131398</v>
      </c>
      <c r="AG2284" s="2">
        <f ca="1"/>
        <v>0.54445186362320586</v>
      </c>
      <c r="AH2284" s="2" t="str">
        <f ca="1"/>
        <v>Bad</v>
      </c>
    </row>
    <row r="2285" spans="2:34">
      <c r="B2285" s="2">
        <f ca="1"/>
        <v>0.68124232069970825</v>
      </c>
      <c r="O2285" s="2">
        <f ca="1"/>
        <v>0.90098946925077728</v>
      </c>
      <c r="X2285" s="2">
        <f ca="1"/>
        <v>69.909882939409755</v>
      </c>
      <c r="AG2285" s="2">
        <f ca="1"/>
        <v>0.22315406732313248</v>
      </c>
      <c r="AH2285" s="2" t="str">
        <f ca="1"/>
        <v>OK</v>
      </c>
    </row>
    <row r="2286" spans="2:34">
      <c r="B2286" s="2">
        <f ca="1"/>
        <v>0.31311842490962793</v>
      </c>
      <c r="O2286" s="2">
        <f ca="1"/>
        <v>-0.61111953486657655</v>
      </c>
      <c r="X2286" s="2">
        <f ca="1"/>
        <v>52.808161049323758</v>
      </c>
      <c r="AG2286" s="2">
        <f ca="1"/>
        <v>0.84922849913977561</v>
      </c>
      <c r="AH2286" s="2" t="str">
        <f ca="1"/>
        <v>Bad</v>
      </c>
    </row>
    <row r="2287" spans="2:34">
      <c r="B2287" s="2">
        <f ca="1"/>
        <v>0.9585595466552459</v>
      </c>
      <c r="O2287" s="2">
        <f ca="1"/>
        <v>0.19975517684415742</v>
      </c>
      <c r="X2287" s="2">
        <f ca="1"/>
        <v>23.133082363074394</v>
      </c>
      <c r="AG2287" s="2">
        <f ca="1"/>
        <v>0.72223660280987723</v>
      </c>
      <c r="AH2287" s="2" t="str">
        <f ca="1"/>
        <v>Bad</v>
      </c>
    </row>
    <row r="2288" spans="2:34">
      <c r="B2288" s="2">
        <f ca="1"/>
        <v>0.56658288326759942</v>
      </c>
      <c r="O2288" s="2">
        <f ca="1"/>
        <v>-0.69927024844739294</v>
      </c>
      <c r="X2288" s="2">
        <f ca="1"/>
        <v>30.125078879498414</v>
      </c>
      <c r="AG2288" s="2">
        <f ca="1"/>
        <v>0.62182375325305528</v>
      </c>
      <c r="AH2288" s="2" t="str">
        <f ca="1"/>
        <v>Bad</v>
      </c>
    </row>
    <row r="2289" spans="2:34">
      <c r="B2289" s="2">
        <f ca="1"/>
        <v>0.8369467467097147</v>
      </c>
      <c r="O2289" s="2">
        <f ca="1"/>
        <v>0.92097954588797748</v>
      </c>
      <c r="X2289" s="2">
        <f ca="1"/>
        <v>57.497805279626874</v>
      </c>
      <c r="AG2289" s="2">
        <f ca="1"/>
        <v>0.58341292043103476</v>
      </c>
      <c r="AH2289" s="2" t="str">
        <f ca="1"/>
        <v>Bad</v>
      </c>
    </row>
    <row r="2290" spans="2:34">
      <c r="B2290" s="2">
        <f ca="1"/>
        <v>0.18690896267340706</v>
      </c>
      <c r="O2290" s="2">
        <f ca="1"/>
        <v>-2.0460798537526293E-2</v>
      </c>
      <c r="X2290" s="2">
        <f ca="1"/>
        <v>59.173994717235558</v>
      </c>
      <c r="AG2290" s="2">
        <f ca="1"/>
        <v>0.17179249116350248</v>
      </c>
      <c r="AH2290" s="2" t="str">
        <f ca="1"/>
        <v>OK</v>
      </c>
    </row>
    <row r="2291" spans="2:34">
      <c r="B2291" s="2">
        <f ca="1"/>
        <v>0.98131031157249327</v>
      </c>
      <c r="O2291" s="2">
        <f ca="1"/>
        <v>0.40937572071609341</v>
      </c>
      <c r="X2291" s="2">
        <f ca="1"/>
        <v>84.258310688009658</v>
      </c>
      <c r="AG2291" s="2">
        <f ca="1"/>
        <v>0.35846269342570269</v>
      </c>
      <c r="AH2291" s="2" t="str">
        <f ca="1"/>
        <v>OK</v>
      </c>
    </row>
    <row r="2292" spans="2:34">
      <c r="B2292" s="2">
        <f ca="1"/>
        <v>0.88831922282962394</v>
      </c>
      <c r="O2292" s="2">
        <f ca="1"/>
        <v>-0.55126456054144479</v>
      </c>
      <c r="X2292" s="2">
        <f ca="1"/>
        <v>46.737679567281972</v>
      </c>
      <c r="AG2292" s="2">
        <f ca="1"/>
        <v>0.64237621704366998</v>
      </c>
      <c r="AH2292" s="2" t="str">
        <f ca="1"/>
        <v>Bad</v>
      </c>
    </row>
    <row r="2293" spans="2:34">
      <c r="B2293" s="2">
        <f ca="1"/>
        <v>0.58258985680122288</v>
      </c>
      <c r="O2293" s="2">
        <f ca="1"/>
        <v>-1.2134119131012733</v>
      </c>
      <c r="X2293" s="2">
        <f ca="1"/>
        <v>43.0801188247261</v>
      </c>
      <c r="AG2293" s="2">
        <f ca="1"/>
        <v>0.21312174716199617</v>
      </c>
      <c r="AH2293" s="2" t="str">
        <f ca="1"/>
        <v>OK</v>
      </c>
    </row>
    <row r="2294" spans="2:34">
      <c r="B2294" s="2">
        <f ca="1"/>
        <v>0.12880773069018248</v>
      </c>
      <c r="O2294" s="2">
        <f ca="1"/>
        <v>1.6352306269962682</v>
      </c>
      <c r="X2294" s="2">
        <f ca="1"/>
        <v>41.098660305755381</v>
      </c>
      <c r="AG2294" s="2">
        <f ca="1"/>
        <v>0.27385926166335173</v>
      </c>
      <c r="AH2294" s="2" t="str">
        <f ca="1"/>
        <v>OK</v>
      </c>
    </row>
    <row r="2295" spans="2:34">
      <c r="B2295" s="2">
        <f ca="1"/>
        <v>0.33661324147609051</v>
      </c>
      <c r="O2295" s="2">
        <f ca="1"/>
        <v>-0.40189385374199343</v>
      </c>
      <c r="X2295" s="2">
        <f ca="1"/>
        <v>30.667164249257844</v>
      </c>
      <c r="AG2295" s="2">
        <f ca="1"/>
        <v>0.31132807960858511</v>
      </c>
      <c r="AH2295" s="2" t="str">
        <f ca="1"/>
        <v>OK</v>
      </c>
    </row>
    <row r="2296" spans="2:34">
      <c r="B2296" s="2">
        <f ca="1"/>
        <v>0.72461313602505117</v>
      </c>
      <c r="O2296" s="2">
        <f ca="1"/>
        <v>1.7492258476048748</v>
      </c>
      <c r="X2296" s="2">
        <f ca="1"/>
        <v>14.177344039453248</v>
      </c>
      <c r="AG2296" s="2">
        <f ca="1"/>
        <v>0.82128460159975303</v>
      </c>
      <c r="AH2296" s="2" t="str">
        <f ca="1"/>
        <v>Bad</v>
      </c>
    </row>
    <row r="2297" spans="2:34">
      <c r="B2297" s="2">
        <f ca="1"/>
        <v>0.56830655008579534</v>
      </c>
      <c r="O2297" s="2">
        <f ca="1"/>
        <v>-1.0931604613875774</v>
      </c>
      <c r="X2297" s="2">
        <f ca="1"/>
        <v>74.359664566262254</v>
      </c>
      <c r="AG2297" s="2">
        <f ca="1"/>
        <v>0.724568145951894</v>
      </c>
      <c r="AH2297" s="2" t="str">
        <f ca="1"/>
        <v>Bad</v>
      </c>
    </row>
    <row r="2298" spans="2:34">
      <c r="B2298" s="2">
        <f ca="1"/>
        <v>0.32745983629487485</v>
      </c>
      <c r="O2298" s="2">
        <f ca="1"/>
        <v>0.72149067082468066</v>
      </c>
      <c r="X2298" s="2">
        <f ca="1"/>
        <v>68.147634183519614</v>
      </c>
      <c r="AG2298" s="2">
        <f ca="1"/>
        <v>5.322121412397629E-2</v>
      </c>
      <c r="AH2298" s="2" t="str">
        <f ca="1"/>
        <v>OK</v>
      </c>
    </row>
    <row r="2299" spans="2:34">
      <c r="B2299" s="2">
        <f ca="1"/>
        <v>7.238862196657414E-2</v>
      </c>
      <c r="O2299" s="2">
        <f ca="1"/>
        <v>4.5564835346893449E-2</v>
      </c>
      <c r="X2299" s="2">
        <f ca="1"/>
        <v>66.757597943788568</v>
      </c>
      <c r="AG2299" s="2">
        <f ca="1"/>
        <v>5.1266209796244189E-2</v>
      </c>
      <c r="AH2299" s="2" t="str">
        <f ca="1"/>
        <v>OK</v>
      </c>
    </row>
    <row r="2300" spans="2:34">
      <c r="B2300" s="2">
        <f ca="1"/>
        <v>0.67759234141208902</v>
      </c>
      <c r="O2300" s="2">
        <f ca="1"/>
        <v>1.0394294614291149</v>
      </c>
      <c r="X2300" s="2">
        <f ca="1"/>
        <v>59.55771379342707</v>
      </c>
      <c r="AG2300" s="2">
        <f ca="1"/>
        <v>0.95936809705692849</v>
      </c>
      <c r="AH2300" s="2" t="str">
        <f ca="1"/>
        <v>Bad</v>
      </c>
    </row>
    <row r="2301" spans="2:34">
      <c r="B2301" s="2">
        <f ca="1"/>
        <v>0.53210391738187335</v>
      </c>
      <c r="O2301" s="2">
        <f ca="1"/>
        <v>-1.2402785728884973</v>
      </c>
      <c r="X2301" s="2">
        <f ca="1"/>
        <v>49.033861706380279</v>
      </c>
      <c r="AG2301" s="2">
        <f ca="1"/>
        <v>0.43771039208890716</v>
      </c>
      <c r="AH2301" s="2" t="str">
        <f ca="1"/>
        <v>Bad</v>
      </c>
    </row>
    <row r="2302" spans="2:34">
      <c r="B2302" s="2">
        <f ca="1"/>
        <v>0.21361649901942559</v>
      </c>
      <c r="O2302" s="2">
        <f ca="1"/>
        <v>-0.10655935362020307</v>
      </c>
      <c r="X2302" s="2">
        <f ca="1"/>
        <v>89.655680461858367</v>
      </c>
      <c r="AG2302" s="2">
        <f ca="1"/>
        <v>0.25853617157902908</v>
      </c>
      <c r="AH2302" s="2" t="str">
        <f ca="1"/>
        <v>OK</v>
      </c>
    </row>
    <row r="2303" spans="2:34">
      <c r="B2303" s="2">
        <f ca="1"/>
        <v>0.82551245532496398</v>
      </c>
      <c r="O2303" s="2">
        <f ca="1"/>
        <v>-0.10668320604213079</v>
      </c>
      <c r="X2303" s="2">
        <f ca="1"/>
        <v>27.738492700619403</v>
      </c>
      <c r="AG2303" s="2">
        <f ca="1"/>
        <v>0.449966904848355</v>
      </c>
      <c r="AH2303" s="2" t="str">
        <f ca="1"/>
        <v>Bad</v>
      </c>
    </row>
    <row r="2304" spans="2:34">
      <c r="B2304" s="2">
        <f ca="1"/>
        <v>0.81379340582343063</v>
      </c>
      <c r="O2304" s="2">
        <f ca="1"/>
        <v>-0.96682014938166494</v>
      </c>
      <c r="X2304" s="2">
        <f ca="1"/>
        <v>73.265381733983105</v>
      </c>
      <c r="AG2304" s="2">
        <f ca="1"/>
        <v>0.1902571351741813</v>
      </c>
      <c r="AH2304" s="2" t="str">
        <f ca="1"/>
        <v>OK</v>
      </c>
    </row>
    <row r="2305" spans="2:34">
      <c r="B2305" s="2">
        <f ca="1"/>
        <v>0.71461513810116739</v>
      </c>
      <c r="O2305" s="2">
        <f ca="1"/>
        <v>-0.18113210231235222</v>
      </c>
      <c r="X2305" s="2">
        <f ca="1"/>
        <v>52.508408703717741</v>
      </c>
      <c r="AG2305" s="2">
        <f ca="1"/>
        <v>0.4406000788791502</v>
      </c>
      <c r="AH2305" s="2" t="str">
        <f ca="1"/>
        <v>Bad</v>
      </c>
    </row>
    <row r="2306" spans="2:34">
      <c r="B2306" s="2">
        <f ca="1"/>
        <v>0.63121621014969787</v>
      </c>
      <c r="O2306" s="2">
        <f ca="1"/>
        <v>-1.8667914212700203</v>
      </c>
      <c r="X2306" s="2">
        <f ca="1"/>
        <v>65.405910502298099</v>
      </c>
      <c r="AG2306" s="2">
        <f ca="1"/>
        <v>0.48128777811464674</v>
      </c>
      <c r="AH2306" s="2" t="str">
        <f ca="1"/>
        <v>Bad</v>
      </c>
    </row>
    <row r="2307" spans="2:34">
      <c r="B2307" s="2">
        <f ca="1"/>
        <v>0.61378575749905018</v>
      </c>
      <c r="O2307" s="2">
        <f ca="1"/>
        <v>5.3323325040788398E-2</v>
      </c>
      <c r="X2307" s="2">
        <f ca="1"/>
        <v>73.609144353786576</v>
      </c>
      <c r="AG2307" s="2">
        <f ca="1"/>
        <v>0.89589269410938188</v>
      </c>
      <c r="AH2307" s="2" t="str">
        <f ca="1"/>
        <v>Bad</v>
      </c>
    </row>
    <row r="2308" spans="2:34">
      <c r="B2308" s="2">
        <f ca="1"/>
        <v>0.22929048908725158</v>
      </c>
      <c r="O2308" s="2">
        <f ca="1"/>
        <v>0.21276819539175423</v>
      </c>
      <c r="X2308" s="2">
        <f ca="1"/>
        <v>67.848552448208068</v>
      </c>
      <c r="AG2308" s="2">
        <f ca="1"/>
        <v>0.12402957287069927</v>
      </c>
      <c r="AH2308" s="2" t="str">
        <f ca="1"/>
        <v>OK</v>
      </c>
    </row>
    <row r="2309" spans="2:34">
      <c r="B2309" s="2">
        <f ca="1"/>
        <v>8.9471991129539408E-2</v>
      </c>
      <c r="O2309" s="2">
        <f ca="1"/>
        <v>0.17543641556570158</v>
      </c>
      <c r="X2309" s="2">
        <f ca="1"/>
        <v>44.647749693644997</v>
      </c>
      <c r="AG2309" s="2">
        <f ca="1"/>
        <v>0.7920697372354617</v>
      </c>
      <c r="AH2309" s="2" t="str">
        <f ca="1"/>
        <v>Bad</v>
      </c>
    </row>
    <row r="2310" spans="2:34">
      <c r="B2310" s="2">
        <f ca="1"/>
        <v>0.64616978926549851</v>
      </c>
      <c r="O2310" s="2">
        <f ca="1"/>
        <v>-1.4728437781416608</v>
      </c>
      <c r="X2310" s="2">
        <f ca="1"/>
        <v>58.382190056475913</v>
      </c>
      <c r="AG2310" s="2">
        <f ca="1"/>
        <v>0.70224849706327408</v>
      </c>
      <c r="AH2310" s="2" t="str">
        <f ca="1"/>
        <v>Bad</v>
      </c>
    </row>
    <row r="2311" spans="2:34">
      <c r="B2311" s="2">
        <f ca="1"/>
        <v>0.67459664802549701</v>
      </c>
      <c r="O2311" s="2">
        <f ca="1"/>
        <v>-1.0726179172294334</v>
      </c>
      <c r="X2311" s="2">
        <f ca="1"/>
        <v>83.345161331431171</v>
      </c>
      <c r="AG2311" s="2">
        <f ca="1"/>
        <v>0.38196670301616864</v>
      </c>
      <c r="AH2311" s="2" t="str">
        <f ca="1"/>
        <v>OK</v>
      </c>
    </row>
    <row r="2312" spans="2:34">
      <c r="B2312" s="2">
        <f ca="1"/>
        <v>0.83794382928214528</v>
      </c>
      <c r="O2312" s="2">
        <f ca="1"/>
        <v>1.3628986939010137</v>
      </c>
      <c r="X2312" s="2">
        <f ca="1"/>
        <v>45.475675804218312</v>
      </c>
      <c r="AG2312" s="2">
        <f ca="1"/>
        <v>1.7297753471492427E-3</v>
      </c>
      <c r="AH2312" s="2" t="str">
        <f ca="1"/>
        <v>Good</v>
      </c>
    </row>
    <row r="2313" spans="2:34">
      <c r="B2313" s="2">
        <f ca="1"/>
        <v>0.65535591968930884</v>
      </c>
      <c r="O2313" s="2">
        <f ca="1"/>
        <v>-0.88133099137280457</v>
      </c>
      <c r="X2313" s="2">
        <f ca="1"/>
        <v>59.173499353167294</v>
      </c>
      <c r="AG2313" s="2">
        <f ca="1"/>
        <v>0.75821102270759555</v>
      </c>
      <c r="AH2313" s="2" t="str">
        <f ca="1"/>
        <v>Bad</v>
      </c>
    </row>
    <row r="2314" spans="2:34">
      <c r="B2314" s="2">
        <f ca="1"/>
        <v>0.39616312994409686</v>
      </c>
      <c r="O2314" s="2">
        <f ca="1"/>
        <v>-3.35341082880747</v>
      </c>
      <c r="X2314" s="2">
        <f ca="1"/>
        <v>44.431832529344149</v>
      </c>
      <c r="AG2314" s="2">
        <f ca="1"/>
        <v>0.889740233128542</v>
      </c>
      <c r="AH2314" s="2" t="str">
        <f ca="1"/>
        <v>Bad</v>
      </c>
    </row>
    <row r="2315" spans="2:34">
      <c r="B2315" s="2">
        <f ca="1"/>
        <v>8.2973673462941155E-2</v>
      </c>
      <c r="O2315" s="2">
        <f ca="1"/>
        <v>-0.73621188125065995</v>
      </c>
      <c r="X2315" s="2">
        <f ca="1"/>
        <v>52.748758389289407</v>
      </c>
      <c r="AG2315" s="2">
        <f ca="1"/>
        <v>0.79045643707848789</v>
      </c>
      <c r="AH2315" s="2" t="str">
        <f ca="1"/>
        <v>Bad</v>
      </c>
    </row>
    <row r="2316" spans="2:34">
      <c r="B2316" s="2">
        <f ca="1"/>
        <v>0.42846034984815096</v>
      </c>
      <c r="O2316" s="2">
        <f ca="1"/>
        <v>1.0022001062623687</v>
      </c>
      <c r="X2316" s="2">
        <f ca="1"/>
        <v>36.982712564203418</v>
      </c>
      <c r="AG2316" s="2">
        <f ca="1"/>
        <v>0.56953865529046843</v>
      </c>
      <c r="AH2316" s="2" t="str">
        <f ca="1"/>
        <v>Bad</v>
      </c>
    </row>
    <row r="2317" spans="2:34">
      <c r="B2317" s="2">
        <f ca="1"/>
        <v>0.26774810484182909</v>
      </c>
      <c r="O2317" s="2">
        <f ca="1"/>
        <v>-9.2593098407580302E-2</v>
      </c>
      <c r="X2317" s="2">
        <f ca="1"/>
        <v>52.701366784527238</v>
      </c>
      <c r="AG2317" s="2">
        <f ca="1"/>
        <v>0.76203564031981941</v>
      </c>
      <c r="AH2317" s="2" t="str">
        <f ca="1"/>
        <v>Bad</v>
      </c>
    </row>
    <row r="2318" spans="2:34">
      <c r="B2318" s="2">
        <f ca="1"/>
        <v>0.28572620837578699</v>
      </c>
      <c r="O2318" s="2">
        <f ca="1"/>
        <v>-7.7716546591410918E-2</v>
      </c>
      <c r="X2318" s="2">
        <f ca="1"/>
        <v>32.435260990650171</v>
      </c>
      <c r="AG2318" s="2">
        <f ca="1"/>
        <v>0.36092517985648009</v>
      </c>
      <c r="AH2318" s="2" t="str">
        <f ca="1"/>
        <v>OK</v>
      </c>
    </row>
    <row r="2319" spans="2:34">
      <c r="B2319" s="2">
        <f ca="1"/>
        <v>0.1300166126333846</v>
      </c>
      <c r="O2319" s="2">
        <f ca="1"/>
        <v>-0.96713157185999843</v>
      </c>
      <c r="X2319" s="2">
        <f ca="1"/>
        <v>36.30523975709928</v>
      </c>
      <c r="AG2319" s="2">
        <f ca="1"/>
        <v>0.60271341222934516</v>
      </c>
      <c r="AH2319" s="2" t="str">
        <f ca="1"/>
        <v>Bad</v>
      </c>
    </row>
    <row r="2320" spans="2:34">
      <c r="B2320" s="2">
        <f ca="1"/>
        <v>0.54610170785459999</v>
      </c>
      <c r="O2320" s="2">
        <f ca="1"/>
        <v>0.17679113489187687</v>
      </c>
      <c r="X2320" s="2">
        <f ca="1"/>
        <v>65.742890338167712</v>
      </c>
      <c r="AG2320" s="2">
        <f ca="1"/>
        <v>0.48368715423806008</v>
      </c>
      <c r="AH2320" s="2" t="str">
        <f ca="1"/>
        <v>Bad</v>
      </c>
    </row>
    <row r="2321" spans="2:34">
      <c r="B2321" s="2">
        <f ca="1"/>
        <v>0.78069702978264677</v>
      </c>
      <c r="O2321" s="2">
        <f ca="1"/>
        <v>-0.87093456356728582</v>
      </c>
      <c r="X2321" s="2">
        <f ca="1"/>
        <v>73.293042112449967</v>
      </c>
      <c r="AG2321" s="2">
        <f ca="1"/>
        <v>0.34219461938787687</v>
      </c>
      <c r="AH2321" s="2" t="str">
        <f ca="1"/>
        <v>OK</v>
      </c>
    </row>
    <row r="2322" spans="2:34">
      <c r="B2322" s="2">
        <f ca="1"/>
        <v>0.74189992622845624</v>
      </c>
      <c r="O2322" s="2">
        <f ca="1"/>
        <v>-0.29378279527490037</v>
      </c>
      <c r="X2322" s="2">
        <f ca="1"/>
        <v>61.373954618726813</v>
      </c>
      <c r="AG2322" s="2">
        <f ca="1"/>
        <v>0.52831870407884951</v>
      </c>
      <c r="AH2322" s="2" t="str">
        <f ca="1"/>
        <v>Bad</v>
      </c>
    </row>
    <row r="2323" spans="2:34">
      <c r="B2323" s="2">
        <f ca="1"/>
        <v>0.6010284262004908</v>
      </c>
      <c r="O2323" s="2">
        <f ca="1"/>
        <v>0.88932372655172398</v>
      </c>
      <c r="X2323" s="2">
        <f ca="1"/>
        <v>39.372046708529133</v>
      </c>
      <c r="AG2323" s="2">
        <f ca="1"/>
        <v>0.1396668782654924</v>
      </c>
      <c r="AH2323" s="2" t="str">
        <f ca="1"/>
        <v>OK</v>
      </c>
    </row>
    <row r="2324" spans="2:34">
      <c r="B2324" s="2">
        <f ca="1"/>
        <v>0.65436180450075865</v>
      </c>
      <c r="O2324" s="2">
        <f ca="1"/>
        <v>0.48621420506192575</v>
      </c>
      <c r="X2324" s="2">
        <f ca="1"/>
        <v>53.619760873031183</v>
      </c>
      <c r="AG2324" s="2">
        <f ca="1"/>
        <v>7.2809830579627199E-2</v>
      </c>
      <c r="AH2324" s="2" t="str">
        <f ca="1"/>
        <v>OK</v>
      </c>
    </row>
    <row r="2325" spans="2:34">
      <c r="B2325" s="2">
        <f ca="1"/>
        <v>0.92673915157124065</v>
      </c>
      <c r="O2325" s="2">
        <f ca="1"/>
        <v>-0.78469901042119006</v>
      </c>
      <c r="X2325" s="2">
        <f ca="1"/>
        <v>50.912482872396517</v>
      </c>
      <c r="AG2325" s="2">
        <f ca="1"/>
        <v>0.76871723673411374</v>
      </c>
      <c r="AH2325" s="2" t="str">
        <f ca="1"/>
        <v>Bad</v>
      </c>
    </row>
    <row r="2326" spans="2:34">
      <c r="B2326" s="2">
        <f ca="1"/>
        <v>0.56566322881724962</v>
      </c>
      <c r="O2326" s="2">
        <f ca="1"/>
        <v>-0.44780016464752015</v>
      </c>
      <c r="X2326" s="2">
        <f ca="1"/>
        <v>54.210610263738133</v>
      </c>
      <c r="AG2326" s="2">
        <f ca="1"/>
        <v>0.76055340813947447</v>
      </c>
      <c r="AH2326" s="2" t="str">
        <f ca="1"/>
        <v>Bad</v>
      </c>
    </row>
    <row r="2327" spans="2:34">
      <c r="B2327" s="2">
        <f ca="1"/>
        <v>0.53459740601470229</v>
      </c>
      <c r="O2327" s="2">
        <f ca="1"/>
        <v>1.050924046371382</v>
      </c>
      <c r="X2327" s="2">
        <f ca="1"/>
        <v>55.378806957025226</v>
      </c>
      <c r="AG2327" s="2">
        <f ca="1"/>
        <v>0.28096405696588844</v>
      </c>
      <c r="AH2327" s="2" t="str">
        <f ca="1"/>
        <v>OK</v>
      </c>
    </row>
    <row r="2328" spans="2:34">
      <c r="B2328" s="2">
        <f ca="1"/>
        <v>0.80328956950174923</v>
      </c>
      <c r="O2328" s="2">
        <f ca="1"/>
        <v>1.5278281848652129</v>
      </c>
      <c r="X2328" s="2">
        <f ca="1"/>
        <v>61.995103962312577</v>
      </c>
      <c r="AG2328" s="2">
        <f ca="1"/>
        <v>0.35446681482270637</v>
      </c>
      <c r="AH2328" s="2" t="str">
        <f ca="1"/>
        <v>OK</v>
      </c>
    </row>
    <row r="2329" spans="2:34">
      <c r="B2329" s="2">
        <f ca="1"/>
        <v>0.93741801051100748</v>
      </c>
      <c r="O2329" s="2">
        <f ca="1"/>
        <v>-0.23480056895957657</v>
      </c>
      <c r="X2329" s="2">
        <f ca="1"/>
        <v>47.131647187103965</v>
      </c>
      <c r="AG2329" s="2">
        <f ca="1"/>
        <v>0.11561924253814193</v>
      </c>
      <c r="AH2329" s="2" t="str">
        <f ca="1"/>
        <v>OK</v>
      </c>
    </row>
    <row r="2330" spans="2:34">
      <c r="B2330" s="2">
        <f ca="1"/>
        <v>0.34228676851266626</v>
      </c>
      <c r="O2330" s="2">
        <f ca="1"/>
        <v>-1.5759722871124988</v>
      </c>
      <c r="X2330" s="2">
        <f ca="1"/>
        <v>63.975033283883647</v>
      </c>
      <c r="AG2330" s="2">
        <f ca="1"/>
        <v>4.4983281279799447E-2</v>
      </c>
      <c r="AH2330" s="2" t="str">
        <f ca="1"/>
        <v>Good</v>
      </c>
    </row>
    <row r="2331" spans="2:34">
      <c r="B2331" s="2">
        <f ca="1"/>
        <v>0.77643602229101871</v>
      </c>
      <c r="O2331" s="2">
        <f ca="1"/>
        <v>1.4385574924292304</v>
      </c>
      <c r="X2331" s="2">
        <f ca="1"/>
        <v>54.844021734520709</v>
      </c>
      <c r="AG2331" s="2">
        <f ca="1"/>
        <v>0.57130445376959993</v>
      </c>
      <c r="AH2331" s="2" t="str">
        <f ca="1"/>
        <v>Bad</v>
      </c>
    </row>
    <row r="2332" spans="2:34">
      <c r="B2332" s="2">
        <f ca="1"/>
        <v>0.60496523639066435</v>
      </c>
      <c r="O2332" s="2">
        <f ca="1"/>
        <v>0.20266415617132577</v>
      </c>
      <c r="X2332" s="2">
        <f ca="1"/>
        <v>86.365863354530447</v>
      </c>
      <c r="AG2332" s="2">
        <f ca="1"/>
        <v>0.72846674800160982</v>
      </c>
      <c r="AH2332" s="2" t="str">
        <f ca="1"/>
        <v>Bad</v>
      </c>
    </row>
    <row r="2333" spans="2:34">
      <c r="B2333" s="2">
        <f ca="1"/>
        <v>0.25262114439054062</v>
      </c>
      <c r="O2333" s="2">
        <f ca="1"/>
        <v>-0.22972706354635797</v>
      </c>
      <c r="X2333" s="2">
        <f ca="1"/>
        <v>34.076491840071306</v>
      </c>
      <c r="AG2333" s="2">
        <f ca="1"/>
        <v>0.33241663871842331</v>
      </c>
      <c r="AH2333" s="2" t="str">
        <f ca="1"/>
        <v>OK</v>
      </c>
    </row>
    <row r="2334" spans="2:34">
      <c r="B2334" s="2">
        <f ca="1"/>
        <v>0.85938577784348213</v>
      </c>
      <c r="O2334" s="2">
        <f ca="1"/>
        <v>-1.3531440444588532</v>
      </c>
      <c r="X2334" s="2">
        <f ca="1"/>
        <v>55.209530285202632</v>
      </c>
      <c r="AG2334" s="2">
        <f ca="1"/>
        <v>0.76736432243384245</v>
      </c>
      <c r="AH2334" s="2" t="str">
        <f ca="1"/>
        <v>Bad</v>
      </c>
    </row>
    <row r="2335" spans="2:34">
      <c r="B2335" s="2">
        <f ca="1"/>
        <v>0.2245385362324881</v>
      </c>
      <c r="O2335" s="2">
        <f ca="1"/>
        <v>-1.3885384298890264</v>
      </c>
      <c r="X2335" s="2">
        <f ca="1"/>
        <v>37.664526519221006</v>
      </c>
      <c r="AG2335" s="2">
        <f ca="1"/>
        <v>0.83571746340382957</v>
      </c>
      <c r="AH2335" s="2" t="str">
        <f ca="1"/>
        <v>Bad</v>
      </c>
    </row>
    <row r="2336" spans="2:34">
      <c r="B2336" s="2">
        <f ca="1"/>
        <v>0.76789608536109699</v>
      </c>
      <c r="O2336" s="2">
        <f ca="1"/>
        <v>-1.6616641758881844E-2</v>
      </c>
      <c r="X2336" s="2">
        <f ca="1"/>
        <v>37.198342478227829</v>
      </c>
      <c r="AG2336" s="2">
        <f ca="1"/>
        <v>0.21915211421541048</v>
      </c>
      <c r="AH2336" s="2" t="str">
        <f ca="1"/>
        <v>OK</v>
      </c>
    </row>
    <row r="2337" spans="2:34">
      <c r="B2337" s="2">
        <f ca="1"/>
        <v>0.65426254455622912</v>
      </c>
      <c r="O2337" s="2">
        <f ca="1"/>
        <v>0.2325279911752649</v>
      </c>
      <c r="X2337" s="2">
        <f ca="1"/>
        <v>41.997194792867624</v>
      </c>
      <c r="AG2337" s="2">
        <f ca="1"/>
        <v>0.56530967914304364</v>
      </c>
      <c r="AH2337" s="2" t="str">
        <f ca="1"/>
        <v>Bad</v>
      </c>
    </row>
    <row r="2338" spans="2:34">
      <c r="B2338" s="2">
        <f ca="1"/>
        <v>0.93643628768277676</v>
      </c>
      <c r="O2338" s="2">
        <f ca="1"/>
        <v>0.59543703195673392</v>
      </c>
      <c r="X2338" s="2">
        <f ca="1"/>
        <v>49.033111085959298</v>
      </c>
      <c r="AG2338" s="2">
        <f ca="1"/>
        <v>0.68048930382345563</v>
      </c>
      <c r="AH2338" s="2" t="str">
        <f ca="1"/>
        <v>Bad</v>
      </c>
    </row>
    <row r="2339" spans="2:34">
      <c r="B2339" s="2">
        <f ca="1"/>
        <v>0.49581896517518942</v>
      </c>
      <c r="O2339" s="2">
        <f ca="1"/>
        <v>0.14779529536564237</v>
      </c>
      <c r="X2339" s="2">
        <f ca="1"/>
        <v>38.627445394692678</v>
      </c>
      <c r="AG2339" s="2">
        <f ca="1"/>
        <v>0.19895821841367467</v>
      </c>
      <c r="AH2339" s="2" t="str">
        <f ca="1"/>
        <v>OK</v>
      </c>
    </row>
    <row r="2340" spans="2:34">
      <c r="B2340" s="2">
        <f ca="1"/>
        <v>0.22322231543320981</v>
      </c>
      <c r="O2340" s="2">
        <f ca="1"/>
        <v>2.9863926021188081</v>
      </c>
      <c r="X2340" s="2">
        <f ca="1"/>
        <v>53.4854140522595</v>
      </c>
      <c r="AG2340" s="2">
        <f ca="1"/>
        <v>0.843054544392005</v>
      </c>
      <c r="AH2340" s="2" t="str">
        <f ca="1"/>
        <v>Bad</v>
      </c>
    </row>
    <row r="2341" spans="2:34">
      <c r="B2341" s="2">
        <f ca="1"/>
        <v>0.33414841305118403</v>
      </c>
      <c r="O2341" s="2">
        <f ca="1"/>
        <v>0.15190439916963414</v>
      </c>
      <c r="X2341" s="2">
        <f ca="1"/>
        <v>20.880552466005348</v>
      </c>
      <c r="AG2341" s="2">
        <f ca="1"/>
        <v>0.36494843197889026</v>
      </c>
      <c r="AH2341" s="2" t="str">
        <f ca="1"/>
        <v>OK</v>
      </c>
    </row>
    <row r="2342" spans="2:34">
      <c r="B2342" s="2">
        <f ca="1"/>
        <v>0.54647237249417047</v>
      </c>
      <c r="O2342" s="2">
        <f ca="1"/>
        <v>-0.20556981068511276</v>
      </c>
      <c r="X2342" s="2">
        <f ca="1"/>
        <v>32.923336014063224</v>
      </c>
      <c r="AG2342" s="2">
        <f ca="1"/>
        <v>0.88543874587741955</v>
      </c>
      <c r="AH2342" s="2" t="str">
        <f ca="1"/>
        <v>Bad</v>
      </c>
    </row>
    <row r="2343" spans="2:34">
      <c r="B2343" s="2">
        <f ca="1"/>
        <v>0.66173755401368406</v>
      </c>
      <c r="O2343" s="2">
        <f ca="1"/>
        <v>0.27943020682102088</v>
      </c>
      <c r="X2343" s="2">
        <f ca="1"/>
        <v>38.051276206402989</v>
      </c>
      <c r="AG2343" s="2">
        <f ca="1"/>
        <v>0.54728819771857995</v>
      </c>
      <c r="AH2343" s="2" t="str">
        <f ca="1"/>
        <v>Bad</v>
      </c>
    </row>
    <row r="2344" spans="2:34">
      <c r="B2344" s="2">
        <f ca="1"/>
        <v>5.0718804618854252E-2</v>
      </c>
      <c r="O2344" s="2">
        <f ca="1"/>
        <v>-0.95054711809934034</v>
      </c>
      <c r="X2344" s="2">
        <f ca="1"/>
        <v>41.554295079237527</v>
      </c>
      <c r="AG2344" s="2">
        <f ca="1"/>
        <v>3.3829103550813366E-2</v>
      </c>
      <c r="AH2344" s="2" t="str">
        <f ca="1"/>
        <v>Good</v>
      </c>
    </row>
    <row r="2345" spans="2:34">
      <c r="B2345" s="2">
        <f ca="1"/>
        <v>0.8086828098810146</v>
      </c>
      <c r="O2345" s="2">
        <f ca="1"/>
        <v>-0.18791352774060019</v>
      </c>
      <c r="X2345" s="2">
        <f ca="1"/>
        <v>30.194188433287849</v>
      </c>
      <c r="AG2345" s="2">
        <f ca="1"/>
        <v>7.6519327273566251E-2</v>
      </c>
      <c r="AH2345" s="2" t="str">
        <f ca="1"/>
        <v>OK</v>
      </c>
    </row>
    <row r="2346" spans="2:34">
      <c r="B2346" s="2">
        <f ca="1"/>
        <v>0.61843106170561191</v>
      </c>
      <c r="O2346" s="2">
        <f ca="1"/>
        <v>-0.16472491404294201</v>
      </c>
      <c r="X2346" s="2">
        <f ca="1"/>
        <v>20.977898214967933</v>
      </c>
      <c r="AG2346" s="2">
        <f ca="1"/>
        <v>0.82887032999640642</v>
      </c>
      <c r="AH2346" s="2" t="str">
        <f ca="1"/>
        <v>Bad</v>
      </c>
    </row>
    <row r="2347" spans="2:34">
      <c r="B2347" s="2">
        <f ca="1"/>
        <v>0.34966165575330144</v>
      </c>
      <c r="O2347" s="2">
        <f ca="1"/>
        <v>0.23669811951794431</v>
      </c>
      <c r="X2347" s="2">
        <f ca="1"/>
        <v>49.348346610951211</v>
      </c>
      <c r="AG2347" s="2">
        <f ca="1"/>
        <v>0.7599033930756427</v>
      </c>
      <c r="AH2347" s="2" t="str">
        <f ca="1"/>
        <v>Bad</v>
      </c>
    </row>
    <row r="2348" spans="2:34">
      <c r="B2348" s="2">
        <f ca="1"/>
        <v>0.15434640795586541</v>
      </c>
      <c r="O2348" s="2">
        <f ca="1"/>
        <v>1.2146478126389797</v>
      </c>
      <c r="X2348" s="2">
        <f ca="1"/>
        <v>52.827926253676665</v>
      </c>
      <c r="AG2348" s="2">
        <f ca="1"/>
        <v>0.48112780669854516</v>
      </c>
      <c r="AH2348" s="2" t="str">
        <f ca="1"/>
        <v>Bad</v>
      </c>
    </row>
    <row r="2349" spans="2:34">
      <c r="B2349" s="2">
        <f ca="1"/>
        <v>0.45888367214248849</v>
      </c>
      <c r="O2349" s="2">
        <f ca="1"/>
        <v>-2.5058236991442024</v>
      </c>
      <c r="X2349" s="2">
        <f ca="1"/>
        <v>65.038935307012892</v>
      </c>
      <c r="AG2349" s="2">
        <f ca="1"/>
        <v>0.65494292644319496</v>
      </c>
      <c r="AH2349" s="2" t="str">
        <f ca="1"/>
        <v>Bad</v>
      </c>
    </row>
    <row r="2350" spans="2:34">
      <c r="B2350" s="2">
        <f ca="1"/>
        <v>0.82414254318951485</v>
      </c>
      <c r="O2350" s="2">
        <f ca="1"/>
        <v>-1.1850104855464738</v>
      </c>
      <c r="X2350" s="2">
        <f ca="1"/>
        <v>31.719801005021893</v>
      </c>
      <c r="AG2350" s="2">
        <f ca="1"/>
        <v>0.11895801340017265</v>
      </c>
      <c r="AH2350" s="2" t="str">
        <f ca="1"/>
        <v>OK</v>
      </c>
    </row>
    <row r="2351" spans="2:34">
      <c r="B2351" s="2">
        <f ca="1"/>
        <v>0.49332927959760897</v>
      </c>
      <c r="O2351" s="2">
        <f ca="1"/>
        <v>0.50951964487023571</v>
      </c>
      <c r="X2351" s="2">
        <f ca="1"/>
        <v>34.407671290130416</v>
      </c>
      <c r="AG2351" s="2">
        <f ca="1"/>
        <v>0.34270345967904858</v>
      </c>
      <c r="AH2351" s="2" t="str">
        <f ca="1"/>
        <v>OK</v>
      </c>
    </row>
    <row r="2352" spans="2:34">
      <c r="B2352" s="2">
        <f ca="1"/>
        <v>0.44130364303634195</v>
      </c>
      <c r="O2352" s="2">
        <f ca="1"/>
        <v>1.1735004388157133</v>
      </c>
      <c r="X2352" s="2">
        <f ca="1"/>
        <v>53.882064459511518</v>
      </c>
      <c r="AG2352" s="2">
        <f ca="1"/>
        <v>0.44886136367211282</v>
      </c>
      <c r="AH2352" s="2" t="str">
        <f ca="1"/>
        <v>Bad</v>
      </c>
    </row>
    <row r="2353" spans="2:34">
      <c r="B2353" s="2">
        <f ca="1"/>
        <v>0.55178704963685266</v>
      </c>
      <c r="O2353" s="2">
        <f ca="1"/>
        <v>0.1644744892174192</v>
      </c>
      <c r="X2353" s="2">
        <f ca="1"/>
        <v>38.454743339932037</v>
      </c>
      <c r="AG2353" s="2">
        <f ca="1"/>
        <v>0.85478732548810221</v>
      </c>
      <c r="AH2353" s="2" t="str">
        <f ca="1"/>
        <v>Bad</v>
      </c>
    </row>
    <row r="2354" spans="2:34">
      <c r="B2354" s="2">
        <f ca="1"/>
        <v>0.23694695704259283</v>
      </c>
      <c r="O2354" s="2">
        <f ca="1"/>
        <v>0.77685422667934834</v>
      </c>
      <c r="X2354" s="2">
        <f ca="1"/>
        <v>38.410723753646529</v>
      </c>
      <c r="AG2354" s="2">
        <f ca="1"/>
        <v>0.59911909559813781</v>
      </c>
      <c r="AH2354" s="2" t="str">
        <f ca="1"/>
        <v>Bad</v>
      </c>
    </row>
    <row r="2355" spans="2:34">
      <c r="B2355" s="2">
        <f ca="1"/>
        <v>3.186781405079353E-2</v>
      </c>
      <c r="O2355" s="2">
        <f ca="1"/>
        <v>0.37248209807316396</v>
      </c>
      <c r="X2355" s="2">
        <f ca="1"/>
        <v>53.205168145732181</v>
      </c>
      <c r="AG2355" s="2">
        <f ca="1"/>
        <v>0.50314570896566146</v>
      </c>
      <c r="AH2355" s="2" t="str">
        <f ca="1"/>
        <v>Bad</v>
      </c>
    </row>
    <row r="2356" spans="2:34">
      <c r="B2356" s="2">
        <f ca="1"/>
        <v>0.55199862366208796</v>
      </c>
      <c r="O2356" s="2">
        <f ca="1"/>
        <v>1.0276114620860719</v>
      </c>
      <c r="X2356" s="2">
        <f ca="1"/>
        <v>29.5003400185267</v>
      </c>
      <c r="AG2356" s="2">
        <f ca="1"/>
        <v>0.71253299117765234</v>
      </c>
      <c r="AH2356" s="2" t="str">
        <f ca="1"/>
        <v>Bad</v>
      </c>
    </row>
    <row r="2357" spans="2:34">
      <c r="B2357" s="2">
        <f ca="1"/>
        <v>0.28134882488270097</v>
      </c>
      <c r="O2357" s="2">
        <f ca="1"/>
        <v>-0.10209281409571039</v>
      </c>
      <c r="X2357" s="2">
        <f ca="1"/>
        <v>48.190589814401662</v>
      </c>
      <c r="AG2357" s="2">
        <f ca="1"/>
        <v>0.76492874219296958</v>
      </c>
      <c r="AH2357" s="2" t="str">
        <f ca="1"/>
        <v>Bad</v>
      </c>
    </row>
    <row r="2358" spans="2:34">
      <c r="B2358" s="2">
        <f ca="1"/>
        <v>0.47235525234687903</v>
      </c>
      <c r="O2358" s="2">
        <f ca="1"/>
        <v>-1.6298062406123661</v>
      </c>
      <c r="X2358" s="2">
        <f ca="1"/>
        <v>41.081353261856876</v>
      </c>
      <c r="AG2358" s="2">
        <f ca="1"/>
        <v>0.61420664325555019</v>
      </c>
      <c r="AH2358" s="2" t="str">
        <f ca="1"/>
        <v>Bad</v>
      </c>
    </row>
    <row r="2359" spans="2:34">
      <c r="B2359" s="2">
        <f ca="1"/>
        <v>0.26453571792618225</v>
      </c>
      <c r="O2359" s="2">
        <f ca="1"/>
        <v>0.15029348307567503</v>
      </c>
      <c r="X2359" s="2">
        <f ca="1"/>
        <v>28.199263065283198</v>
      </c>
      <c r="AG2359" s="2">
        <f ca="1"/>
        <v>0.88308255667958679</v>
      </c>
      <c r="AH2359" s="2" t="str">
        <f ca="1"/>
        <v>Bad</v>
      </c>
    </row>
    <row r="2360" spans="2:34">
      <c r="B2360" s="2">
        <f ca="1"/>
        <v>0.10591261529969498</v>
      </c>
      <c r="O2360" s="2">
        <f ca="1"/>
        <v>1.1190628291923372</v>
      </c>
      <c r="X2360" s="2">
        <f ca="1"/>
        <v>46.0845703292783</v>
      </c>
      <c r="AG2360" s="2">
        <f ca="1"/>
        <v>0.44458639348576967</v>
      </c>
      <c r="AH2360" s="2" t="str">
        <f ca="1"/>
        <v>Bad</v>
      </c>
    </row>
    <row r="2361" spans="2:34">
      <c r="B2361" s="2">
        <f ca="1"/>
        <v>0.33036594658768181</v>
      </c>
      <c r="O2361" s="2">
        <f ca="1"/>
        <v>1.5308589902926018</v>
      </c>
      <c r="X2361" s="2">
        <f ca="1"/>
        <v>30.363620071805578</v>
      </c>
      <c r="AG2361" s="2">
        <f ca="1"/>
        <v>0.93020748635285488</v>
      </c>
      <c r="AH2361" s="2" t="str">
        <f ca="1"/>
        <v>Bad</v>
      </c>
    </row>
    <row r="2362" spans="2:34">
      <c r="B2362" s="2">
        <f ca="1"/>
        <v>1.0960643787306878E-2</v>
      </c>
      <c r="O2362" s="2">
        <f ca="1"/>
        <v>0.83707019121448067</v>
      </c>
      <c r="X2362" s="2">
        <f ca="1"/>
        <v>96.30182026521625</v>
      </c>
      <c r="AG2362" s="2">
        <f ca="1"/>
        <v>0.95601592635448385</v>
      </c>
      <c r="AH2362" s="2" t="str">
        <f ca="1"/>
        <v>Bad</v>
      </c>
    </row>
    <row r="2363" spans="2:34">
      <c r="B2363" s="2">
        <f ca="1"/>
        <v>0.69335945065470228</v>
      </c>
      <c r="O2363" s="2">
        <f ca="1"/>
        <v>2.0337552912317647</v>
      </c>
      <c r="X2363" s="2">
        <f ca="1"/>
        <v>52.284913791016024</v>
      </c>
      <c r="AG2363" s="2">
        <f ca="1"/>
        <v>0.17084149308558505</v>
      </c>
      <c r="AH2363" s="2" t="str">
        <f ca="1"/>
        <v>OK</v>
      </c>
    </row>
    <row r="2364" spans="2:34">
      <c r="B2364" s="2">
        <f ca="1"/>
        <v>0.12113680296412888</v>
      </c>
      <c r="O2364" s="2">
        <f ca="1"/>
        <v>2.5308000854517378E-3</v>
      </c>
      <c r="X2364" s="2">
        <f ca="1"/>
        <v>53.203951290092576</v>
      </c>
      <c r="AG2364" s="2">
        <f ca="1"/>
        <v>0.80401025582137597</v>
      </c>
      <c r="AH2364" s="2" t="str">
        <f ca="1"/>
        <v>Bad</v>
      </c>
    </row>
    <row r="2365" spans="2:34">
      <c r="B2365" s="2">
        <f ca="1"/>
        <v>0.7646251934782804</v>
      </c>
      <c r="O2365" s="2">
        <f ca="1"/>
        <v>-1.6254951793259516</v>
      </c>
      <c r="X2365" s="2">
        <f ca="1"/>
        <v>46.02480035593382</v>
      </c>
      <c r="AG2365" s="2">
        <f ca="1"/>
        <v>0.39407243663798619</v>
      </c>
      <c r="AH2365" s="2" t="str">
        <f ca="1"/>
        <v>OK</v>
      </c>
    </row>
    <row r="2366" spans="2:34">
      <c r="B2366" s="2">
        <f ca="1"/>
        <v>0.31156549553179169</v>
      </c>
      <c r="O2366" s="2">
        <f ca="1"/>
        <v>0.19782231403461625</v>
      </c>
      <c r="X2366" s="2">
        <f ca="1"/>
        <v>62.586047520076505</v>
      </c>
      <c r="AG2366" s="2">
        <f ca="1"/>
        <v>0.30151172343166843</v>
      </c>
      <c r="AH2366" s="2" t="str">
        <f ca="1"/>
        <v>OK</v>
      </c>
    </row>
    <row r="2367" spans="2:34">
      <c r="B2367" s="2">
        <f ca="1"/>
        <v>2.0288606629350614E-3</v>
      </c>
      <c r="O2367" s="2">
        <f ca="1"/>
        <v>0.17294887980965673</v>
      </c>
      <c r="X2367" s="2">
        <f ca="1"/>
        <v>31.491683985449043</v>
      </c>
      <c r="AG2367" s="2">
        <f ca="1"/>
        <v>0.77924684726534732</v>
      </c>
      <c r="AH2367" s="2" t="str">
        <f ca="1"/>
        <v>Bad</v>
      </c>
    </row>
    <row r="2368" spans="2:34">
      <c r="B2368" s="2">
        <f ca="1"/>
        <v>0.14403146415083667</v>
      </c>
      <c r="O2368" s="2">
        <f ca="1"/>
        <v>-1.656528232763969</v>
      </c>
      <c r="X2368" s="2">
        <f ca="1"/>
        <v>90.483319369503135</v>
      </c>
      <c r="AG2368" s="2">
        <f ca="1"/>
        <v>0.75747625256472628</v>
      </c>
      <c r="AH2368" s="2" t="str">
        <f ca="1"/>
        <v>Bad</v>
      </c>
    </row>
    <row r="2369" spans="2:34">
      <c r="B2369" s="2">
        <f ca="1"/>
        <v>0.62949738345755768</v>
      </c>
      <c r="O2369" s="2">
        <f ca="1"/>
        <v>0.42805273281478845</v>
      </c>
      <c r="X2369" s="2">
        <f ca="1"/>
        <v>60.983072585708754</v>
      </c>
      <c r="AG2369" s="2">
        <f ca="1"/>
        <v>7.1481294170640419E-2</v>
      </c>
      <c r="AH2369" s="2" t="str">
        <f ca="1"/>
        <v>OK</v>
      </c>
    </row>
    <row r="2370" spans="2:34">
      <c r="B2370" s="2">
        <f ca="1"/>
        <v>0.190970447323763</v>
      </c>
      <c r="O2370" s="2">
        <f ca="1"/>
        <v>1.5336411803026726</v>
      </c>
      <c r="X2370" s="2">
        <f ca="1"/>
        <v>96.624649860457879</v>
      </c>
      <c r="AG2370" s="2">
        <f ca="1"/>
        <v>0.77868234797277092</v>
      </c>
      <c r="AH2370" s="2" t="str">
        <f ca="1"/>
        <v>Bad</v>
      </c>
    </row>
    <row r="2371" spans="2:34">
      <c r="B2371" s="2">
        <f ca="1"/>
        <v>0.43269197782196089</v>
      </c>
      <c r="O2371" s="2">
        <f ca="1"/>
        <v>1.3357030720514209</v>
      </c>
      <c r="X2371" s="2">
        <f ca="1"/>
        <v>49.080058311210884</v>
      </c>
      <c r="AG2371" s="2">
        <f ca="1"/>
        <v>0.77207540308464306</v>
      </c>
      <c r="AH2371" s="2" t="str">
        <f ca="1"/>
        <v>Bad</v>
      </c>
    </row>
    <row r="2372" spans="2:34">
      <c r="B2372" s="2">
        <f ca="1"/>
        <v>0.31573889107928177</v>
      </c>
      <c r="O2372" s="2">
        <f ca="1"/>
        <v>-0.32802677627340987</v>
      </c>
      <c r="X2372" s="2">
        <f ca="1"/>
        <v>42.650101495535687</v>
      </c>
      <c r="AG2372" s="2">
        <f ca="1"/>
        <v>0.18800807716216217</v>
      </c>
      <c r="AH2372" s="2" t="str">
        <f ca="1"/>
        <v>OK</v>
      </c>
    </row>
    <row r="2373" spans="2:34">
      <c r="B2373" s="2">
        <f ca="1"/>
        <v>0.9559545105714562</v>
      </c>
      <c r="O2373" s="2">
        <f ca="1"/>
        <v>0.10774669469731614</v>
      </c>
      <c r="X2373" s="2">
        <f ca="1"/>
        <v>63.243687607697971</v>
      </c>
      <c r="AG2373" s="2">
        <f ca="1"/>
        <v>0.23727517402173137</v>
      </c>
      <c r="AH2373" s="2" t="str">
        <f ca="1"/>
        <v>OK</v>
      </c>
    </row>
    <row r="2374" spans="2:34">
      <c r="B2374" s="2">
        <f ca="1"/>
        <v>0.93786794327236045</v>
      </c>
      <c r="O2374" s="2">
        <f ca="1"/>
        <v>8.0892141947418519E-3</v>
      </c>
      <c r="X2374" s="2">
        <f ca="1"/>
        <v>42.347777452966739</v>
      </c>
      <c r="AG2374" s="2">
        <f ca="1"/>
        <v>0.81995117171639453</v>
      </c>
      <c r="AH2374" s="2" t="str">
        <f ca="1"/>
        <v>Bad</v>
      </c>
    </row>
    <row r="2375" spans="2:34">
      <c r="B2375" s="2">
        <f ca="1"/>
        <v>0.72480506440499815</v>
      </c>
      <c r="O2375" s="2">
        <f ca="1"/>
        <v>-9.9499852178473909E-3</v>
      </c>
      <c r="X2375" s="2">
        <f ca="1"/>
        <v>32.731259544152628</v>
      </c>
      <c r="AG2375" s="2">
        <f ca="1"/>
        <v>0.18952780319523055</v>
      </c>
      <c r="AH2375" s="2" t="str">
        <f ca="1"/>
        <v>OK</v>
      </c>
    </row>
    <row r="2376" spans="2:34">
      <c r="B2376" s="2">
        <f ca="1"/>
        <v>3.9611007671965792E-2</v>
      </c>
      <c r="O2376" s="2">
        <f ca="1"/>
        <v>2.8141077904135323</v>
      </c>
      <c r="X2376" s="2">
        <f ca="1"/>
        <v>37.517437927804103</v>
      </c>
      <c r="AG2376" s="2">
        <f ca="1"/>
        <v>0.58166837876911459</v>
      </c>
      <c r="AH2376" s="2" t="str">
        <f ca="1"/>
        <v>Bad</v>
      </c>
    </row>
    <row r="2377" spans="2:34">
      <c r="B2377" s="2">
        <f ca="1"/>
        <v>0.48850759634600704</v>
      </c>
      <c r="O2377" s="2">
        <f ca="1"/>
        <v>8.259614364971847E-2</v>
      </c>
      <c r="X2377" s="2">
        <f ca="1"/>
        <v>54.77380161621727</v>
      </c>
      <c r="AG2377" s="2">
        <f ca="1"/>
        <v>0.38960687462287824</v>
      </c>
      <c r="AH2377" s="2" t="str">
        <f ca="1"/>
        <v>OK</v>
      </c>
    </row>
    <row r="2378" spans="2:34">
      <c r="B2378" s="2">
        <f ca="1"/>
        <v>0.2885003348433457</v>
      </c>
      <c r="O2378" s="2">
        <f ca="1"/>
        <v>-0.23990439943112832</v>
      </c>
      <c r="X2378" s="2">
        <f ca="1"/>
        <v>71.096445463331762</v>
      </c>
      <c r="AG2378" s="2">
        <f ca="1"/>
        <v>6.910134689658598E-2</v>
      </c>
      <c r="AH2378" s="2" t="str">
        <f ca="1"/>
        <v>OK</v>
      </c>
    </row>
    <row r="2379" spans="2:34">
      <c r="B2379" s="2">
        <f ca="1"/>
        <v>0.98476627093293123</v>
      </c>
      <c r="O2379" s="2">
        <f ca="1"/>
        <v>-1.116043814874857</v>
      </c>
      <c r="X2379" s="2">
        <f ca="1"/>
        <v>35.236400297625046</v>
      </c>
      <c r="AG2379" s="2">
        <f ca="1"/>
        <v>0.5135420972897653</v>
      </c>
      <c r="AH2379" s="2" t="str">
        <f ca="1"/>
        <v>Bad</v>
      </c>
    </row>
    <row r="2380" spans="2:34">
      <c r="B2380" s="2">
        <f ca="1"/>
        <v>1.1696010835566817E-2</v>
      </c>
      <c r="O2380" s="2">
        <f ca="1"/>
        <v>-0.75271777722158772</v>
      </c>
      <c r="X2380" s="2">
        <f ca="1"/>
        <v>76.494543558120853</v>
      </c>
      <c r="AG2380" s="2">
        <f ca="1"/>
        <v>0.89073994464572159</v>
      </c>
      <c r="AH2380" s="2" t="str">
        <f ca="1"/>
        <v>Bad</v>
      </c>
    </row>
    <row r="2381" spans="2:34">
      <c r="B2381" s="2">
        <f ca="1"/>
        <v>0.7783937285802045</v>
      </c>
      <c r="O2381" s="2">
        <f ca="1"/>
        <v>-0.39500098751177104</v>
      </c>
      <c r="X2381" s="2">
        <f ca="1"/>
        <v>84.186602065651101</v>
      </c>
      <c r="AG2381" s="2">
        <f ca="1"/>
        <v>0.40012994249353739</v>
      </c>
      <c r="AH2381" s="2" t="str">
        <f ca="1"/>
        <v>Bad</v>
      </c>
    </row>
    <row r="2382" spans="2:34">
      <c r="B2382" s="2">
        <f ca="1"/>
        <v>0.47068735516622651</v>
      </c>
      <c r="O2382" s="2">
        <f ca="1"/>
        <v>1.4149423557644831</v>
      </c>
      <c r="X2382" s="2">
        <f ca="1"/>
        <v>73.190396749063538</v>
      </c>
      <c r="AG2382" s="2">
        <f ca="1"/>
        <v>0.31379290707355767</v>
      </c>
      <c r="AH2382" s="2" t="str">
        <f ca="1"/>
        <v>OK</v>
      </c>
    </row>
    <row r="2383" spans="2:34">
      <c r="B2383" s="2">
        <f ca="1"/>
        <v>0.47920269252694148</v>
      </c>
      <c r="O2383" s="2">
        <f ca="1"/>
        <v>0.46027080504978668</v>
      </c>
      <c r="X2383" s="2">
        <f ca="1"/>
        <v>57.521483169651532</v>
      </c>
      <c r="AG2383" s="2">
        <f ca="1"/>
        <v>0.15027125535133412</v>
      </c>
      <c r="AH2383" s="2" t="str">
        <f ca="1"/>
        <v>OK</v>
      </c>
    </row>
    <row r="2384" spans="2:34">
      <c r="B2384" s="2">
        <f ca="1"/>
        <v>0.97692232103217491</v>
      </c>
      <c r="O2384" s="2">
        <f ca="1"/>
        <v>-1.1693745704485006</v>
      </c>
      <c r="X2384" s="2">
        <f ca="1"/>
        <v>81.540551152007126</v>
      </c>
      <c r="AG2384" s="2">
        <f ca="1"/>
        <v>0.30461655846761571</v>
      </c>
      <c r="AH2384" s="2" t="str">
        <f ca="1"/>
        <v>OK</v>
      </c>
    </row>
    <row r="2385" spans="2:34">
      <c r="B2385" s="2">
        <f ca="1"/>
        <v>0.61430947785747536</v>
      </c>
      <c r="O2385" s="2">
        <f ca="1"/>
        <v>-1.2332925073678251</v>
      </c>
      <c r="X2385" s="2">
        <f ca="1"/>
        <v>33.687730471886574</v>
      </c>
      <c r="AG2385" s="2">
        <f ca="1"/>
        <v>0.32455247560709566</v>
      </c>
      <c r="AH2385" s="2" t="str">
        <f ca="1"/>
        <v>OK</v>
      </c>
    </row>
    <row r="2386" spans="2:34">
      <c r="B2386" s="2">
        <f ca="1"/>
        <v>6.1850726102430142E-2</v>
      </c>
      <c r="O2386" s="2">
        <f ca="1"/>
        <v>-0.83727512365875056</v>
      </c>
      <c r="X2386" s="2">
        <f ca="1"/>
        <v>63.830860732645547</v>
      </c>
      <c r="AG2386" s="2">
        <f ca="1"/>
        <v>0.88337865282288752</v>
      </c>
      <c r="AH2386" s="2" t="str">
        <f ca="1"/>
        <v>Bad</v>
      </c>
    </row>
    <row r="2387" spans="2:34">
      <c r="B2387" s="2">
        <f ca="1"/>
        <v>0.72280791198487027</v>
      </c>
      <c r="O2387" s="2">
        <f ca="1"/>
        <v>0.29337863842786194</v>
      </c>
      <c r="X2387" s="2">
        <f ca="1"/>
        <v>27.102213386166582</v>
      </c>
      <c r="AG2387" s="2">
        <f ca="1"/>
        <v>0.54468394121443731</v>
      </c>
      <c r="AH2387" s="2" t="str">
        <f ca="1"/>
        <v>Bad</v>
      </c>
    </row>
    <row r="2388" spans="2:34">
      <c r="B2388" s="2">
        <f ca="1"/>
        <v>0.47912929243386992</v>
      </c>
      <c r="O2388" s="2">
        <f ca="1"/>
        <v>-1.3887206968140557</v>
      </c>
      <c r="X2388" s="2">
        <f ca="1"/>
        <v>38.894749834671828</v>
      </c>
      <c r="AG2388" s="2">
        <f ca="1"/>
        <v>0.90677324235965662</v>
      </c>
      <c r="AH2388" s="2" t="str">
        <f ca="1"/>
        <v>Bad</v>
      </c>
    </row>
    <row r="2389" spans="2:34">
      <c r="B2389" s="2">
        <f ca="1"/>
        <v>0.86805231962997476</v>
      </c>
      <c r="O2389" s="2">
        <f ca="1"/>
        <v>-1.1845924154021237</v>
      </c>
      <c r="X2389" s="2">
        <f ca="1"/>
        <v>53.078607354126454</v>
      </c>
      <c r="AG2389" s="2">
        <f ca="1"/>
        <v>0.78675571281833845</v>
      </c>
      <c r="AH2389" s="2" t="str">
        <f ca="1"/>
        <v>Bad</v>
      </c>
    </row>
    <row r="2390" spans="2:34">
      <c r="B2390" s="2">
        <f ca="1"/>
        <v>0.92376411192203789</v>
      </c>
      <c r="O2390" s="2">
        <f ca="1"/>
        <v>-0.54538275651437595</v>
      </c>
      <c r="X2390" s="2">
        <f ca="1"/>
        <v>50.270819993718945</v>
      </c>
      <c r="AG2390" s="2">
        <f ca="1"/>
        <v>0.89805414837749775</v>
      </c>
      <c r="AH2390" s="2" t="str">
        <f ca="1"/>
        <v>Bad</v>
      </c>
    </row>
    <row r="2391" spans="2:34">
      <c r="B2391" s="2">
        <f ca="1"/>
        <v>0.18080012450333904</v>
      </c>
      <c r="O2391" s="2">
        <f ca="1"/>
        <v>0.30237715003057675</v>
      </c>
      <c r="X2391" s="2">
        <f ca="1"/>
        <v>75.094242928124814</v>
      </c>
      <c r="AG2391" s="2">
        <f ca="1"/>
        <v>0.77782851597717162</v>
      </c>
      <c r="AH2391" s="2" t="str">
        <f ca="1"/>
        <v>Bad</v>
      </c>
    </row>
    <row r="2392" spans="2:34">
      <c r="B2392" s="2">
        <f ca="1"/>
        <v>0.27683374981348297</v>
      </c>
      <c r="O2392" s="2">
        <f ca="1"/>
        <v>-2.1166276397531525</v>
      </c>
      <c r="X2392" s="2">
        <f ca="1"/>
        <v>24.845824714227916</v>
      </c>
      <c r="AG2392" s="2">
        <f ca="1"/>
        <v>0.50996391041384626</v>
      </c>
      <c r="AH2392" s="2" t="str">
        <f ca="1"/>
        <v>Bad</v>
      </c>
    </row>
    <row r="2393" spans="2:34">
      <c r="B2393" s="2">
        <f ca="1"/>
        <v>0.68684626006766192</v>
      </c>
      <c r="O2393" s="2">
        <f ca="1"/>
        <v>-0.87646731456479055</v>
      </c>
      <c r="X2393" s="2">
        <f ca="1"/>
        <v>55.664186414600948</v>
      </c>
      <c r="AG2393" s="2">
        <f ca="1"/>
        <v>0.43793401661562226</v>
      </c>
      <c r="AH2393" s="2" t="str">
        <f ca="1"/>
        <v>Bad</v>
      </c>
    </row>
    <row r="2394" spans="2:34">
      <c r="B2394" s="2">
        <f ca="1"/>
        <v>0.61760323317171117</v>
      </c>
      <c r="O2394" s="2">
        <f ca="1"/>
        <v>-0.60848543389734144</v>
      </c>
      <c r="X2394" s="2">
        <f ca="1"/>
        <v>68.3430061572152</v>
      </c>
      <c r="AG2394" s="2">
        <f ca="1"/>
        <v>0.62131542298686915</v>
      </c>
      <c r="AH2394" s="2" t="str">
        <f ca="1"/>
        <v>Bad</v>
      </c>
    </row>
    <row r="2395" spans="2:34">
      <c r="B2395" s="2">
        <f ca="1"/>
        <v>0.60568234766476015</v>
      </c>
      <c r="O2395" s="2">
        <f ca="1"/>
        <v>-1.0748804274185155</v>
      </c>
      <c r="X2395" s="2">
        <f ca="1"/>
        <v>43.33748486988523</v>
      </c>
      <c r="AG2395" s="2">
        <f ca="1"/>
        <v>0.19277948007437495</v>
      </c>
      <c r="AH2395" s="2" t="str">
        <f ca="1"/>
        <v>OK</v>
      </c>
    </row>
    <row r="2396" spans="2:34">
      <c r="B2396" s="2">
        <f ca="1"/>
        <v>4.5656148195972746E-2</v>
      </c>
      <c r="O2396" s="2">
        <f ca="1"/>
        <v>0.41084379824301859</v>
      </c>
      <c r="X2396" s="2">
        <f ca="1"/>
        <v>63.676750014383387</v>
      </c>
      <c r="AG2396" s="2">
        <f ca="1"/>
        <v>0.87916572267843707</v>
      </c>
      <c r="AH2396" s="2" t="str">
        <f ca="1"/>
        <v>Bad</v>
      </c>
    </row>
    <row r="2397" spans="2:34">
      <c r="B2397" s="2">
        <f ca="1"/>
        <v>0.15659292050361273</v>
      </c>
      <c r="O2397" s="2">
        <f ca="1"/>
        <v>0.47426351295944119</v>
      </c>
      <c r="X2397" s="2">
        <f ca="1"/>
        <v>54.836486891028748</v>
      </c>
      <c r="AG2397" s="2">
        <f ca="1"/>
        <v>0.30583737550666346</v>
      </c>
      <c r="AH2397" s="2" t="str">
        <f ca="1"/>
        <v>OK</v>
      </c>
    </row>
    <row r="2398" spans="2:34">
      <c r="B2398" s="2">
        <f ca="1"/>
        <v>2.1960284241728356E-2</v>
      </c>
      <c r="O2398" s="2">
        <f ca="1"/>
        <v>0.2396181271019544</v>
      </c>
      <c r="X2398" s="2">
        <f ca="1"/>
        <v>48.196028058908794</v>
      </c>
      <c r="AG2398" s="2">
        <f ca="1"/>
        <v>0.65069797503951565</v>
      </c>
      <c r="AH2398" s="2" t="str">
        <f ca="1"/>
        <v>Bad</v>
      </c>
    </row>
    <row r="2399" spans="2:34">
      <c r="B2399" s="2">
        <f ca="1"/>
        <v>0.78645053502097473</v>
      </c>
      <c r="O2399" s="2">
        <f ca="1"/>
        <v>0.88154941334787684</v>
      </c>
      <c r="X2399" s="2">
        <f ca="1"/>
        <v>60.42464131173314</v>
      </c>
      <c r="AG2399" s="2">
        <f ca="1"/>
        <v>0.92402073990376632</v>
      </c>
      <c r="AH2399" s="2" t="str">
        <f ca="1"/>
        <v>Bad</v>
      </c>
    </row>
    <row r="2400" spans="2:34">
      <c r="B2400" s="2">
        <f ca="1"/>
        <v>0.1653860376149987</v>
      </c>
      <c r="O2400" s="2">
        <f ca="1"/>
        <v>0.37270737670271259</v>
      </c>
      <c r="X2400" s="2">
        <f ca="1"/>
        <v>39.921260607005308</v>
      </c>
      <c r="AG2400" s="2">
        <f ca="1"/>
        <v>0.49814123577600689</v>
      </c>
      <c r="AH2400" s="2" t="str">
        <f ca="1"/>
        <v>Bad</v>
      </c>
    </row>
    <row r="2401" spans="2:34">
      <c r="B2401" s="2">
        <f ca="1"/>
        <v>0.23563960800829853</v>
      </c>
      <c r="O2401" s="2">
        <f ca="1"/>
        <v>-1.0763294322938841</v>
      </c>
      <c r="X2401" s="2">
        <f ca="1"/>
        <v>51.416603358665512</v>
      </c>
      <c r="AG2401" s="2">
        <f ca="1"/>
        <v>0.75300141682060429</v>
      </c>
      <c r="AH2401" s="2" t="str">
        <f ca="1"/>
        <v>Bad</v>
      </c>
    </row>
    <row r="2402" spans="2:34">
      <c r="B2402" s="2">
        <f ca="1"/>
        <v>0.64062264717740036</v>
      </c>
      <c r="O2402" s="2">
        <f ca="1"/>
        <v>-0.36169292684764137</v>
      </c>
      <c r="X2402" s="2">
        <f ca="1"/>
        <v>79.518384059578707</v>
      </c>
      <c r="AG2402" s="2">
        <f ca="1"/>
        <v>0.24473121965550715</v>
      </c>
      <c r="AH2402" s="2" t="str">
        <f ca="1"/>
        <v>OK</v>
      </c>
    </row>
    <row r="2403" spans="2:34">
      <c r="B2403" s="2">
        <f ca="1"/>
        <v>0.40191066401085096</v>
      </c>
      <c r="O2403" s="2">
        <f ca="1"/>
        <v>0.75185301352619982</v>
      </c>
      <c r="X2403" s="2">
        <f ca="1"/>
        <v>35.390040099970747</v>
      </c>
      <c r="AG2403" s="2">
        <f ca="1"/>
        <v>0.8061203021800416</v>
      </c>
      <c r="AH2403" s="2" t="str">
        <f ca="1"/>
        <v>Bad</v>
      </c>
    </row>
    <row r="2404" spans="2:34">
      <c r="B2404" s="2">
        <f ca="1"/>
        <v>0.31480130929687888</v>
      </c>
      <c r="O2404" s="2">
        <f ca="1"/>
        <v>0.20428731080131377</v>
      </c>
      <c r="X2404" s="2">
        <f ca="1"/>
        <v>33.508586776677369</v>
      </c>
      <c r="AG2404" s="2">
        <f ca="1"/>
        <v>0.31967919670709577</v>
      </c>
      <c r="AH2404" s="2" t="str">
        <f ca="1"/>
        <v>OK</v>
      </c>
    </row>
    <row r="2405" spans="2:34">
      <c r="B2405" s="2">
        <f ca="1"/>
        <v>0.3626550523618155</v>
      </c>
      <c r="O2405" s="2">
        <f ca="1"/>
        <v>-0.52325080562897452</v>
      </c>
      <c r="X2405" s="2">
        <f ca="1"/>
        <v>48.921981091020868</v>
      </c>
      <c r="AG2405" s="2">
        <f ca="1"/>
        <v>5.9981256958442142E-2</v>
      </c>
      <c r="AH2405" s="2" t="str">
        <f ca="1"/>
        <v>OK</v>
      </c>
    </row>
    <row r="2406" spans="2:34">
      <c r="B2406" s="2">
        <f ca="1"/>
        <v>0.63061302947173137</v>
      </c>
      <c r="O2406" s="2">
        <f ca="1"/>
        <v>1.9073790281133877E-2</v>
      </c>
      <c r="X2406" s="2">
        <f ca="1"/>
        <v>54.010397616562656</v>
      </c>
      <c r="AG2406" s="2">
        <f ca="1"/>
        <v>0.95382290053547925</v>
      </c>
      <c r="AH2406" s="2" t="str">
        <f ca="1"/>
        <v>Bad</v>
      </c>
    </row>
    <row r="2407" spans="2:34">
      <c r="B2407" s="2">
        <f ca="1"/>
        <v>0.38194857037904861</v>
      </c>
      <c r="O2407" s="2">
        <f ca="1"/>
        <v>-1.3557877700816341</v>
      </c>
      <c r="X2407" s="2">
        <f ca="1"/>
        <v>37.502340443129405</v>
      </c>
      <c r="AG2407" s="2">
        <f ca="1"/>
        <v>0.27691039100231785</v>
      </c>
      <c r="AH2407" s="2" t="str">
        <f ca="1"/>
        <v>OK</v>
      </c>
    </row>
    <row r="2408" spans="2:34">
      <c r="B2408" s="2">
        <f ca="1"/>
        <v>3.622665936222913E-2</v>
      </c>
      <c r="O2408" s="2">
        <f ca="1"/>
        <v>0.38108802971247757</v>
      </c>
      <c r="X2408" s="2">
        <f ca="1"/>
        <v>63.470705771940729</v>
      </c>
      <c r="AG2408" s="2">
        <f ca="1"/>
        <v>2.3001386103936428E-2</v>
      </c>
      <c r="AH2408" s="2" t="str">
        <f ca="1"/>
        <v>Good</v>
      </c>
    </row>
    <row r="2409" spans="2:34">
      <c r="B2409" s="2">
        <f ca="1"/>
        <v>0.68185797071004695</v>
      </c>
      <c r="O2409" s="2">
        <f ca="1"/>
        <v>0.39107638630525104</v>
      </c>
      <c r="X2409" s="2">
        <f ca="1"/>
        <v>47.516210871301112</v>
      </c>
      <c r="AG2409" s="2">
        <f ca="1"/>
        <v>9.1738973398681312E-2</v>
      </c>
      <c r="AH2409" s="2" t="str">
        <f ca="1"/>
        <v>OK</v>
      </c>
    </row>
    <row r="2410" spans="2:34">
      <c r="B2410" s="2">
        <f ca="1"/>
        <v>0.65187570295598052</v>
      </c>
      <c r="O2410" s="2">
        <f ca="1"/>
        <v>1.6338456808327584</v>
      </c>
      <c r="X2410" s="2">
        <f ca="1"/>
        <v>47.390413106797666</v>
      </c>
      <c r="AG2410" s="2">
        <f ca="1"/>
        <v>0.85692343330952503</v>
      </c>
      <c r="AH2410" s="2" t="str">
        <f ca="1"/>
        <v>Bad</v>
      </c>
    </row>
    <row r="2411" spans="2:34">
      <c r="B2411" s="2">
        <f ca="1"/>
        <v>9.7471758778078232E-3</v>
      </c>
      <c r="O2411" s="2">
        <f ca="1"/>
        <v>-0.58606279543932827</v>
      </c>
      <c r="X2411" s="2">
        <f ca="1"/>
        <v>62.649571577252075</v>
      </c>
      <c r="AG2411" s="2">
        <f ca="1"/>
        <v>0.97722956346363432</v>
      </c>
      <c r="AH2411" s="2" t="str">
        <f ca="1"/>
        <v>Bad</v>
      </c>
    </row>
    <row r="2412" spans="2:34">
      <c r="B2412" s="2">
        <f ca="1"/>
        <v>0.13219259941987493</v>
      </c>
      <c r="O2412" s="2">
        <f ca="1"/>
        <v>-1.0768119322985363</v>
      </c>
      <c r="X2412" s="2">
        <f ca="1"/>
        <v>73.520842884242072</v>
      </c>
      <c r="AG2412" s="2">
        <f ca="1"/>
        <v>0.99048407655713766</v>
      </c>
      <c r="AH2412" s="2" t="str">
        <f ca="1"/>
        <v>Bad</v>
      </c>
    </row>
    <row r="2413" spans="2:34">
      <c r="B2413" s="2">
        <f ca="1"/>
        <v>0.33467690942932227</v>
      </c>
      <c r="O2413" s="2">
        <f ca="1"/>
        <v>1.315608691705527</v>
      </c>
      <c r="X2413" s="2">
        <f ca="1"/>
        <v>18.966739564733711</v>
      </c>
      <c r="AG2413" s="2">
        <f ca="1"/>
        <v>3.7887153705950416E-2</v>
      </c>
      <c r="AH2413" s="2" t="str">
        <f ca="1"/>
        <v>Good</v>
      </c>
    </row>
    <row r="2414" spans="2:34">
      <c r="B2414" s="2">
        <f ca="1"/>
        <v>0.44299611444991327</v>
      </c>
      <c r="O2414" s="2">
        <f ca="1"/>
        <v>0.12562145631182231</v>
      </c>
      <c r="X2414" s="2">
        <f ca="1"/>
        <v>32.709486165333274</v>
      </c>
      <c r="AG2414" s="2">
        <f ca="1"/>
        <v>0.5210868581356809</v>
      </c>
      <c r="AH2414" s="2" t="str">
        <f ca="1"/>
        <v>Bad</v>
      </c>
    </row>
    <row r="2415" spans="2:34">
      <c r="B2415" s="2">
        <f ca="1"/>
        <v>0.77778582183608758</v>
      </c>
      <c r="O2415" s="2">
        <f ca="1"/>
        <v>1.4735396416440654</v>
      </c>
      <c r="X2415" s="2">
        <f ca="1"/>
        <v>47.659422501935936</v>
      </c>
      <c r="AG2415" s="2">
        <f ca="1"/>
        <v>0.126474013485109</v>
      </c>
      <c r="AH2415" s="2" t="str">
        <f ca="1"/>
        <v>OK</v>
      </c>
    </row>
    <row r="2416" spans="2:34">
      <c r="B2416" s="2">
        <f ca="1"/>
        <v>0.28221041448801198</v>
      </c>
      <c r="O2416" s="2">
        <f ca="1"/>
        <v>1.5224056447497043</v>
      </c>
      <c r="X2416" s="2">
        <f ca="1"/>
        <v>70.441324303226267</v>
      </c>
      <c r="AG2416" s="2">
        <f ca="1"/>
        <v>0.21652530949564119</v>
      </c>
      <c r="AH2416" s="2" t="str">
        <f ca="1"/>
        <v>OK</v>
      </c>
    </row>
    <row r="2417" spans="2:34">
      <c r="B2417" s="2">
        <f ca="1"/>
        <v>0.29567484940507383</v>
      </c>
      <c r="O2417" s="2">
        <f ca="1"/>
        <v>-0.62915384733487245</v>
      </c>
      <c r="X2417" s="2">
        <f ca="1"/>
        <v>44.379193802392948</v>
      </c>
      <c r="AG2417" s="2">
        <f ca="1"/>
        <v>0.705966482679379</v>
      </c>
      <c r="AH2417" s="2" t="str">
        <f ca="1"/>
        <v>Bad</v>
      </c>
    </row>
    <row r="2418" spans="2:34">
      <c r="B2418" s="2">
        <f ca="1"/>
        <v>0.56313811085315923</v>
      </c>
      <c r="O2418" s="2">
        <f ca="1"/>
        <v>0.73747949433911919</v>
      </c>
      <c r="X2418" s="2">
        <f ca="1"/>
        <v>61.067715329633813</v>
      </c>
      <c r="AG2418" s="2">
        <f ca="1"/>
        <v>0.17184183345624415</v>
      </c>
      <c r="AH2418" s="2" t="str">
        <f ca="1"/>
        <v>OK</v>
      </c>
    </row>
    <row r="2419" spans="2:34">
      <c r="B2419" s="2">
        <f ca="1"/>
        <v>0.76298021842788355</v>
      </c>
      <c r="O2419" s="2">
        <f ca="1"/>
        <v>1.1468558564232638</v>
      </c>
      <c r="X2419" s="2">
        <f ca="1"/>
        <v>64.489199169077608</v>
      </c>
      <c r="AG2419" s="2">
        <f ca="1"/>
        <v>0.85700419968903518</v>
      </c>
      <c r="AH2419" s="2" t="str">
        <f ca="1"/>
        <v>Bad</v>
      </c>
    </row>
    <row r="2420" spans="2:34">
      <c r="B2420" s="2">
        <f ca="1"/>
        <v>0.95556117829342324</v>
      </c>
      <c r="O2420" s="2">
        <f ca="1"/>
        <v>0.33769799300303466</v>
      </c>
      <c r="X2420" s="2">
        <f ca="1"/>
        <v>39.088784319421983</v>
      </c>
      <c r="AG2420" s="2">
        <f ca="1"/>
        <v>0.72767409222656121</v>
      </c>
      <c r="AH2420" s="2" t="str">
        <f ca="1"/>
        <v>Bad</v>
      </c>
    </row>
    <row r="2421" spans="2:34">
      <c r="B2421" s="2">
        <f ca="1"/>
        <v>0.71590228730387495</v>
      </c>
      <c r="O2421" s="2">
        <f ca="1"/>
        <v>-1.5359128324393607</v>
      </c>
      <c r="X2421" s="2">
        <f ca="1"/>
        <v>83.3860651257977</v>
      </c>
      <c r="AG2421" s="2">
        <f ca="1"/>
        <v>0.71560507141681962</v>
      </c>
      <c r="AH2421" s="2" t="str">
        <f ca="1"/>
        <v>Bad</v>
      </c>
    </row>
    <row r="2422" spans="2:34">
      <c r="B2422" s="2">
        <f ca="1"/>
        <v>0.3471675377388066</v>
      </c>
      <c r="O2422" s="2">
        <f ca="1"/>
        <v>-1.6219747944510607</v>
      </c>
      <c r="X2422" s="2">
        <f ca="1"/>
        <v>50.977358283468206</v>
      </c>
      <c r="AG2422" s="2">
        <f ca="1"/>
        <v>0.54554462319398778</v>
      </c>
      <c r="AH2422" s="2" t="str">
        <f ca="1"/>
        <v>Bad</v>
      </c>
    </row>
    <row r="2423" spans="2:34">
      <c r="B2423" s="2">
        <f ca="1"/>
        <v>0.21855005241646785</v>
      </c>
      <c r="O2423" s="2">
        <f ca="1"/>
        <v>1.4651234609840704</v>
      </c>
      <c r="X2423" s="2">
        <f ca="1"/>
        <v>45.485545295344124</v>
      </c>
      <c r="AG2423" s="2">
        <f ca="1"/>
        <v>0.49180510675848832</v>
      </c>
      <c r="AH2423" s="2" t="str">
        <f ca="1"/>
        <v>Bad</v>
      </c>
    </row>
    <row r="2424" spans="2:34">
      <c r="B2424" s="2">
        <f ca="1"/>
        <v>0.58638836086249557</v>
      </c>
      <c r="O2424" s="2">
        <f ca="1"/>
        <v>0.96966562113053534</v>
      </c>
      <c r="X2424" s="2">
        <f ca="1"/>
        <v>60.616139273690386</v>
      </c>
      <c r="AG2424" s="2">
        <f ca="1"/>
        <v>0.39559746699034015</v>
      </c>
      <c r="AH2424" s="2" t="str">
        <f ca="1"/>
        <v>OK</v>
      </c>
    </row>
    <row r="2425" spans="2:34">
      <c r="B2425" s="2">
        <f ca="1"/>
        <v>0.92506613038961372</v>
      </c>
      <c r="O2425" s="2">
        <f ca="1"/>
        <v>-0.50087400547908745</v>
      </c>
      <c r="X2425" s="2">
        <f ca="1"/>
        <v>46.999531525390566</v>
      </c>
      <c r="AG2425" s="2">
        <f ca="1"/>
        <v>0.72564567869090069</v>
      </c>
      <c r="AH2425" s="2" t="str">
        <f ca="1"/>
        <v>Bad</v>
      </c>
    </row>
    <row r="2426" spans="2:34">
      <c r="B2426" s="2">
        <f ca="1"/>
        <v>0.29905616929460854</v>
      </c>
      <c r="O2426" s="2">
        <f ca="1"/>
        <v>-0.6764642859108253</v>
      </c>
      <c r="X2426" s="2">
        <f ca="1"/>
        <v>30.242379131931859</v>
      </c>
      <c r="AG2426" s="2">
        <f ca="1"/>
        <v>0.31445152688801081</v>
      </c>
      <c r="AH2426" s="2" t="str">
        <f ca="1"/>
        <v>OK</v>
      </c>
    </row>
    <row r="2427" spans="2:34">
      <c r="B2427" s="2">
        <f ca="1"/>
        <v>0.7345537553782262</v>
      </c>
      <c r="O2427" s="2">
        <f ca="1"/>
        <v>-0.17370149041722041</v>
      </c>
      <c r="X2427" s="2">
        <f ca="1"/>
        <v>43.444080022700874</v>
      </c>
      <c r="AG2427" s="2">
        <f ca="1"/>
        <v>0.70226285851141101</v>
      </c>
      <c r="AH2427" s="2" t="str">
        <f ca="1"/>
        <v>Bad</v>
      </c>
    </row>
    <row r="2428" spans="2:34">
      <c r="B2428" s="2">
        <f ca="1"/>
        <v>6.0564564515106278E-2</v>
      </c>
      <c r="O2428" s="2">
        <f ca="1"/>
        <v>-1.13205846359581</v>
      </c>
      <c r="X2428" s="2">
        <f ca="1"/>
        <v>49.611106572403607</v>
      </c>
      <c r="AG2428" s="2">
        <f ca="1"/>
        <v>0.78789333861976063</v>
      </c>
      <c r="AH2428" s="2" t="str">
        <f ca="1"/>
        <v>Bad</v>
      </c>
    </row>
    <row r="2429" spans="2:34">
      <c r="B2429" s="2">
        <f ca="1"/>
        <v>0.57199327561947899</v>
      </c>
      <c r="O2429" s="2">
        <f ca="1"/>
        <v>0.60263299640022405</v>
      </c>
      <c r="X2429" s="2">
        <f ca="1"/>
        <v>41.295115799129924</v>
      </c>
      <c r="AG2429" s="2">
        <f ca="1"/>
        <v>0.20081014625664984</v>
      </c>
      <c r="AH2429" s="2" t="str">
        <f ca="1"/>
        <v>OK</v>
      </c>
    </row>
    <row r="2430" spans="2:34">
      <c r="B2430" s="2">
        <f ca="1"/>
        <v>0.88628944919367414</v>
      </c>
      <c r="O2430" s="2">
        <f ca="1"/>
        <v>-1.3111366911192017</v>
      </c>
      <c r="X2430" s="2">
        <f ca="1"/>
        <v>46.592455703674759</v>
      </c>
      <c r="AG2430" s="2">
        <f ca="1"/>
        <v>0.8508180880550047</v>
      </c>
      <c r="AH2430" s="2" t="str">
        <f ca="1"/>
        <v>Bad</v>
      </c>
    </row>
    <row r="2431" spans="2:34">
      <c r="B2431" s="2">
        <f ca="1"/>
        <v>0.28753777070144526</v>
      </c>
      <c r="O2431" s="2">
        <f ca="1"/>
        <v>0.34966531606696438</v>
      </c>
      <c r="X2431" s="2">
        <f ca="1"/>
        <v>39.251728959045913</v>
      </c>
      <c r="AG2431" s="2">
        <f ca="1"/>
        <v>0.53286189333206768</v>
      </c>
      <c r="AH2431" s="2" t="str">
        <f ca="1"/>
        <v>Bad</v>
      </c>
    </row>
    <row r="2432" spans="2:34">
      <c r="B2432" s="2">
        <f ca="1"/>
        <v>0.63955835199772171</v>
      </c>
      <c r="O2432" s="2">
        <f ca="1"/>
        <v>-2.3014725646794749E-2</v>
      </c>
      <c r="X2432" s="2">
        <f ca="1"/>
        <v>19.498554228140112</v>
      </c>
      <c r="AG2432" s="2">
        <f ca="1"/>
        <v>0.91952124298111704</v>
      </c>
      <c r="AH2432" s="2" t="str">
        <f ca="1"/>
        <v>Bad</v>
      </c>
    </row>
    <row r="2433" spans="2:34">
      <c r="B2433" s="2">
        <f ca="1"/>
        <v>0.95441569998396969</v>
      </c>
      <c r="O2433" s="2">
        <f ca="1"/>
        <v>0.93277165322761812</v>
      </c>
      <c r="X2433" s="2">
        <f ca="1"/>
        <v>35.941929203615025</v>
      </c>
      <c r="AG2433" s="2">
        <f ca="1"/>
        <v>0.85308144668255337</v>
      </c>
      <c r="AH2433" s="2" t="str">
        <f ca="1"/>
        <v>Bad</v>
      </c>
    </row>
    <row r="2434" spans="2:34">
      <c r="B2434" s="2">
        <f ca="1"/>
        <v>5.3608168901253528E-4</v>
      </c>
      <c r="O2434" s="2">
        <f ca="1"/>
        <v>1.7674440031710488</v>
      </c>
      <c r="X2434" s="2">
        <f ca="1"/>
        <v>66.970186011277093</v>
      </c>
      <c r="AG2434" s="2">
        <f ca="1"/>
        <v>0.24966476006107197</v>
      </c>
      <c r="AH2434" s="2" t="str">
        <f ca="1"/>
        <v>OK</v>
      </c>
    </row>
    <row r="2435" spans="2:34">
      <c r="B2435" s="2">
        <f ca="1"/>
        <v>0.23291931251547404</v>
      </c>
      <c r="O2435" s="2">
        <f ca="1"/>
        <v>1.3117469659239829</v>
      </c>
      <c r="X2435" s="2">
        <f ca="1"/>
        <v>46.105303285707066</v>
      </c>
      <c r="AG2435" s="2">
        <f ca="1"/>
        <v>0.19136571104314881</v>
      </c>
      <c r="AH2435" s="2" t="str">
        <f ca="1"/>
        <v>OK</v>
      </c>
    </row>
    <row r="2436" spans="2:34">
      <c r="B2436" s="2">
        <f ca="1"/>
        <v>1.8465878716866335E-2</v>
      </c>
      <c r="O2436" s="2">
        <f ca="1"/>
        <v>-0.61058785455114284</v>
      </c>
      <c r="X2436" s="2">
        <f ca="1"/>
        <v>56.631931022106826</v>
      </c>
      <c r="AG2436" s="2">
        <f ca="1"/>
        <v>0.55224042438371046</v>
      </c>
      <c r="AH2436" s="2" t="str">
        <f ca="1"/>
        <v>Bad</v>
      </c>
    </row>
    <row r="2437" spans="2:34">
      <c r="B2437" s="2">
        <f ca="1"/>
        <v>0.75450761548163103</v>
      </c>
      <c r="O2437" s="2">
        <f ca="1"/>
        <v>-0.52201275080322884</v>
      </c>
      <c r="X2437" s="2">
        <f ca="1"/>
        <v>47.228177503369807</v>
      </c>
      <c r="AG2437" s="2">
        <f ca="1"/>
        <v>0.3495097506397018</v>
      </c>
      <c r="AH2437" s="2" t="str">
        <f ca="1"/>
        <v>OK</v>
      </c>
    </row>
    <row r="2438" spans="2:34">
      <c r="B2438" s="2">
        <f ca="1"/>
        <v>0.40454863857944634</v>
      </c>
      <c r="O2438" s="2">
        <f ca="1"/>
        <v>0.11740490683273738</v>
      </c>
      <c r="X2438" s="2">
        <f ca="1"/>
        <v>42.450163097275933</v>
      </c>
      <c r="AG2438" s="2">
        <f ca="1"/>
        <v>0.40540584836576832</v>
      </c>
      <c r="AH2438" s="2" t="str">
        <f ca="1"/>
        <v>Bad</v>
      </c>
    </row>
    <row r="2439" spans="2:34">
      <c r="B2439" s="2">
        <f ca="1"/>
        <v>0.77249760865075512</v>
      </c>
      <c r="O2439" s="2">
        <f ca="1"/>
        <v>-0.56119854873111563</v>
      </c>
      <c r="X2439" s="2">
        <f ca="1"/>
        <v>51.018766188871709</v>
      </c>
      <c r="AG2439" s="2">
        <f ca="1"/>
        <v>0.88571606224375432</v>
      </c>
      <c r="AH2439" s="2" t="str">
        <f ca="1"/>
        <v>Bad</v>
      </c>
    </row>
    <row r="2440" spans="2:34">
      <c r="B2440" s="2">
        <f ca="1"/>
        <v>0.24018969768305065</v>
      </c>
      <c r="O2440" s="2">
        <f ca="1"/>
        <v>1.1119817197958484</v>
      </c>
      <c r="X2440" s="2">
        <f ca="1"/>
        <v>66.466555190724435</v>
      </c>
      <c r="AG2440" s="2">
        <f ca="1"/>
        <v>0.25290594006408407</v>
      </c>
      <c r="AH2440" s="2" t="str">
        <f ca="1"/>
        <v>OK</v>
      </c>
    </row>
    <row r="2441" spans="2:34">
      <c r="B2441" s="2">
        <f ca="1"/>
        <v>0.64068450064658355</v>
      </c>
      <c r="O2441" s="2">
        <f ca="1"/>
        <v>-0.47506820872698735</v>
      </c>
      <c r="X2441" s="2">
        <f ca="1"/>
        <v>27.080830687052032</v>
      </c>
      <c r="AG2441" s="2">
        <f ca="1"/>
        <v>0.31070021933273351</v>
      </c>
      <c r="AH2441" s="2" t="str">
        <f ca="1"/>
        <v>OK</v>
      </c>
    </row>
    <row r="2442" spans="2:34">
      <c r="B2442" s="2">
        <f ca="1"/>
        <v>4.9503876994588802E-2</v>
      </c>
      <c r="O2442" s="2">
        <f ca="1"/>
        <v>0.16020534807457232</v>
      </c>
      <c r="X2442" s="2">
        <f ca="1"/>
        <v>35.002480582270827</v>
      </c>
      <c r="AG2442" s="2">
        <f ca="1"/>
        <v>0.68671684296894209</v>
      </c>
      <c r="AH2442" s="2" t="str">
        <f ca="1"/>
        <v>Bad</v>
      </c>
    </row>
    <row r="2443" spans="2:34">
      <c r="B2443" s="2">
        <f ca="1"/>
        <v>0.82219295591230557</v>
      </c>
      <c r="O2443" s="2">
        <f ca="1"/>
        <v>0.33905723330083376</v>
      </c>
      <c r="X2443" s="2">
        <f ca="1"/>
        <v>68.274854878893407</v>
      </c>
      <c r="AG2443" s="2">
        <f ca="1"/>
        <v>0.67322526642641733</v>
      </c>
      <c r="AH2443" s="2" t="str">
        <f ca="1"/>
        <v>Bad</v>
      </c>
    </row>
    <row r="2444" spans="2:34">
      <c r="B2444" s="2">
        <f ca="1"/>
        <v>6.3219768962963663E-2</v>
      </c>
      <c r="O2444" s="2">
        <f ca="1"/>
        <v>0.37828620424243053</v>
      </c>
      <c r="X2444" s="2">
        <f ca="1"/>
        <v>28.217599772567219</v>
      </c>
      <c r="AG2444" s="2">
        <f ca="1"/>
        <v>0.46556059066251043</v>
      </c>
      <c r="AH2444" s="2" t="str">
        <f ca="1"/>
        <v>Bad</v>
      </c>
    </row>
    <row r="2445" spans="2:34">
      <c r="B2445" s="2">
        <f ca="1"/>
        <v>0.41341196157783555</v>
      </c>
      <c r="O2445" s="2">
        <f ca="1"/>
        <v>1.6289714841134819</v>
      </c>
      <c r="X2445" s="2">
        <f ca="1"/>
        <v>25.929144289755698</v>
      </c>
      <c r="AG2445" s="2">
        <f ca="1"/>
        <v>0.83563007550588719</v>
      </c>
      <c r="AH2445" s="2" t="str">
        <f ca="1"/>
        <v>Bad</v>
      </c>
    </row>
    <row r="2446" spans="2:34">
      <c r="B2446" s="2">
        <f ca="1"/>
        <v>0.28275958640454024</v>
      </c>
      <c r="O2446" s="2">
        <f ca="1"/>
        <v>-2.9617509368683605E-2</v>
      </c>
      <c r="X2446" s="2">
        <f ca="1"/>
        <v>61.73628869797615</v>
      </c>
      <c r="AG2446" s="2">
        <f ca="1"/>
        <v>0.46842139416880713</v>
      </c>
      <c r="AH2446" s="2" t="str">
        <f ca="1"/>
        <v>Bad</v>
      </c>
    </row>
    <row r="2447" spans="2:34">
      <c r="B2447" s="2">
        <f ca="1"/>
        <v>0.97640195997494272</v>
      </c>
      <c r="O2447" s="2">
        <f ca="1"/>
        <v>1.9452355900750684</v>
      </c>
      <c r="X2447" s="2">
        <f ca="1"/>
        <v>42.439800258880666</v>
      </c>
      <c r="AG2447" s="2">
        <f ca="1"/>
        <v>0.68480221645417538</v>
      </c>
      <c r="AH2447" s="2" t="str">
        <f ca="1"/>
        <v>Bad</v>
      </c>
    </row>
    <row r="2448" spans="2:34">
      <c r="B2448" s="2">
        <f ca="1"/>
        <v>0.16381416688948924</v>
      </c>
      <c r="O2448" s="2">
        <f ca="1"/>
        <v>0.39135209340181515</v>
      </c>
      <c r="X2448" s="2">
        <f ca="1"/>
        <v>45.031340793369317</v>
      </c>
      <c r="AG2448" s="2">
        <f ca="1"/>
        <v>0.22782541409854895</v>
      </c>
      <c r="AH2448" s="2" t="str">
        <f ca="1"/>
        <v>OK</v>
      </c>
    </row>
    <row r="2449" spans="2:34">
      <c r="B2449" s="2">
        <f ca="1"/>
        <v>0.65641888888917133</v>
      </c>
      <c r="O2449" s="2">
        <f ca="1"/>
        <v>0.12618371521911181</v>
      </c>
      <c r="X2449" s="2">
        <f ca="1"/>
        <v>55.617660161520242</v>
      </c>
      <c r="AG2449" s="2">
        <f ca="1"/>
        <v>0.51217762050409243</v>
      </c>
      <c r="AH2449" s="2" t="str">
        <f ca="1"/>
        <v>Bad</v>
      </c>
    </row>
    <row r="2450" spans="2:34">
      <c r="B2450" s="2">
        <f ca="1"/>
        <v>0.31503341456757217</v>
      </c>
      <c r="O2450" s="2">
        <f ca="1"/>
        <v>0.57293609883614705</v>
      </c>
      <c r="X2450" s="2">
        <f ca="1"/>
        <v>72.111628099066351</v>
      </c>
      <c r="AG2450" s="2">
        <f ca="1"/>
        <v>0.8407853113903101</v>
      </c>
      <c r="AH2450" s="2" t="str">
        <f ca="1"/>
        <v>Bad</v>
      </c>
    </row>
    <row r="2451" spans="2:34">
      <c r="B2451" s="2">
        <f ca="1"/>
        <v>0.32484753956919543</v>
      </c>
      <c r="O2451" s="2">
        <f ca="1"/>
        <v>0.72785860793623269</v>
      </c>
      <c r="X2451" s="2">
        <f ca="1"/>
        <v>50.255280548246844</v>
      </c>
      <c r="AG2451" s="2">
        <f ca="1"/>
        <v>0.41199286811140068</v>
      </c>
      <c r="AH2451" s="2" t="str">
        <f ca="1"/>
        <v>Bad</v>
      </c>
    </row>
    <row r="2452" spans="2:34">
      <c r="B2452" s="2">
        <f ca="1"/>
        <v>0.81068805531709343</v>
      </c>
      <c r="O2452" s="2">
        <f ca="1"/>
        <v>-0.75162548391282491</v>
      </c>
      <c r="X2452" s="2">
        <f ca="1"/>
        <v>57.637215205996682</v>
      </c>
      <c r="AG2452" s="2">
        <f ca="1"/>
        <v>0.38294606244389295</v>
      </c>
      <c r="AH2452" s="2" t="str">
        <f ca="1"/>
        <v>OK</v>
      </c>
    </row>
    <row r="2453" spans="2:34">
      <c r="B2453" s="2">
        <f ca="1"/>
        <v>0.22558243262082089</v>
      </c>
      <c r="O2453" s="2">
        <f ca="1"/>
        <v>-0.54041511754743699</v>
      </c>
      <c r="X2453" s="2">
        <f ca="1"/>
        <v>49.784265265825873</v>
      </c>
      <c r="AG2453" s="2">
        <f ca="1"/>
        <v>0.56950256920419573</v>
      </c>
      <c r="AH2453" s="2" t="str">
        <f ca="1"/>
        <v>Bad</v>
      </c>
    </row>
    <row r="2454" spans="2:34">
      <c r="B2454" s="2">
        <f ca="1"/>
        <v>0.25178215919607738</v>
      </c>
      <c r="O2454" s="2">
        <f ca="1"/>
        <v>-0.25822628434591027</v>
      </c>
      <c r="X2454" s="2">
        <f ca="1"/>
        <v>22.160806250554216</v>
      </c>
      <c r="AG2454" s="2">
        <f ca="1"/>
        <v>0.27076391939640665</v>
      </c>
      <c r="AH2454" s="2" t="str">
        <f ca="1"/>
        <v>OK</v>
      </c>
    </row>
    <row r="2455" spans="2:34">
      <c r="B2455" s="2">
        <f ca="1"/>
        <v>0.40063507750658744</v>
      </c>
      <c r="O2455" s="2">
        <f ca="1"/>
        <v>-1.6106116768726702</v>
      </c>
      <c r="X2455" s="2">
        <f ca="1"/>
        <v>74.472580701699755</v>
      </c>
      <c r="AG2455" s="2">
        <f ca="1"/>
        <v>0.47914149105428949</v>
      </c>
      <c r="AH2455" s="2" t="str">
        <f ca="1"/>
        <v>Bad</v>
      </c>
    </row>
    <row r="2456" spans="2:34">
      <c r="B2456" s="2">
        <f ca="1"/>
        <v>0.39627945221582972</v>
      </c>
      <c r="O2456" s="2">
        <f ca="1"/>
        <v>0.70824712069816798</v>
      </c>
      <c r="X2456" s="2">
        <f ca="1"/>
        <v>53.1265956137252</v>
      </c>
      <c r="AG2456" s="2">
        <f ca="1"/>
        <v>0.25018468456354603</v>
      </c>
      <c r="AH2456" s="2" t="str">
        <f ca="1"/>
        <v>OK</v>
      </c>
    </row>
    <row r="2457" spans="2:34">
      <c r="B2457" s="2">
        <f ca="1"/>
        <v>0.60009998770189665</v>
      </c>
      <c r="O2457" s="2">
        <f ca="1"/>
        <v>2.1925664442982886</v>
      </c>
      <c r="X2457" s="2">
        <f ca="1"/>
        <v>39.623704186839802</v>
      </c>
      <c r="AG2457" s="2">
        <f ca="1"/>
        <v>6.1501432650206134E-2</v>
      </c>
      <c r="AH2457" s="2" t="str">
        <f ca="1"/>
        <v>OK</v>
      </c>
    </row>
    <row r="2458" spans="2:34">
      <c r="B2458" s="2">
        <f ca="1"/>
        <v>0.43063183934749261</v>
      </c>
      <c r="O2458" s="2">
        <f ca="1"/>
        <v>-0.41803059092506945</v>
      </c>
      <c r="X2458" s="2">
        <f ca="1"/>
        <v>20.984503686857522</v>
      </c>
      <c r="AG2458" s="2">
        <f ca="1"/>
        <v>0.2476199367631442</v>
      </c>
      <c r="AH2458" s="2" t="str">
        <f ca="1"/>
        <v>OK</v>
      </c>
    </row>
    <row r="2459" spans="2:34">
      <c r="B2459" s="2">
        <f ca="1"/>
        <v>0.90994219336378435</v>
      </c>
      <c r="O2459" s="2">
        <f ca="1"/>
        <v>0.35632606981269116</v>
      </c>
      <c r="X2459" s="2">
        <f ca="1"/>
        <v>62.15792666183355</v>
      </c>
      <c r="AG2459" s="2">
        <f ca="1"/>
        <v>0.36683461025665576</v>
      </c>
      <c r="AH2459" s="2" t="str">
        <f ca="1"/>
        <v>OK</v>
      </c>
    </row>
    <row r="2460" spans="2:34">
      <c r="B2460" s="2">
        <f ca="1"/>
        <v>0.15319750649331598</v>
      </c>
      <c r="O2460" s="2">
        <f ca="1"/>
        <v>0.80034851696936504</v>
      </c>
      <c r="X2460" s="2">
        <f ca="1"/>
        <v>39.269609947157434</v>
      </c>
      <c r="AG2460" s="2">
        <f ca="1"/>
        <v>0.5244932271747289</v>
      </c>
      <c r="AH2460" s="2" t="str">
        <f ca="1"/>
        <v>Bad</v>
      </c>
    </row>
    <row r="2461" spans="2:34">
      <c r="B2461" s="2">
        <f ca="1"/>
        <v>0.33951704403086236</v>
      </c>
      <c r="O2461" s="2">
        <f ca="1"/>
        <v>-0.8130754125756473</v>
      </c>
      <c r="X2461" s="2">
        <f ca="1"/>
        <v>36.755834024032929</v>
      </c>
      <c r="AG2461" s="2">
        <f ca="1"/>
        <v>0.56194670857637652</v>
      </c>
      <c r="AH2461" s="2" t="str">
        <f ca="1"/>
        <v>Bad</v>
      </c>
    </row>
    <row r="2462" spans="2:34">
      <c r="B2462" s="2">
        <f ca="1"/>
        <v>0.78480560965265855</v>
      </c>
      <c r="O2462" s="2">
        <f ca="1"/>
        <v>-8.0234808182878953E-2</v>
      </c>
      <c r="X2462" s="2">
        <f ca="1"/>
        <v>33.214070391451131</v>
      </c>
      <c r="AG2462" s="2">
        <f ca="1"/>
        <v>0.3203484471761131</v>
      </c>
      <c r="AH2462" s="2" t="str">
        <f ca="1"/>
        <v>OK</v>
      </c>
    </row>
    <row r="2463" spans="2:34">
      <c r="B2463" s="2">
        <f ca="1"/>
        <v>0.70242794090524052</v>
      </c>
      <c r="O2463" s="2">
        <f ca="1"/>
        <v>-3.6332367766198541E-3</v>
      </c>
      <c r="X2463" s="2">
        <f ca="1"/>
        <v>54.314131444869986</v>
      </c>
      <c r="AG2463" s="2">
        <f ca="1"/>
        <v>0.48293666863191165</v>
      </c>
      <c r="AH2463" s="2" t="str">
        <f ca="1"/>
        <v>Bad</v>
      </c>
    </row>
    <row r="2464" spans="2:34">
      <c r="B2464" s="2">
        <f ca="1"/>
        <v>0.96429946464907568</v>
      </c>
      <c r="O2464" s="2">
        <f ca="1"/>
        <v>1.5406137519987471</v>
      </c>
      <c r="X2464" s="2">
        <f ca="1"/>
        <v>35.039888914032133</v>
      </c>
      <c r="AG2464" s="2">
        <f ca="1"/>
        <v>4.8595028453033873E-2</v>
      </c>
      <c r="AH2464" s="2" t="str">
        <f ca="1"/>
        <v>Good</v>
      </c>
    </row>
    <row r="2465" spans="2:34">
      <c r="B2465" s="2">
        <f ca="1"/>
        <v>0.15355748641294076</v>
      </c>
      <c r="O2465" s="2">
        <f ca="1"/>
        <v>-0.18769261378195715</v>
      </c>
      <c r="X2465" s="2">
        <f ca="1"/>
        <v>52.493292893205805</v>
      </c>
      <c r="AG2465" s="2">
        <f ca="1"/>
        <v>0.9537223382632869</v>
      </c>
      <c r="AH2465" s="2" t="str">
        <f ca="1"/>
        <v>Bad</v>
      </c>
    </row>
    <row r="2466" spans="2:34">
      <c r="B2466" s="2">
        <f ca="1"/>
        <v>0.8962420649188958</v>
      </c>
      <c r="O2466" s="2">
        <f ca="1"/>
        <v>-2.0154686910842323</v>
      </c>
      <c r="X2466" s="2">
        <f ca="1"/>
        <v>59.077808674363375</v>
      </c>
      <c r="AG2466" s="2">
        <f ca="1"/>
        <v>0.43279208725208496</v>
      </c>
      <c r="AH2466" s="2" t="str">
        <f ca="1"/>
        <v>Bad</v>
      </c>
    </row>
    <row r="2467" spans="2:34">
      <c r="B2467" s="2">
        <f ca="1"/>
        <v>0.92748101874783706</v>
      </c>
      <c r="O2467" s="2">
        <f ca="1"/>
        <v>-8.5876721245979115E-2</v>
      </c>
      <c r="X2467" s="2">
        <f ca="1"/>
        <v>53.777829048613043</v>
      </c>
      <c r="AG2467" s="2">
        <f ca="1"/>
        <v>0.33508376533319795</v>
      </c>
      <c r="AH2467" s="2" t="str">
        <f ca="1"/>
        <v>OK</v>
      </c>
    </row>
    <row r="2468" spans="2:34">
      <c r="B2468" s="2">
        <f ca="1"/>
        <v>0.6341935103988543</v>
      </c>
      <c r="O2468" s="2">
        <f ca="1"/>
        <v>0.68068790661787582</v>
      </c>
      <c r="X2468" s="2">
        <f ca="1"/>
        <v>22.357424456461676</v>
      </c>
      <c r="AG2468" s="2">
        <f ca="1"/>
        <v>5.0767085953009383E-2</v>
      </c>
      <c r="AH2468" s="2" t="str">
        <f ca="1"/>
        <v>OK</v>
      </c>
    </row>
    <row r="2469" spans="2:34">
      <c r="B2469" s="2">
        <f ca="1"/>
        <v>0.11973176404768315</v>
      </c>
      <c r="O2469" s="2">
        <f ca="1"/>
        <v>-0.16653273094579576</v>
      </c>
      <c r="X2469" s="2">
        <f ca="1"/>
        <v>89.12169589981221</v>
      </c>
      <c r="AG2469" s="2">
        <f ca="1"/>
        <v>4.9919277122234984E-2</v>
      </c>
      <c r="AH2469" s="2" t="str">
        <f ca="1"/>
        <v>Good</v>
      </c>
    </row>
    <row r="2470" spans="2:34">
      <c r="B2470" s="2">
        <f ca="1"/>
        <v>0.34691558240902709</v>
      </c>
      <c r="O2470" s="2">
        <f ca="1"/>
        <v>-0.50143838364692439</v>
      </c>
      <c r="X2470" s="2">
        <f ca="1"/>
        <v>68.734778007746456</v>
      </c>
      <c r="AG2470" s="2">
        <f ca="1"/>
        <v>0.89085562960162945</v>
      </c>
      <c r="AH2470" s="2" t="str">
        <f ca="1"/>
        <v>Bad</v>
      </c>
    </row>
    <row r="2471" spans="2:34">
      <c r="B2471" s="2">
        <f ca="1"/>
        <v>0.49047026413976647</v>
      </c>
      <c r="O2471" s="2">
        <f ca="1"/>
        <v>0.2366405472500088</v>
      </c>
      <c r="X2471" s="2">
        <f ca="1"/>
        <v>32.545006879693929</v>
      </c>
      <c r="AG2471" s="2">
        <f ca="1"/>
        <v>0.98109621566311067</v>
      </c>
      <c r="AH2471" s="2" t="str">
        <f ca="1"/>
        <v>Bad</v>
      </c>
    </row>
    <row r="2472" spans="2:34">
      <c r="B2472" s="2">
        <f ca="1"/>
        <v>0.88714749412680471</v>
      </c>
      <c r="O2472" s="2">
        <f ca="1"/>
        <v>0.51579711194550582</v>
      </c>
      <c r="X2472" s="2">
        <f ca="1"/>
        <v>59.642066617646051</v>
      </c>
      <c r="AG2472" s="2">
        <f ca="1"/>
        <v>0.38843786631895538</v>
      </c>
      <c r="AH2472" s="2" t="str">
        <f ca="1"/>
        <v>OK</v>
      </c>
    </row>
    <row r="2473" spans="2:34">
      <c r="B2473" s="2">
        <f ca="1"/>
        <v>0.89220552387660668</v>
      </c>
      <c r="O2473" s="2">
        <f ca="1"/>
        <v>-0.57961409650730034</v>
      </c>
      <c r="X2473" s="2">
        <f ca="1"/>
        <v>31.901202061339013</v>
      </c>
      <c r="AG2473" s="2">
        <f ca="1"/>
        <v>0.4035132637043688</v>
      </c>
      <c r="AH2473" s="2" t="str">
        <f ca="1"/>
        <v>Bad</v>
      </c>
    </row>
    <row r="2474" spans="2:34">
      <c r="B2474" s="2">
        <f ca="1"/>
        <v>0.34955666791012252</v>
      </c>
      <c r="O2474" s="2">
        <f ca="1"/>
        <v>0.40066964807783484</v>
      </c>
      <c r="X2474" s="2">
        <f ca="1"/>
        <v>36.152798268309624</v>
      </c>
      <c r="AG2474" s="2">
        <f ca="1"/>
        <v>0.44638516338383627</v>
      </c>
      <c r="AH2474" s="2" t="str">
        <f ca="1"/>
        <v>Bad</v>
      </c>
    </row>
    <row r="2475" spans="2:34">
      <c r="B2475" s="2">
        <f ca="1"/>
        <v>4.7841774825084782E-2</v>
      </c>
      <c r="O2475" s="2">
        <f ca="1"/>
        <v>0.97622176651388903</v>
      </c>
      <c r="X2475" s="2">
        <f ca="1"/>
        <v>60.939667946598661</v>
      </c>
      <c r="AG2475" s="2">
        <f ca="1"/>
        <v>0.86699527329863524</v>
      </c>
      <c r="AH2475" s="2" t="str">
        <f ca="1"/>
        <v>Bad</v>
      </c>
    </row>
    <row r="2476" spans="2:34">
      <c r="B2476" s="2">
        <f ca="1"/>
        <v>0.79385593348711958</v>
      </c>
      <c r="O2476" s="2">
        <f ca="1"/>
        <v>-1.4521190812133145</v>
      </c>
      <c r="X2476" s="2">
        <f ca="1"/>
        <v>47.442809634739532</v>
      </c>
      <c r="AG2476" s="2">
        <f ca="1"/>
        <v>0.41297656970016106</v>
      </c>
      <c r="AH2476" s="2" t="str">
        <f ca="1"/>
        <v>Bad</v>
      </c>
    </row>
    <row r="2477" spans="2:34">
      <c r="B2477" s="2">
        <f ca="1"/>
        <v>0.53394987959145324</v>
      </c>
      <c r="O2477" s="2">
        <f ca="1"/>
        <v>-0.17101640296952966</v>
      </c>
      <c r="X2477" s="2">
        <f ca="1"/>
        <v>39.946981370110905</v>
      </c>
      <c r="AG2477" s="2">
        <f ca="1"/>
        <v>0.1726075490125194</v>
      </c>
      <c r="AH2477" s="2" t="str">
        <f ca="1"/>
        <v>OK</v>
      </c>
    </row>
    <row r="2478" spans="2:34">
      <c r="B2478" s="2">
        <f ca="1"/>
        <v>0.76261762751793105</v>
      </c>
      <c r="O2478" s="2">
        <f ca="1"/>
        <v>-0.85739807200937779</v>
      </c>
      <c r="X2478" s="2">
        <f ca="1"/>
        <v>50.042476205664443</v>
      </c>
      <c r="AG2478" s="2">
        <f ca="1"/>
        <v>0.66687906010867914</v>
      </c>
      <c r="AH2478" s="2" t="str">
        <f ca="1"/>
        <v>Bad</v>
      </c>
    </row>
    <row r="2479" spans="2:34">
      <c r="B2479" s="2">
        <f ca="1"/>
        <v>7.5712291247997499E-2</v>
      </c>
      <c r="O2479" s="2">
        <f ca="1"/>
        <v>-1.3340545892140303</v>
      </c>
      <c r="X2479" s="2">
        <f ca="1"/>
        <v>94.413984337670314</v>
      </c>
      <c r="AG2479" s="2">
        <f ca="1"/>
        <v>0.32131517723331626</v>
      </c>
      <c r="AH2479" s="2" t="str">
        <f ca="1"/>
        <v>OK</v>
      </c>
    </row>
    <row r="2480" spans="2:34">
      <c r="B2480" s="2">
        <f ca="1"/>
        <v>0.69038309626040495</v>
      </c>
      <c r="O2480" s="2">
        <f ca="1"/>
        <v>-5.5579820046793831E-3</v>
      </c>
      <c r="X2480" s="2">
        <f ca="1"/>
        <v>82.081375331928385</v>
      </c>
      <c r="AG2480" s="2">
        <f ca="1"/>
        <v>0.45414812088484413</v>
      </c>
      <c r="AH2480" s="2" t="str">
        <f ca="1"/>
        <v>Bad</v>
      </c>
    </row>
    <row r="2481" spans="2:34">
      <c r="B2481" s="2">
        <f ca="1"/>
        <v>0.49442591245130774</v>
      </c>
      <c r="O2481" s="2">
        <f ca="1"/>
        <v>-0.5120399241142044</v>
      </c>
      <c r="X2481" s="2">
        <f ca="1"/>
        <v>57.067907961692448</v>
      </c>
      <c r="AG2481" s="2">
        <f ca="1"/>
        <v>0.22198637797077825</v>
      </c>
      <c r="AH2481" s="2" t="str">
        <f ca="1"/>
        <v>OK</v>
      </c>
    </row>
    <row r="2482" spans="2:34">
      <c r="B2482" s="2">
        <f ca="1"/>
        <v>0.25375161550157266</v>
      </c>
      <c r="O2482" s="2">
        <f ca="1"/>
        <v>0.38604464147385714</v>
      </c>
      <c r="X2482" s="2">
        <f ca="1"/>
        <v>51.104184048843912</v>
      </c>
      <c r="AG2482" s="2">
        <f ca="1"/>
        <v>3.3665019941343077E-2</v>
      </c>
      <c r="AH2482" s="2" t="str">
        <f ca="1"/>
        <v>Good</v>
      </c>
    </row>
    <row r="2483" spans="2:34">
      <c r="B2483" s="2">
        <f ca="1"/>
        <v>0.61187459116128506</v>
      </c>
      <c r="O2483" s="2">
        <f ca="1"/>
        <v>0.59108709674145121</v>
      </c>
      <c r="X2483" s="2">
        <f ca="1"/>
        <v>23.683919113133449</v>
      </c>
      <c r="AG2483" s="2">
        <f ca="1"/>
        <v>0.24660336069918198</v>
      </c>
      <c r="AH2483" s="2" t="str">
        <f ca="1"/>
        <v>OK</v>
      </c>
    </row>
    <row r="2484" spans="2:34">
      <c r="B2484" s="2">
        <f ca="1"/>
        <v>0.10795797998997569</v>
      </c>
      <c r="O2484" s="2">
        <f ca="1"/>
        <v>1.5006469268498122</v>
      </c>
      <c r="X2484" s="2">
        <f ca="1"/>
        <v>37.962750935767673</v>
      </c>
      <c r="AG2484" s="2">
        <f ca="1"/>
        <v>0.22236239206049135</v>
      </c>
      <c r="AH2484" s="2" t="str">
        <f ca="1"/>
        <v>OK</v>
      </c>
    </row>
    <row r="2485" spans="2:34">
      <c r="B2485" s="2">
        <f ca="1"/>
        <v>0.76418608605057603</v>
      </c>
      <c r="O2485" s="2">
        <f ca="1"/>
        <v>1.5050981117647282</v>
      </c>
      <c r="X2485" s="2">
        <f ca="1"/>
        <v>40.723753005406266</v>
      </c>
      <c r="AG2485" s="2">
        <f ca="1"/>
        <v>0.43802021470134456</v>
      </c>
      <c r="AH2485" s="2" t="str">
        <f ca="1"/>
        <v>Bad</v>
      </c>
    </row>
    <row r="2486" spans="2:34">
      <c r="B2486" s="2">
        <f ca="1"/>
        <v>0.40380686706934044</v>
      </c>
      <c r="O2486" s="2">
        <f ca="1"/>
        <v>0.62046432778910932</v>
      </c>
      <c r="X2486" s="2">
        <f ca="1"/>
        <v>48.235920872555631</v>
      </c>
      <c r="AG2486" s="2">
        <f ca="1"/>
        <v>0.95496958500444173</v>
      </c>
      <c r="AH2486" s="2" t="str">
        <f ca="1"/>
        <v>Bad</v>
      </c>
    </row>
    <row r="2487" spans="2:34">
      <c r="B2487" s="2">
        <f ca="1"/>
        <v>0.49533358702012209</v>
      </c>
      <c r="O2487" s="2">
        <f ca="1"/>
        <v>-0.68822447810143694</v>
      </c>
      <c r="X2487" s="2">
        <f ca="1"/>
        <v>78.504609049384456</v>
      </c>
      <c r="AG2487" s="2">
        <f ca="1"/>
        <v>0.22976063050363948</v>
      </c>
      <c r="AH2487" s="2" t="str">
        <f ca="1"/>
        <v>OK</v>
      </c>
    </row>
    <row r="2488" spans="2:34">
      <c r="B2488" s="2">
        <f ca="1"/>
        <v>0.64112381894913795</v>
      </c>
      <c r="O2488" s="2">
        <f ca="1"/>
        <v>1.4340274800868495</v>
      </c>
      <c r="X2488" s="2">
        <f ca="1"/>
        <v>37.681263008950467</v>
      </c>
      <c r="AG2488" s="2">
        <f ca="1"/>
        <v>0.91619466092918023</v>
      </c>
      <c r="AH2488" s="2" t="str">
        <f ca="1"/>
        <v>Bad</v>
      </c>
    </row>
    <row r="2489" spans="2:34">
      <c r="B2489" s="2">
        <f ca="1"/>
        <v>0.64557243799650976</v>
      </c>
      <c r="O2489" s="2">
        <f ca="1"/>
        <v>2.0894620877221719</v>
      </c>
      <c r="X2489" s="2">
        <f ca="1"/>
        <v>40.470711632828028</v>
      </c>
      <c r="AG2489" s="2">
        <f ca="1"/>
        <v>0.34313891814992226</v>
      </c>
      <c r="AH2489" s="2" t="str">
        <f ca="1"/>
        <v>OK</v>
      </c>
    </row>
    <row r="2490" spans="2:34">
      <c r="B2490" s="2">
        <f ca="1"/>
        <v>0.76812313236480811</v>
      </c>
      <c r="O2490" s="2">
        <f ca="1"/>
        <v>-0.60135162612531678</v>
      </c>
      <c r="X2490" s="2">
        <f ca="1"/>
        <v>39.961472094452745</v>
      </c>
      <c r="AG2490" s="2">
        <f ca="1"/>
        <v>0.62727970747224693</v>
      </c>
      <c r="AH2490" s="2" t="str">
        <f ca="1"/>
        <v>Bad</v>
      </c>
    </row>
    <row r="2491" spans="2:34">
      <c r="B2491" s="2">
        <f ca="1"/>
        <v>0.55561724063715823</v>
      </c>
      <c r="O2491" s="2">
        <f ca="1"/>
        <v>1.3392958801149777</v>
      </c>
      <c r="X2491" s="2">
        <f ca="1"/>
        <v>57.830593057898206</v>
      </c>
      <c r="AG2491" s="2">
        <f ca="1"/>
        <v>0.44211671476239212</v>
      </c>
      <c r="AH2491" s="2" t="str">
        <f ca="1"/>
        <v>Bad</v>
      </c>
    </row>
    <row r="2492" spans="2:34">
      <c r="B2492" s="2">
        <f ca="1"/>
        <v>0.32232450178730709</v>
      </c>
      <c r="O2492" s="2">
        <f ca="1"/>
        <v>-0.17090821023466912</v>
      </c>
      <c r="X2492" s="2">
        <f ca="1"/>
        <v>55.866208265407749</v>
      </c>
      <c r="AG2492" s="2">
        <f ca="1"/>
        <v>0.76376202020927186</v>
      </c>
      <c r="AH2492" s="2" t="str">
        <f ca="1"/>
        <v>Bad</v>
      </c>
    </row>
    <row r="2493" spans="2:34">
      <c r="B2493" s="2">
        <f ca="1"/>
        <v>4.0443088201620236E-2</v>
      </c>
      <c r="O2493" s="2">
        <f ca="1"/>
        <v>0.69250203874108607</v>
      </c>
      <c r="X2493" s="2">
        <f ca="1"/>
        <v>32.620198808735303</v>
      </c>
      <c r="AG2493" s="2">
        <f ca="1"/>
        <v>0.21726062779445976</v>
      </c>
      <c r="AH2493" s="2" t="str">
        <f ca="1"/>
        <v>OK</v>
      </c>
    </row>
    <row r="2494" spans="2:34">
      <c r="B2494" s="2">
        <f ca="1"/>
        <v>0.11462663375457982</v>
      </c>
      <c r="O2494" s="2">
        <f ca="1"/>
        <v>0.53379292801192191</v>
      </c>
      <c r="X2494" s="2">
        <f ca="1"/>
        <v>36.673005190028235</v>
      </c>
      <c r="AG2494" s="2">
        <f ca="1"/>
        <v>0.27025999327581274</v>
      </c>
      <c r="AH2494" s="2" t="str">
        <f ca="1"/>
        <v>OK</v>
      </c>
    </row>
    <row r="2495" spans="2:34">
      <c r="B2495" s="2">
        <f ca="1"/>
        <v>0.29981202655445771</v>
      </c>
      <c r="O2495" s="2">
        <f ca="1"/>
        <v>2.6221443478613158</v>
      </c>
      <c r="X2495" s="2">
        <f ca="1"/>
        <v>56.832157295897417</v>
      </c>
      <c r="AG2495" s="2">
        <f ca="1"/>
        <v>0.64506816852331639</v>
      </c>
      <c r="AH2495" s="2" t="str">
        <f ca="1"/>
        <v>Bad</v>
      </c>
    </row>
    <row r="2496" spans="2:34">
      <c r="B2496" s="2">
        <f ca="1"/>
        <v>0.34098453340730117</v>
      </c>
      <c r="O2496" s="2">
        <f ca="1"/>
        <v>0.61141266983649933</v>
      </c>
      <c r="X2496" s="2">
        <f ca="1"/>
        <v>41.897434955063957</v>
      </c>
      <c r="AG2496" s="2">
        <f ca="1"/>
        <v>0.27631431480867086</v>
      </c>
      <c r="AH2496" s="2" t="str">
        <f ca="1"/>
        <v>OK</v>
      </c>
    </row>
    <row r="2497" spans="2:34">
      <c r="B2497" s="2">
        <f ca="1"/>
        <v>0.77904065849050586</v>
      </c>
      <c r="O2497" s="2">
        <f ca="1"/>
        <v>0.27940163546749158</v>
      </c>
      <c r="X2497" s="2">
        <f ca="1"/>
        <v>34.753537390292507</v>
      </c>
      <c r="AG2497" s="2">
        <f ca="1"/>
        <v>0.11349679368115839</v>
      </c>
      <c r="AH2497" s="2" t="str">
        <f ca="1"/>
        <v>OK</v>
      </c>
    </row>
    <row r="2498" spans="2:34">
      <c r="B2498" s="2">
        <f ca="1"/>
        <v>0.39625324825525432</v>
      </c>
      <c r="O2498" s="2">
        <f ca="1"/>
        <v>-0.39476972784247694</v>
      </c>
      <c r="X2498" s="2">
        <f ca="1"/>
        <v>49.138380888322729</v>
      </c>
      <c r="AG2498" s="2">
        <f ca="1"/>
        <v>0.64550859907338065</v>
      </c>
      <c r="AH2498" s="2" t="str">
        <f ca="1"/>
        <v>Bad</v>
      </c>
    </row>
    <row r="2499" spans="2:34">
      <c r="B2499" s="2">
        <f ca="1"/>
        <v>0.62705748064741007</v>
      </c>
      <c r="O2499" s="2">
        <f ca="1"/>
        <v>-0.31689461457166485</v>
      </c>
      <c r="X2499" s="2">
        <f ca="1"/>
        <v>44.222960885562173</v>
      </c>
      <c r="AG2499" s="2">
        <f ca="1"/>
        <v>8.8605689920196795E-2</v>
      </c>
      <c r="AH2499" s="2" t="str">
        <f ca="1"/>
        <v>OK</v>
      </c>
    </row>
    <row r="2500" spans="2:34">
      <c r="B2500" s="2">
        <f ca="1"/>
        <v>0.58852500373657279</v>
      </c>
      <c r="O2500" s="2">
        <f ca="1"/>
        <v>-0.69723795777893749</v>
      </c>
      <c r="X2500" s="2">
        <f ca="1"/>
        <v>38.948481245350266</v>
      </c>
      <c r="AG2500" s="2">
        <f ca="1"/>
        <v>0.77113422660557518</v>
      </c>
      <c r="AH2500" s="2" t="str">
        <f ca="1"/>
        <v>Bad</v>
      </c>
    </row>
    <row r="2501" spans="2:34">
      <c r="B2501" s="2">
        <f ca="1"/>
        <v>0.55176396134304229</v>
      </c>
      <c r="O2501" s="2">
        <f ca="1"/>
        <v>-0.19121396002885177</v>
      </c>
      <c r="X2501" s="2">
        <f ca="1"/>
        <v>64.506325326349327</v>
      </c>
      <c r="AG2501" s="2">
        <f ca="1"/>
        <v>0.31089774379346147</v>
      </c>
      <c r="AH2501" s="2" t="str">
        <f ca="1"/>
        <v>OK</v>
      </c>
    </row>
    <row r="2502" spans="2:34">
      <c r="B2502" s="2">
        <f ca="1"/>
        <v>0.97983048485409396</v>
      </c>
      <c r="O2502" s="2">
        <f ca="1"/>
        <v>-0.38283507280732099</v>
      </c>
      <c r="X2502" s="2">
        <f ca="1"/>
        <v>56.049438857840514</v>
      </c>
      <c r="AG2502" s="2">
        <f ca="1"/>
        <v>0.51259110148954479</v>
      </c>
      <c r="AH2502" s="2" t="str">
        <f ca="1"/>
        <v>Bad</v>
      </c>
    </row>
    <row r="2503" spans="2:34">
      <c r="B2503" s="2">
        <f ca="1"/>
        <v>0.77078309565836367</v>
      </c>
      <c r="O2503" s="2">
        <f ca="1"/>
        <v>-1.4558984319311721</v>
      </c>
      <c r="X2503" s="2">
        <f ca="1"/>
        <v>49.152758637792473</v>
      </c>
      <c r="AG2503" s="2">
        <f ca="1"/>
        <v>0.71235118944707398</v>
      </c>
      <c r="AH2503" s="2" t="str">
        <f ca="1"/>
        <v>Bad</v>
      </c>
    </row>
    <row r="2504" spans="2:34">
      <c r="B2504" s="2">
        <f ca="1"/>
        <v>0.9665679904153921</v>
      </c>
      <c r="O2504" s="2">
        <f ca="1"/>
        <v>0.64182988969789168</v>
      </c>
      <c r="X2504" s="2">
        <f ca="1"/>
        <v>62.260259351119629</v>
      </c>
      <c r="AG2504" s="2">
        <f ca="1"/>
        <v>0.12549672135712986</v>
      </c>
      <c r="AH2504" s="2" t="str">
        <f ca="1"/>
        <v>OK</v>
      </c>
    </row>
    <row r="2505" spans="2:34">
      <c r="B2505" s="2">
        <f ca="1"/>
        <v>0.73353595372354063</v>
      </c>
      <c r="O2505" s="2">
        <f ca="1"/>
        <v>0.59680531411950044</v>
      </c>
      <c r="X2505" s="2">
        <f ca="1"/>
        <v>50.65027654510039</v>
      </c>
      <c r="AG2505" s="2">
        <f ca="1"/>
        <v>0.37376804579906886</v>
      </c>
      <c r="AH2505" s="2" t="str">
        <f ca="1"/>
        <v>OK</v>
      </c>
    </row>
    <row r="2506" spans="2:34">
      <c r="B2506" s="2">
        <f ca="1"/>
        <v>0.81482685718667724</v>
      </c>
      <c r="O2506" s="2">
        <f ca="1"/>
        <v>-0.28632243313772326</v>
      </c>
      <c r="X2506" s="2">
        <f ca="1"/>
        <v>34.747677223378595</v>
      </c>
      <c r="AG2506" s="2">
        <f ca="1"/>
        <v>0.1435567073947086</v>
      </c>
      <c r="AH2506" s="2" t="str">
        <f ca="1"/>
        <v>OK</v>
      </c>
    </row>
    <row r="2507" spans="2:34">
      <c r="B2507" s="2">
        <f ca="1"/>
        <v>0.50613750859253503</v>
      </c>
      <c r="O2507" s="2">
        <f ca="1"/>
        <v>-0.4311742752243175</v>
      </c>
      <c r="X2507" s="2">
        <f ca="1"/>
        <v>55.692632703082623</v>
      </c>
      <c r="AG2507" s="2">
        <f ca="1"/>
        <v>0.67163913243593831</v>
      </c>
      <c r="AH2507" s="2" t="str">
        <f ca="1"/>
        <v>Bad</v>
      </c>
    </row>
    <row r="2508" spans="2:34">
      <c r="B2508" s="2">
        <f ca="1"/>
        <v>0.7703466756301367</v>
      </c>
      <c r="O2508" s="2">
        <f ca="1"/>
        <v>-0.78263364625285381</v>
      </c>
      <c r="X2508" s="2">
        <f ca="1"/>
        <v>52.934618699330954</v>
      </c>
      <c r="AG2508" s="2">
        <f ca="1"/>
        <v>0.9141747055186642</v>
      </c>
      <c r="AH2508" s="2" t="str">
        <f ca="1"/>
        <v>Bad</v>
      </c>
    </row>
    <row r="2509" spans="2:34">
      <c r="B2509" s="2">
        <f ca="1"/>
        <v>0.85766529719602524</v>
      </c>
      <c r="O2509" s="2">
        <f ca="1"/>
        <v>0.93562315795584228</v>
      </c>
      <c r="X2509" s="2">
        <f ca="1"/>
        <v>61.839027052921843</v>
      </c>
      <c r="AG2509" s="2">
        <f ca="1"/>
        <v>7.0325125782521258E-2</v>
      </c>
      <c r="AH2509" s="2" t="str">
        <f ca="1"/>
        <v>OK</v>
      </c>
    </row>
    <row r="2510" spans="2:34">
      <c r="B2510" s="2">
        <f ca="1"/>
        <v>0.91981787882604116</v>
      </c>
      <c r="O2510" s="2">
        <f ca="1"/>
        <v>-0.31231434355380094</v>
      </c>
      <c r="X2510" s="2">
        <f ca="1"/>
        <v>65.860501518395949</v>
      </c>
      <c r="AG2510" s="2">
        <f ca="1"/>
        <v>0.5514151624197805</v>
      </c>
      <c r="AH2510" s="2" t="str">
        <f ca="1"/>
        <v>Bad</v>
      </c>
    </row>
    <row r="2511" spans="2:34">
      <c r="B2511" s="2">
        <f ca="1"/>
        <v>9.568869930454138E-4</v>
      </c>
      <c r="O2511" s="2">
        <f ca="1"/>
        <v>-2.3990882577492281</v>
      </c>
      <c r="X2511" s="2">
        <f ca="1"/>
        <v>42.738447279483097</v>
      </c>
      <c r="AG2511" s="2">
        <f ca="1"/>
        <v>0.79099153642344189</v>
      </c>
      <c r="AH2511" s="2" t="str">
        <f ca="1"/>
        <v>Bad</v>
      </c>
    </row>
    <row r="2512" spans="2:34">
      <c r="B2512" s="2">
        <f ca="1"/>
        <v>0.70362578424165334</v>
      </c>
      <c r="O2512" s="2">
        <f ca="1"/>
        <v>-6.3207576029530671E-2</v>
      </c>
      <c r="X2512" s="2">
        <f ca="1"/>
        <v>31.768289934054433</v>
      </c>
      <c r="AG2512" s="2">
        <f ca="1"/>
        <v>0.66294817186342248</v>
      </c>
      <c r="AH2512" s="2" t="str">
        <f ca="1"/>
        <v>Bad</v>
      </c>
    </row>
    <row r="2513" spans="2:34">
      <c r="B2513" s="2">
        <f ca="1"/>
        <v>0.50002881024657286</v>
      </c>
      <c r="O2513" s="2">
        <f ca="1"/>
        <v>-0.28106890106170584</v>
      </c>
      <c r="X2513" s="2">
        <f ca="1"/>
        <v>54.712200125921868</v>
      </c>
      <c r="AG2513" s="2">
        <f ca="1"/>
        <v>0.20404949439782682</v>
      </c>
      <c r="AH2513" s="2" t="str">
        <f ca="1"/>
        <v>OK</v>
      </c>
    </row>
    <row r="2514" spans="2:34">
      <c r="B2514" s="2">
        <f ca="1"/>
        <v>0.72905250999011706</v>
      </c>
      <c r="O2514" s="2">
        <f ca="1"/>
        <v>-0.42662796753005822</v>
      </c>
      <c r="X2514" s="2">
        <f ca="1"/>
        <v>29.313011921777058</v>
      </c>
      <c r="AG2514" s="2">
        <f ca="1"/>
        <v>0.4125365789638431</v>
      </c>
      <c r="AH2514" s="2" t="str">
        <f ca="1"/>
        <v>Bad</v>
      </c>
    </row>
    <row r="2515" spans="2:34">
      <c r="B2515" s="2">
        <f ca="1"/>
        <v>0.40909111896699102</v>
      </c>
      <c r="O2515" s="2">
        <f ca="1"/>
        <v>8.3420803767000132E-2</v>
      </c>
      <c r="X2515" s="2">
        <f ca="1"/>
        <v>59.334294530582127</v>
      </c>
      <c r="AG2515" s="2">
        <f ca="1"/>
        <v>3.1851227408161709E-3</v>
      </c>
      <c r="AH2515" s="2" t="str">
        <f ca="1"/>
        <v>Good</v>
      </c>
    </row>
    <row r="2516" spans="2:34">
      <c r="B2516" s="2">
        <f ca="1"/>
        <v>0.28203590815269064</v>
      </c>
      <c r="O2516" s="2">
        <f ca="1"/>
        <v>0.39152281681236811</v>
      </c>
      <c r="X2516" s="2">
        <f ca="1"/>
        <v>53.884155022347386</v>
      </c>
      <c r="AG2516" s="2">
        <f ca="1"/>
        <v>0.60984470045962746</v>
      </c>
      <c r="AH2516" s="2" t="str">
        <f ca="1"/>
        <v>Bad</v>
      </c>
    </row>
    <row r="2517" spans="2:34">
      <c r="B2517" s="2">
        <f ca="1"/>
        <v>0.42702713220793664</v>
      </c>
      <c r="O2517" s="2">
        <f ca="1"/>
        <v>-0.10740394090096668</v>
      </c>
      <c r="X2517" s="2">
        <f ca="1"/>
        <v>28.273309453722305</v>
      </c>
      <c r="AG2517" s="2">
        <f ca="1"/>
        <v>0.41597999179035861</v>
      </c>
      <c r="AH2517" s="2" t="str">
        <f ca="1"/>
        <v>Bad</v>
      </c>
    </row>
    <row r="2518" spans="2:34">
      <c r="B2518" s="2">
        <f ca="1"/>
        <v>0.6392305814663497</v>
      </c>
      <c r="O2518" s="2">
        <f ca="1"/>
        <v>1.1318683153624653</v>
      </c>
      <c r="X2518" s="2">
        <f ca="1"/>
        <v>53.483587197214192</v>
      </c>
      <c r="AG2518" s="2">
        <f ca="1"/>
        <v>0.91617631651433529</v>
      </c>
      <c r="AH2518" s="2" t="str">
        <f ca="1"/>
        <v>Bad</v>
      </c>
    </row>
    <row r="2519" spans="2:34">
      <c r="B2519" s="2">
        <f ca="1"/>
        <v>0.26690500890452262</v>
      </c>
      <c r="O2519" s="2">
        <f ca="1"/>
        <v>-2.2284613722203406E-2</v>
      </c>
      <c r="X2519" s="2">
        <f ca="1"/>
        <v>59.234206694465769</v>
      </c>
      <c r="AG2519" s="2">
        <f ca="1"/>
        <v>0.90271256252807897</v>
      </c>
      <c r="AH2519" s="2" t="str">
        <f ca="1"/>
        <v>Bad</v>
      </c>
    </row>
    <row r="2520" spans="2:34">
      <c r="B2520" s="2">
        <f ca="1"/>
        <v>0.59134339554063264</v>
      </c>
      <c r="O2520" s="2">
        <f ca="1"/>
        <v>-0.34871111388347326</v>
      </c>
      <c r="X2520" s="2">
        <f ca="1"/>
        <v>70.286543792987786</v>
      </c>
      <c r="AG2520" s="2">
        <f ca="1"/>
        <v>0.72317283401933419</v>
      </c>
      <c r="AH2520" s="2" t="str">
        <f ca="1"/>
        <v>Bad</v>
      </c>
    </row>
    <row r="2521" spans="2:34">
      <c r="B2521" s="2">
        <f ca="1"/>
        <v>0.78095019792571563</v>
      </c>
      <c r="O2521" s="2">
        <f ca="1"/>
        <v>0.35783154095757491</v>
      </c>
      <c r="X2521" s="2">
        <f ca="1"/>
        <v>38.511644737676768</v>
      </c>
      <c r="AG2521" s="2">
        <f ca="1"/>
        <v>0.31137019374792163</v>
      </c>
      <c r="AH2521" s="2" t="str">
        <f ca="1"/>
        <v>OK</v>
      </c>
    </row>
    <row r="2522" spans="2:34">
      <c r="B2522" s="2">
        <f ca="1"/>
        <v>0.87682009487162427</v>
      </c>
      <c r="O2522" s="2">
        <f ca="1"/>
        <v>1.2244520869279709</v>
      </c>
      <c r="X2522" s="2">
        <f ca="1"/>
        <v>53.424296095290529</v>
      </c>
      <c r="AG2522" s="2">
        <f ca="1"/>
        <v>8.7696988372600648E-2</v>
      </c>
      <c r="AH2522" s="2" t="str">
        <f ca="1"/>
        <v>OK</v>
      </c>
    </row>
    <row r="2523" spans="2:34">
      <c r="B2523" s="2">
        <f ca="1"/>
        <v>0.27542197796695111</v>
      </c>
      <c r="O2523" s="2">
        <f ca="1"/>
        <v>0.31087461544021022</v>
      </c>
      <c r="X2523" s="2">
        <f ca="1"/>
        <v>34.76316405707265</v>
      </c>
      <c r="AG2523" s="2">
        <f ca="1"/>
        <v>0.95205381973218728</v>
      </c>
      <c r="AH2523" s="2" t="str">
        <f ca="1"/>
        <v>Bad</v>
      </c>
    </row>
    <row r="2524" spans="2:34">
      <c r="B2524" s="2">
        <f ca="1"/>
        <v>0.94719386544093598</v>
      </c>
      <c r="O2524" s="2">
        <f ca="1"/>
        <v>0.19110427719013592</v>
      </c>
      <c r="X2524" s="2">
        <f ca="1"/>
        <v>51.025068329707921</v>
      </c>
      <c r="AG2524" s="2">
        <f ca="1"/>
        <v>0.70623605081139162</v>
      </c>
      <c r="AH2524" s="2" t="str">
        <f ca="1"/>
        <v>Bad</v>
      </c>
    </row>
    <row r="2525" spans="2:34">
      <c r="B2525" s="2">
        <f ca="1"/>
        <v>0.89598368085497038</v>
      </c>
      <c r="O2525" s="2">
        <f ca="1"/>
        <v>-0.79910910687055092</v>
      </c>
      <c r="X2525" s="2">
        <f ca="1"/>
        <v>55.353919238187601</v>
      </c>
      <c r="AG2525" s="2">
        <f ca="1"/>
        <v>0.41011334703648772</v>
      </c>
      <c r="AH2525" s="2" t="str">
        <f ca="1"/>
        <v>Bad</v>
      </c>
    </row>
    <row r="2526" spans="2:34">
      <c r="B2526" s="2">
        <f ca="1"/>
        <v>0.92232360894394128</v>
      </c>
      <c r="O2526" s="2">
        <f ca="1"/>
        <v>-0.60988086231290106</v>
      </c>
      <c r="X2526" s="2">
        <f ca="1"/>
        <v>27.05227312887207</v>
      </c>
      <c r="AG2526" s="2">
        <f ca="1"/>
        <v>0.30920364217094942</v>
      </c>
      <c r="AH2526" s="2" t="str">
        <f ca="1"/>
        <v>OK</v>
      </c>
    </row>
    <row r="2527" spans="2:34">
      <c r="B2527" s="2">
        <f ca="1"/>
        <v>0.41878110054533124</v>
      </c>
      <c r="O2527" s="2">
        <f ca="1"/>
        <v>0.62320129599146634</v>
      </c>
      <c r="X2527" s="2">
        <f ca="1"/>
        <v>41.21829966911568</v>
      </c>
      <c r="AG2527" s="2">
        <f ca="1"/>
        <v>0.86838366339421014</v>
      </c>
      <c r="AH2527" s="2" t="str">
        <f ca="1"/>
        <v>Bad</v>
      </c>
    </row>
    <row r="2528" spans="2:34">
      <c r="B2528" s="2">
        <f ca="1"/>
        <v>0.83831446425526113</v>
      </c>
      <c r="O2528" s="2">
        <f ca="1"/>
        <v>-1.8497169187560523</v>
      </c>
      <c r="X2528" s="2">
        <f ca="1"/>
        <v>33.336799578157176</v>
      </c>
      <c r="AG2528" s="2">
        <f ca="1"/>
        <v>0.8099530810427249</v>
      </c>
      <c r="AH2528" s="2" t="str">
        <f ca="1"/>
        <v>Bad</v>
      </c>
    </row>
    <row r="2529" spans="2:34">
      <c r="B2529" s="2">
        <f ca="1"/>
        <v>0.58926648440668083</v>
      </c>
      <c r="O2529" s="2">
        <f ca="1"/>
        <v>1.97328017039953</v>
      </c>
      <c r="X2529" s="2">
        <f ca="1"/>
        <v>50.492335437957543</v>
      </c>
      <c r="AG2529" s="2">
        <f ca="1"/>
        <v>9.1535472268933216E-3</v>
      </c>
      <c r="AH2529" s="2" t="str">
        <f ca="1"/>
        <v>Good</v>
      </c>
    </row>
    <row r="2530" spans="2:34">
      <c r="B2530" s="2">
        <f ca="1"/>
        <v>0.37066843830184926</v>
      </c>
      <c r="O2530" s="2">
        <f ca="1"/>
        <v>-0.95452643747675114</v>
      </c>
      <c r="X2530" s="2">
        <f ca="1"/>
        <v>46.931481473852834</v>
      </c>
      <c r="AG2530" s="2">
        <f ca="1"/>
        <v>0.27139443828183896</v>
      </c>
      <c r="AH2530" s="2" t="str">
        <f ca="1"/>
        <v>OK</v>
      </c>
    </row>
    <row r="2531" spans="2:34">
      <c r="B2531" s="2">
        <f ca="1"/>
        <v>3.6515772155658599E-3</v>
      </c>
      <c r="O2531" s="2">
        <f ca="1"/>
        <v>-0.36680673533856206</v>
      </c>
      <c r="X2531" s="2">
        <f ca="1"/>
        <v>42.642325218683077</v>
      </c>
      <c r="AG2531" s="2">
        <f ca="1"/>
        <v>0.11294462032100583</v>
      </c>
      <c r="AH2531" s="2" t="str">
        <f ca="1"/>
        <v>OK</v>
      </c>
    </row>
    <row r="2532" spans="2:34">
      <c r="B2532" s="2">
        <f ca="1"/>
        <v>0.4058326567964381</v>
      </c>
      <c r="O2532" s="2">
        <f ca="1"/>
        <v>-0.14631667580461383</v>
      </c>
      <c r="X2532" s="2">
        <f ca="1"/>
        <v>47.975065820027055</v>
      </c>
      <c r="AG2532" s="2">
        <f ca="1"/>
        <v>0.8019539456496092</v>
      </c>
      <c r="AH2532" s="2" t="str">
        <f ca="1"/>
        <v>Bad</v>
      </c>
    </row>
    <row r="2533" spans="2:34">
      <c r="B2533" s="2">
        <f ca="1"/>
        <v>0.50959219320140003</v>
      </c>
      <c r="O2533" s="2">
        <f ca="1"/>
        <v>1.2013675131189232</v>
      </c>
      <c r="X2533" s="2">
        <f ca="1"/>
        <v>44.22426847421999</v>
      </c>
      <c r="AG2533" s="2">
        <f ca="1"/>
        <v>0.20916185273063759</v>
      </c>
      <c r="AH2533" s="2" t="str">
        <f ca="1"/>
        <v>OK</v>
      </c>
    </row>
    <row r="2534" spans="2:34">
      <c r="B2534" s="2">
        <f ca="1"/>
        <v>0.63811908584961929</v>
      </c>
      <c r="O2534" s="2">
        <f ca="1"/>
        <v>-0.20199739901083361</v>
      </c>
      <c r="X2534" s="2">
        <f ca="1"/>
        <v>34.908403087427764</v>
      </c>
      <c r="AG2534" s="2">
        <f ca="1"/>
        <v>6.5199431846373557E-2</v>
      </c>
      <c r="AH2534" s="2" t="str">
        <f ca="1"/>
        <v>OK</v>
      </c>
    </row>
    <row r="2535" spans="2:34">
      <c r="B2535" s="2">
        <f ca="1"/>
        <v>8.5066004204281009E-2</v>
      </c>
      <c r="O2535" s="2">
        <f ca="1"/>
        <v>0.23940457279469959</v>
      </c>
      <c r="X2535" s="2">
        <f ca="1"/>
        <v>20.639348245729906</v>
      </c>
      <c r="AG2535" s="2">
        <f ca="1"/>
        <v>0.88556602109979421</v>
      </c>
      <c r="AH2535" s="2" t="str">
        <f ca="1"/>
        <v>Bad</v>
      </c>
    </row>
    <row r="2536" spans="2:34">
      <c r="B2536" s="2">
        <f ca="1"/>
        <v>0.48107794622643452</v>
      </c>
      <c r="O2536" s="2">
        <f ca="1"/>
        <v>0.39871431380159955</v>
      </c>
      <c r="X2536" s="2">
        <f ca="1"/>
        <v>59.004955644531549</v>
      </c>
      <c r="AG2536" s="2">
        <f ca="1"/>
        <v>1.0110272927155162E-2</v>
      </c>
      <c r="AH2536" s="2" t="str">
        <f ca="1"/>
        <v>Good</v>
      </c>
    </row>
    <row r="2537" spans="2:34">
      <c r="B2537" s="2">
        <f ca="1"/>
        <v>0.85732070595592313</v>
      </c>
      <c r="O2537" s="2">
        <f ca="1"/>
        <v>-0.21842188644099553</v>
      </c>
      <c r="X2537" s="2">
        <f ca="1"/>
        <v>39.288442828439322</v>
      </c>
      <c r="AG2537" s="2">
        <f ca="1"/>
        <v>9.922711545412799E-2</v>
      </c>
      <c r="AH2537" s="2" t="str">
        <f ca="1"/>
        <v>OK</v>
      </c>
    </row>
    <row r="2538" spans="2:34">
      <c r="B2538" s="2">
        <f ca="1"/>
        <v>0.95227046680448191</v>
      </c>
      <c r="O2538" s="2">
        <f ca="1"/>
        <v>1.9059791983735305E-2</v>
      </c>
      <c r="X2538" s="2">
        <f ca="1"/>
        <v>51.715164397890305</v>
      </c>
      <c r="AG2538" s="2">
        <f ca="1"/>
        <v>0.18712865564446934</v>
      </c>
      <c r="AH2538" s="2" t="str">
        <f ca="1"/>
        <v>OK</v>
      </c>
    </row>
    <row r="2539" spans="2:34">
      <c r="B2539" s="2">
        <f ca="1"/>
        <v>0.97755183354513364</v>
      </c>
      <c r="O2539" s="2">
        <f ca="1"/>
        <v>1.7057449773430138</v>
      </c>
      <c r="X2539" s="2">
        <f ca="1"/>
        <v>47.487972208488912</v>
      </c>
      <c r="AG2539" s="2">
        <f ca="1"/>
        <v>0.42312140619428895</v>
      </c>
      <c r="AH2539" s="2" t="str">
        <f ca="1"/>
        <v>Bad</v>
      </c>
    </row>
    <row r="2540" spans="2:34">
      <c r="B2540" s="2">
        <f ca="1"/>
        <v>0.65330588033673553</v>
      </c>
      <c r="O2540" s="2">
        <f ca="1"/>
        <v>0.24437390639295789</v>
      </c>
      <c r="X2540" s="2">
        <f ca="1"/>
        <v>35.70051157602628</v>
      </c>
      <c r="AG2540" s="2">
        <f ca="1"/>
        <v>0.39428641267586118</v>
      </c>
      <c r="AH2540" s="2" t="str">
        <f ca="1"/>
        <v>OK</v>
      </c>
    </row>
    <row r="2541" spans="2:34">
      <c r="B2541" s="2">
        <f ca="1"/>
        <v>0.20489537343752273</v>
      </c>
      <c r="O2541" s="2">
        <f ca="1"/>
        <v>0.10675241436612398</v>
      </c>
      <c r="X2541" s="2">
        <f ca="1"/>
        <v>20.342364945753054</v>
      </c>
      <c r="AG2541" s="2">
        <f ca="1"/>
        <v>0.3042914355844164</v>
      </c>
      <c r="AH2541" s="2" t="str">
        <f ca="1"/>
        <v>OK</v>
      </c>
    </row>
    <row r="2542" spans="2:34">
      <c r="B2542" s="2">
        <f ca="1"/>
        <v>0.52307449357595681</v>
      </c>
      <c r="O2542" s="2">
        <f ca="1"/>
        <v>0.84554047546297684</v>
      </c>
      <c r="X2542" s="2">
        <f ca="1"/>
        <v>30.528123130583303</v>
      </c>
      <c r="AG2542" s="2">
        <f ca="1"/>
        <v>0.50356026093129747</v>
      </c>
      <c r="AH2542" s="2" t="str">
        <f ca="1"/>
        <v>Bad</v>
      </c>
    </row>
    <row r="2543" spans="2:34">
      <c r="B2543" s="2">
        <f ca="1"/>
        <v>0.43312496220217755</v>
      </c>
      <c r="O2543" s="2">
        <f ca="1"/>
        <v>-0.91755903368838476</v>
      </c>
      <c r="X2543" s="2">
        <f ca="1"/>
        <v>33.868512221017696</v>
      </c>
      <c r="AG2543" s="2">
        <f ca="1"/>
        <v>0.49713213924075728</v>
      </c>
      <c r="AH2543" s="2" t="str">
        <f ca="1"/>
        <v>Bad</v>
      </c>
    </row>
    <row r="2544" spans="2:34">
      <c r="B2544" s="2">
        <f ca="1"/>
        <v>0.61716702926954015</v>
      </c>
      <c r="O2544" s="2">
        <f ca="1"/>
        <v>-0.49055729735318454</v>
      </c>
      <c r="X2544" s="2">
        <f ca="1"/>
        <v>37.989693583309887</v>
      </c>
      <c r="AG2544" s="2">
        <f ca="1"/>
        <v>0.65692742741956001</v>
      </c>
      <c r="AH2544" s="2" t="str">
        <f ca="1"/>
        <v>Bad</v>
      </c>
    </row>
    <row r="2545" spans="2:34">
      <c r="B2545" s="2">
        <f ca="1"/>
        <v>0.59615861870755715</v>
      </c>
      <c r="O2545" s="2">
        <f ca="1"/>
        <v>0.68901049858627539</v>
      </c>
      <c r="X2545" s="2">
        <f ca="1"/>
        <v>42.764454023943649</v>
      </c>
      <c r="AG2545" s="2">
        <f ca="1"/>
        <v>0.32311172588810755</v>
      </c>
      <c r="AH2545" s="2" t="str">
        <f ca="1"/>
        <v>OK</v>
      </c>
    </row>
    <row r="2546" spans="2:34">
      <c r="B2546" s="2">
        <f ca="1"/>
        <v>0.46335249429027403</v>
      </c>
      <c r="O2546" s="2">
        <f ca="1"/>
        <v>1.037317353444412</v>
      </c>
      <c r="X2546" s="2">
        <f ca="1"/>
        <v>52.385962075966518</v>
      </c>
      <c r="AG2546" s="2">
        <f ca="1"/>
        <v>9.0497240639500376E-2</v>
      </c>
      <c r="AH2546" s="2" t="str">
        <f ca="1"/>
        <v>OK</v>
      </c>
    </row>
    <row r="2547" spans="2:34">
      <c r="B2547" s="2">
        <f ca="1"/>
        <v>0.71832924709628565</v>
      </c>
      <c r="O2547" s="2">
        <f ca="1"/>
        <v>-1.201970159926369</v>
      </c>
      <c r="X2547" s="2">
        <f ca="1"/>
        <v>61.535567139604986</v>
      </c>
      <c r="AG2547" s="2">
        <f ca="1"/>
        <v>0.59085273108490299</v>
      </c>
      <c r="AH2547" s="2" t="str">
        <f ca="1"/>
        <v>Bad</v>
      </c>
    </row>
    <row r="2548" spans="2:34">
      <c r="B2548" s="2">
        <f ca="1"/>
        <v>0.51720475395264365</v>
      </c>
      <c r="O2548" s="2">
        <f ca="1"/>
        <v>-3.0704144415322463E-2</v>
      </c>
      <c r="X2548" s="2">
        <f ca="1"/>
        <v>46.694271037266844</v>
      </c>
      <c r="AG2548" s="2">
        <f ca="1"/>
        <v>0.83316909259329397</v>
      </c>
      <c r="AH2548" s="2" t="str">
        <f ca="1"/>
        <v>Bad</v>
      </c>
    </row>
    <row r="2549" spans="2:34">
      <c r="B2549" s="2">
        <f ca="1"/>
        <v>0.24215552931964046</v>
      </c>
      <c r="O2549" s="2">
        <f ca="1"/>
        <v>-0.6066720773587857</v>
      </c>
      <c r="X2549" s="2">
        <f ca="1"/>
        <v>31.376205023616158</v>
      </c>
      <c r="AG2549" s="2">
        <f ca="1"/>
        <v>0.85416751146750047</v>
      </c>
      <c r="AH2549" s="2" t="str">
        <f ca="1"/>
        <v>Bad</v>
      </c>
    </row>
    <row r="2550" spans="2:34">
      <c r="B2550" s="2">
        <f ca="1"/>
        <v>0.68777135630555897</v>
      </c>
      <c r="O2550" s="2">
        <f ca="1"/>
        <v>0.18320371395830518</v>
      </c>
      <c r="X2550" s="2">
        <f ca="1"/>
        <v>51.818628301623484</v>
      </c>
      <c r="AG2550" s="2">
        <f ca="1"/>
        <v>0.3211428430896679</v>
      </c>
      <c r="AH2550" s="2" t="str">
        <f ca="1"/>
        <v>OK</v>
      </c>
    </row>
    <row r="2551" spans="2:34">
      <c r="B2551" s="2">
        <f ca="1"/>
        <v>0.93481054992820822</v>
      </c>
      <c r="O2551" s="2">
        <f ca="1"/>
        <v>-1.1939182148246441</v>
      </c>
      <c r="X2551" s="2">
        <f ca="1"/>
        <v>42.590459566001016</v>
      </c>
      <c r="AG2551" s="2">
        <f ca="1"/>
        <v>0.15360379600666163</v>
      </c>
      <c r="AH2551" s="2" t="str">
        <f ca="1"/>
        <v>OK</v>
      </c>
    </row>
    <row r="2552" spans="2:34">
      <c r="B2552" s="2">
        <f ca="1"/>
        <v>0.15714729209333167</v>
      </c>
      <c r="O2552" s="2">
        <f ca="1"/>
        <v>-1.3977588538260863</v>
      </c>
      <c r="X2552" s="2">
        <f ca="1"/>
        <v>45.735369009935674</v>
      </c>
      <c r="AG2552" s="2">
        <f ca="1"/>
        <v>0.54569079335833148</v>
      </c>
      <c r="AH2552" s="2" t="str">
        <f ca="1"/>
        <v>Bad</v>
      </c>
    </row>
    <row r="2553" spans="2:34">
      <c r="B2553" s="2">
        <f ca="1"/>
        <v>0.96346773619559012</v>
      </c>
      <c r="O2553" s="2">
        <f ca="1"/>
        <v>0.1541376017664878</v>
      </c>
      <c r="X2553" s="2">
        <f ca="1"/>
        <v>40.021264919206423</v>
      </c>
      <c r="AG2553" s="2">
        <f ca="1"/>
        <v>0.83495974783088922</v>
      </c>
      <c r="AH2553" s="2" t="str">
        <f ca="1"/>
        <v>Bad</v>
      </c>
    </row>
    <row r="2554" spans="2:34">
      <c r="B2554" s="2">
        <f ca="1"/>
        <v>0.68950180079076051</v>
      </c>
      <c r="O2554" s="2">
        <f ca="1"/>
        <v>-0.73204497811007663</v>
      </c>
      <c r="X2554" s="2">
        <f ca="1"/>
        <v>47.145458393825933</v>
      </c>
      <c r="AG2554" s="2">
        <f ca="1"/>
        <v>0.40920618734981673</v>
      </c>
      <c r="AH2554" s="2" t="str">
        <f ca="1"/>
        <v>Bad</v>
      </c>
    </row>
    <row r="2555" spans="2:34">
      <c r="B2555" s="2">
        <f ca="1"/>
        <v>0.7912844588619623</v>
      </c>
      <c r="O2555" s="2">
        <f ca="1"/>
        <v>-4.3242543438485381E-2</v>
      </c>
      <c r="X2555" s="2">
        <f ca="1"/>
        <v>43.500371556208471</v>
      </c>
      <c r="AG2555" s="2">
        <f ca="1"/>
        <v>0.68653747665739351</v>
      </c>
      <c r="AH2555" s="2" t="str">
        <f ca="1"/>
        <v>Bad</v>
      </c>
    </row>
    <row r="2556" spans="2:34">
      <c r="B2556" s="2">
        <f ca="1"/>
        <v>0.26386777959905072</v>
      </c>
      <c r="O2556" s="2">
        <f ca="1"/>
        <v>-0.19096353015208214</v>
      </c>
      <c r="X2556" s="2">
        <f ca="1"/>
        <v>58.473314179420974</v>
      </c>
      <c r="AG2556" s="2">
        <f ca="1"/>
        <v>0.861258623780226</v>
      </c>
      <c r="AH2556" s="2" t="str">
        <f ca="1"/>
        <v>Bad</v>
      </c>
    </row>
    <row r="2557" spans="2:34">
      <c r="B2557" s="2">
        <f ca="1"/>
        <v>0.81015053627640254</v>
      </c>
      <c r="O2557" s="2">
        <f ca="1"/>
        <v>1.0461624901462054</v>
      </c>
      <c r="X2557" s="2">
        <f ca="1"/>
        <v>43.033180440338953</v>
      </c>
      <c r="AG2557" s="2">
        <f ca="1"/>
        <v>0.36356998136300622</v>
      </c>
      <c r="AH2557" s="2" t="str">
        <f ca="1"/>
        <v>OK</v>
      </c>
    </row>
    <row r="2558" spans="2:34">
      <c r="B2558" s="2">
        <f ca="1"/>
        <v>0.61204318610240471</v>
      </c>
      <c r="O2558" s="2">
        <f ca="1"/>
        <v>-1.6115929750370719</v>
      </c>
      <c r="X2558" s="2">
        <f ca="1"/>
        <v>49.681113488539694</v>
      </c>
      <c r="AG2558" s="2">
        <f ca="1"/>
        <v>0.15503145434013055</v>
      </c>
      <c r="AH2558" s="2" t="str">
        <f ca="1"/>
        <v>OK</v>
      </c>
    </row>
    <row r="2559" spans="2:34">
      <c r="B2559" s="2">
        <f ca="1"/>
        <v>0.70125587708322912</v>
      </c>
      <c r="O2559" s="2">
        <f ca="1"/>
        <v>-1.5288466286800715</v>
      </c>
      <c r="X2559" s="2">
        <f ca="1"/>
        <v>46.257304975367013</v>
      </c>
      <c r="AG2559" s="2">
        <f ca="1"/>
        <v>0.37535762095423841</v>
      </c>
      <c r="AH2559" s="2" t="str">
        <f ca="1"/>
        <v>OK</v>
      </c>
    </row>
    <row r="2560" spans="2:34">
      <c r="B2560" s="2">
        <f ca="1"/>
        <v>0.27807722996803097</v>
      </c>
      <c r="O2560" s="2">
        <f ca="1"/>
        <v>0.73725413893109604</v>
      </c>
      <c r="X2560" s="2">
        <f ca="1"/>
        <v>25.511128573483624</v>
      </c>
      <c r="AG2560" s="2">
        <f ca="1"/>
        <v>0.76116014025628553</v>
      </c>
      <c r="AH2560" s="2" t="str">
        <f ca="1"/>
        <v>Bad</v>
      </c>
    </row>
    <row r="2561" spans="2:34">
      <c r="B2561" s="2">
        <f ca="1"/>
        <v>5.4627236901426457E-2</v>
      </c>
      <c r="O2561" s="2">
        <f ca="1"/>
        <v>-1.7026630155024265E-2</v>
      </c>
      <c r="X2561" s="2">
        <f ca="1"/>
        <v>49.252774157663346</v>
      </c>
      <c r="AG2561" s="2">
        <f ca="1"/>
        <v>0.12221703721076072</v>
      </c>
      <c r="AH2561" s="2" t="str">
        <f ca="1"/>
        <v>OK</v>
      </c>
    </row>
    <row r="2562" spans="2:34">
      <c r="B2562" s="2">
        <f ca="1"/>
        <v>0.7354032059771356</v>
      </c>
      <c r="O2562" s="2">
        <f ca="1"/>
        <v>-0.49572499447121776</v>
      </c>
      <c r="X2562" s="2">
        <f ca="1"/>
        <v>40.351326766501565</v>
      </c>
      <c r="AG2562" s="2">
        <f ca="1"/>
        <v>0.685613676181966</v>
      </c>
      <c r="AH2562" s="2" t="str">
        <f ca="1"/>
        <v>Bad</v>
      </c>
    </row>
    <row r="2563" spans="2:34">
      <c r="B2563" s="2">
        <f ca="1"/>
        <v>0.70816578238084649</v>
      </c>
      <c r="O2563" s="2">
        <f ca="1"/>
        <v>-0.39645008810816978</v>
      </c>
      <c r="X2563" s="2">
        <f ca="1"/>
        <v>46.725609212213961</v>
      </c>
      <c r="AG2563" s="2">
        <f ca="1"/>
        <v>0.79473823840130908</v>
      </c>
      <c r="AH2563" s="2" t="str">
        <f ca="1"/>
        <v>Bad</v>
      </c>
    </row>
    <row r="2564" spans="2:34">
      <c r="B2564" s="2">
        <f ca="1"/>
        <v>0.97433668251654115</v>
      </c>
      <c r="O2564" s="2">
        <f ca="1"/>
        <v>-0.24858622985070333</v>
      </c>
      <c r="X2564" s="2">
        <f ca="1"/>
        <v>42.933543937335791</v>
      </c>
      <c r="AG2564" s="2">
        <f ca="1"/>
        <v>0.15934416140327046</v>
      </c>
      <c r="AH2564" s="2" t="str">
        <f ca="1"/>
        <v>OK</v>
      </c>
    </row>
    <row r="2565" spans="2:34">
      <c r="B2565" s="2">
        <f ca="1"/>
        <v>0.96684916613887051</v>
      </c>
      <c r="O2565" s="2">
        <f ca="1"/>
        <v>0.20892708832687057</v>
      </c>
      <c r="X2565" s="2">
        <f ca="1"/>
        <v>26.97017753580241</v>
      </c>
      <c r="AG2565" s="2">
        <f ca="1"/>
        <v>0.76753284506677866</v>
      </c>
      <c r="AH2565" s="2" t="str">
        <f ca="1"/>
        <v>Bad</v>
      </c>
    </row>
    <row r="2566" spans="2:34">
      <c r="B2566" s="2">
        <f ca="1"/>
        <v>0.1454287199491997</v>
      </c>
      <c r="O2566" s="2">
        <f ca="1"/>
        <v>1.3979146688122215</v>
      </c>
      <c r="X2566" s="2">
        <f ca="1"/>
        <v>31.058219691417218</v>
      </c>
      <c r="AG2566" s="2">
        <f ca="1"/>
        <v>0.74599035740869857</v>
      </c>
      <c r="AH2566" s="2" t="str">
        <f ca="1"/>
        <v>Bad</v>
      </c>
    </row>
    <row r="2567" spans="2:34">
      <c r="B2567" s="2">
        <f ca="1"/>
        <v>8.9018067297106374E-3</v>
      </c>
      <c r="O2567" s="2">
        <f ca="1"/>
        <v>-1.019117189142956</v>
      </c>
      <c r="X2567" s="2">
        <f ca="1"/>
        <v>42.934753437717347</v>
      </c>
      <c r="AG2567" s="2">
        <f ca="1"/>
        <v>0.77694534699511886</v>
      </c>
      <c r="AH2567" s="2" t="str">
        <f ca="1"/>
        <v>Bad</v>
      </c>
    </row>
    <row r="2568" spans="2:34">
      <c r="B2568" s="2">
        <f ca="1"/>
        <v>0.12904227960524106</v>
      </c>
      <c r="O2568" s="2">
        <f ca="1"/>
        <v>-1.3853646008524358</v>
      </c>
      <c r="X2568" s="2">
        <f ca="1"/>
        <v>81.208073309251688</v>
      </c>
      <c r="AG2568" s="2">
        <f ca="1"/>
        <v>0.32880705785337172</v>
      </c>
      <c r="AH2568" s="2" t="str">
        <f ca="1"/>
        <v>OK</v>
      </c>
    </row>
    <row r="2569" spans="2:34">
      <c r="B2569" s="2">
        <f ca="1"/>
        <v>0.87307666639802539</v>
      </c>
      <c r="O2569" s="2">
        <f ca="1"/>
        <v>1.5776417109608512</v>
      </c>
      <c r="X2569" s="2">
        <f ca="1"/>
        <v>86.2315779811357</v>
      </c>
      <c r="AG2569" s="2">
        <f ca="1"/>
        <v>0.52125748094576263</v>
      </c>
      <c r="AH2569" s="2" t="str">
        <f ca="1"/>
        <v>Bad</v>
      </c>
    </row>
    <row r="2570" spans="2:34">
      <c r="B2570" s="2">
        <f ca="1"/>
        <v>0.93457637337874866</v>
      </c>
      <c r="O2570" s="2">
        <f ca="1"/>
        <v>0.71627166826698285</v>
      </c>
      <c r="X2570" s="2">
        <f ca="1"/>
        <v>51.851938923321754</v>
      </c>
      <c r="AG2570" s="2">
        <f ca="1"/>
        <v>0.49291016018291089</v>
      </c>
      <c r="AH2570" s="2" t="str">
        <f ca="1"/>
        <v>Bad</v>
      </c>
    </row>
    <row r="2571" spans="2:34">
      <c r="B2571" s="2">
        <f ca="1"/>
        <v>0.13700488569892166</v>
      </c>
      <c r="O2571" s="2">
        <f ca="1"/>
        <v>-0.47752746689621067</v>
      </c>
      <c r="X2571" s="2">
        <f ca="1"/>
        <v>50.985210845035233</v>
      </c>
      <c r="AG2571" s="2">
        <f ca="1"/>
        <v>0.68948561236775352</v>
      </c>
      <c r="AH2571" s="2" t="str">
        <f ca="1"/>
        <v>Bad</v>
      </c>
    </row>
    <row r="2572" spans="2:34">
      <c r="B2572" s="2">
        <f ca="1"/>
        <v>0.51325840656691968</v>
      </c>
      <c r="O2572" s="2">
        <f ca="1"/>
        <v>0.25609281412849494</v>
      </c>
      <c r="X2572" s="2">
        <f ca="1"/>
        <v>46.780805258028352</v>
      </c>
      <c r="AG2572" s="2">
        <f ca="1"/>
        <v>8.1054628883441726E-2</v>
      </c>
      <c r="AH2572" s="2" t="str">
        <f ca="1"/>
        <v>OK</v>
      </c>
    </row>
    <row r="2573" spans="2:34">
      <c r="B2573" s="2">
        <f ca="1"/>
        <v>0.4663751001009524</v>
      </c>
      <c r="O2573" s="2">
        <f ca="1"/>
        <v>-0.6280892397605311</v>
      </c>
      <c r="X2573" s="2">
        <f ca="1"/>
        <v>47.055058297138046</v>
      </c>
      <c r="AG2573" s="2">
        <f ca="1"/>
        <v>0.31242000109908186</v>
      </c>
      <c r="AH2573" s="2" t="str">
        <f ca="1"/>
        <v>OK</v>
      </c>
    </row>
    <row r="2574" spans="2:34">
      <c r="B2574" s="2">
        <f ca="1"/>
        <v>7.413778152239292E-2</v>
      </c>
      <c r="O2574" s="2">
        <f ca="1"/>
        <v>0.96656727207462945</v>
      </c>
      <c r="X2574" s="2">
        <f ca="1"/>
        <v>48.924624587366601</v>
      </c>
      <c r="AG2574" s="2">
        <f ca="1"/>
        <v>3.2466275260076172E-2</v>
      </c>
      <c r="AH2574" s="2" t="str">
        <f ca="1"/>
        <v>Good</v>
      </c>
    </row>
    <row r="2575" spans="2:34">
      <c r="B2575" s="2">
        <f ca="1"/>
        <v>8.3024976466929079E-2</v>
      </c>
      <c r="O2575" s="2">
        <f ca="1"/>
        <v>-1.9505433473826701</v>
      </c>
      <c r="X2575" s="2">
        <f ca="1"/>
        <v>57.53164743205506</v>
      </c>
      <c r="AG2575" s="2">
        <f ca="1"/>
        <v>0.60407844518342424</v>
      </c>
      <c r="AH2575" s="2" t="str">
        <f ca="1"/>
        <v>Bad</v>
      </c>
    </row>
    <row r="2576" spans="2:34">
      <c r="B2576" s="2">
        <f ca="1"/>
        <v>0.52400762567628245</v>
      </c>
      <c r="O2576" s="2">
        <f ca="1"/>
        <v>0.4874395357977363</v>
      </c>
      <c r="X2576" s="2">
        <f ca="1"/>
        <v>76.295036498568166</v>
      </c>
      <c r="AG2576" s="2">
        <f ca="1"/>
        <v>0.62816205915803969</v>
      </c>
      <c r="AH2576" s="2" t="str">
        <f ca="1"/>
        <v>Bad</v>
      </c>
    </row>
    <row r="2577" spans="2:34">
      <c r="B2577" s="2">
        <f ca="1"/>
        <v>0.20168385214786366</v>
      </c>
      <c r="O2577" s="2">
        <f ca="1"/>
        <v>-0.18407080784988358</v>
      </c>
      <c r="X2577" s="2">
        <f ca="1"/>
        <v>44.38363538009429</v>
      </c>
      <c r="AG2577" s="2">
        <f ca="1"/>
        <v>0.58184595543609552</v>
      </c>
      <c r="AH2577" s="2" t="str">
        <f ca="1"/>
        <v>Bad</v>
      </c>
    </row>
    <row r="2578" spans="2:34">
      <c r="B2578" s="2">
        <f ca="1"/>
        <v>0.78344590142752701</v>
      </c>
      <c r="O2578" s="2">
        <f ca="1"/>
        <v>0.98177338768351285</v>
      </c>
      <c r="X2578" s="2">
        <f ca="1"/>
        <v>40.359275438154292</v>
      </c>
      <c r="AG2578" s="2">
        <f ca="1"/>
        <v>0.71044868646916348</v>
      </c>
      <c r="AH2578" s="2" t="str">
        <f ca="1"/>
        <v>Bad</v>
      </c>
    </row>
    <row r="2579" spans="2:34">
      <c r="B2579" s="2">
        <f ca="1"/>
        <v>0.94747738282808647</v>
      </c>
      <c r="O2579" s="2">
        <f ca="1"/>
        <v>0.24470842783741026</v>
      </c>
      <c r="X2579" s="2">
        <f ca="1"/>
        <v>49.8494858770554</v>
      </c>
      <c r="AG2579" s="2">
        <f ca="1"/>
        <v>0.44022313878077579</v>
      </c>
      <c r="AH2579" s="2" t="str">
        <f ca="1"/>
        <v>Bad</v>
      </c>
    </row>
    <row r="2580" spans="2:34">
      <c r="B2580" s="2">
        <f ca="1"/>
        <v>6.3788522021583249E-2</v>
      </c>
      <c r="O2580" s="2">
        <f ca="1"/>
        <v>1.6232785700066701</v>
      </c>
      <c r="X2580" s="2">
        <f ca="1"/>
        <v>43.664430209561445</v>
      </c>
      <c r="AG2580" s="2">
        <f ca="1"/>
        <v>0.77345083549020344</v>
      </c>
      <c r="AH2580" s="2" t="str">
        <f ca="1"/>
        <v>Bad</v>
      </c>
    </row>
    <row r="2581" spans="2:34">
      <c r="B2581" s="2">
        <f ca="1"/>
        <v>0.5588966052779083</v>
      </c>
      <c r="O2581" s="2">
        <f ca="1"/>
        <v>-0.23922847067164429</v>
      </c>
      <c r="X2581" s="2">
        <f ca="1"/>
        <v>45.969444312411142</v>
      </c>
      <c r="AG2581" s="2">
        <f ca="1"/>
        <v>0.18933886546011292</v>
      </c>
      <c r="AH2581" s="2" t="str">
        <f ca="1"/>
        <v>OK</v>
      </c>
    </row>
    <row r="2582" spans="2:34">
      <c r="B2582" s="2">
        <f ca="1"/>
        <v>0.27816352347873008</v>
      </c>
      <c r="O2582" s="2">
        <f ca="1"/>
        <v>1.2033635066146127</v>
      </c>
      <c r="X2582" s="2">
        <f ca="1"/>
        <v>79.027161359249533</v>
      </c>
      <c r="AG2582" s="2">
        <f ca="1"/>
        <v>6.2690046860940374E-2</v>
      </c>
      <c r="AH2582" s="2" t="str">
        <f ca="1"/>
        <v>OK</v>
      </c>
    </row>
    <row r="2583" spans="2:34">
      <c r="B2583" s="2">
        <f ca="1"/>
        <v>2.2616564296346731E-2</v>
      </c>
      <c r="O2583" s="2">
        <f ca="1"/>
        <v>-1.2705277348167285</v>
      </c>
      <c r="X2583" s="2">
        <f ca="1"/>
        <v>81.002695126688366</v>
      </c>
      <c r="AG2583" s="2">
        <f ca="1"/>
        <v>0.18307212719259613</v>
      </c>
      <c r="AH2583" s="2" t="str">
        <f ca="1"/>
        <v>OK</v>
      </c>
    </row>
    <row r="2584" spans="2:34">
      <c r="B2584" s="2">
        <f ca="1"/>
        <v>0.81529131885249928</v>
      </c>
      <c r="O2584" s="2">
        <f ca="1"/>
        <v>-0.79964640721812519</v>
      </c>
      <c r="X2584" s="2">
        <f ca="1"/>
        <v>90.23963479607022</v>
      </c>
      <c r="AG2584" s="2">
        <f ca="1"/>
        <v>0.71196674183521114</v>
      </c>
      <c r="AH2584" s="2" t="str">
        <f ca="1"/>
        <v>Bad</v>
      </c>
    </row>
    <row r="2585" spans="2:34">
      <c r="B2585" s="2">
        <f ca="1"/>
        <v>0.66210779030415212</v>
      </c>
      <c r="O2585" s="2">
        <f ca="1"/>
        <v>-0.19298986612689345</v>
      </c>
      <c r="X2585" s="2">
        <f ca="1"/>
        <v>51.660982788897414</v>
      </c>
      <c r="AG2585" s="2">
        <f ca="1"/>
        <v>0.38803639249516286</v>
      </c>
      <c r="AH2585" s="2" t="str">
        <f ca="1"/>
        <v>OK</v>
      </c>
    </row>
    <row r="2586" spans="2:34">
      <c r="B2586" s="2">
        <f ca="1"/>
        <v>0.97504638249343834</v>
      </c>
      <c r="O2586" s="2">
        <f ca="1"/>
        <v>0.14324264013528179</v>
      </c>
      <c r="X2586" s="2">
        <f ca="1"/>
        <v>86.911533259786893</v>
      </c>
      <c r="AG2586" s="2">
        <f ca="1"/>
        <v>0.32332058387088658</v>
      </c>
      <c r="AH2586" s="2" t="str">
        <f ca="1"/>
        <v>OK</v>
      </c>
    </row>
    <row r="2587" spans="2:34">
      <c r="B2587" s="2">
        <f ca="1"/>
        <v>8.6434103745502977E-2</v>
      </c>
      <c r="O2587" s="2">
        <f ca="1"/>
        <v>0.10439589817339251</v>
      </c>
      <c r="X2587" s="2">
        <f ca="1"/>
        <v>60.392087593478003</v>
      </c>
      <c r="AG2587" s="2">
        <f ca="1"/>
        <v>3.4355252431061301E-2</v>
      </c>
      <c r="AH2587" s="2" t="str">
        <f ca="1"/>
        <v>Good</v>
      </c>
    </row>
    <row r="2588" spans="2:34">
      <c r="B2588" s="2">
        <f ca="1"/>
        <v>0.26034574762256613</v>
      </c>
      <c r="O2588" s="2">
        <f ca="1"/>
        <v>-0.32706527428290333</v>
      </c>
      <c r="X2588" s="2">
        <f ca="1"/>
        <v>89.663011418621664</v>
      </c>
      <c r="AG2588" s="2">
        <f ca="1"/>
        <v>0.12579250421444166</v>
      </c>
      <c r="AH2588" s="2" t="str">
        <f ca="1"/>
        <v>OK</v>
      </c>
    </row>
    <row r="2589" spans="2:34">
      <c r="B2589" s="2">
        <f ca="1"/>
        <v>4.9543876563446165E-2</v>
      </c>
      <c r="O2589" s="2">
        <f ca="1"/>
        <v>-1.519110571714883</v>
      </c>
      <c r="X2589" s="2">
        <f ca="1"/>
        <v>41.418152996570576</v>
      </c>
      <c r="AG2589" s="2">
        <f ca="1"/>
        <v>0.59375462204506713</v>
      </c>
      <c r="AH2589" s="2" t="str">
        <f ca="1"/>
        <v>Bad</v>
      </c>
    </row>
    <row r="2590" spans="2:34">
      <c r="B2590" s="2">
        <f ca="1"/>
        <v>8.4622804304572918E-2</v>
      </c>
      <c r="O2590" s="2">
        <f ca="1"/>
        <v>-0.76971603346309303</v>
      </c>
      <c r="X2590" s="2">
        <f ca="1"/>
        <v>39.757071654906774</v>
      </c>
      <c r="AG2590" s="2">
        <f ca="1"/>
        <v>0.70859653324918614</v>
      </c>
      <c r="AH2590" s="2" t="str">
        <f ca="1"/>
        <v>Bad</v>
      </c>
    </row>
    <row r="2591" spans="2:34">
      <c r="B2591" s="2">
        <f ca="1"/>
        <v>0.82858703291575853</v>
      </c>
      <c r="O2591" s="2">
        <f ca="1"/>
        <v>1.1831842379584667</v>
      </c>
      <c r="X2591" s="2">
        <f ca="1"/>
        <v>87.255118076497325</v>
      </c>
      <c r="AG2591" s="2">
        <f ca="1"/>
        <v>0.50851211912165173</v>
      </c>
      <c r="AH2591" s="2" t="str">
        <f ca="1"/>
        <v>Bad</v>
      </c>
    </row>
    <row r="2592" spans="2:34">
      <c r="B2592" s="2">
        <f ca="1"/>
        <v>3.8742623042080648E-3</v>
      </c>
      <c r="O2592" s="2">
        <f ca="1"/>
        <v>-1.3564158765889245</v>
      </c>
      <c r="X2592" s="2">
        <f ca="1"/>
        <v>23.53878725854695</v>
      </c>
      <c r="AG2592" s="2">
        <f ca="1"/>
        <v>0.58721652811792535</v>
      </c>
      <c r="AH2592" s="2" t="str">
        <f ca="1"/>
        <v>Bad</v>
      </c>
    </row>
    <row r="2593" spans="2:34">
      <c r="B2593" s="2">
        <f ca="1"/>
        <v>0.65381199588598005</v>
      </c>
      <c r="O2593" s="2">
        <f ca="1"/>
        <v>0.73698771829538035</v>
      </c>
      <c r="X2593" s="2">
        <f ca="1"/>
        <v>45.725224165396618</v>
      </c>
      <c r="AG2593" s="2">
        <f ca="1"/>
        <v>0.99183837083875015</v>
      </c>
      <c r="AH2593" s="2" t="str">
        <f ca="1"/>
        <v>Bad</v>
      </c>
    </row>
    <row r="2594" spans="2:34">
      <c r="B2594" s="2">
        <f ca="1"/>
        <v>0.58841833910596919</v>
      </c>
      <c r="O2594" s="2">
        <f ca="1"/>
        <v>-0.73104856667681817</v>
      </c>
      <c r="X2594" s="2">
        <f ca="1"/>
        <v>53.247630482898167</v>
      </c>
      <c r="AG2594" s="2">
        <f ca="1"/>
        <v>5.4475794378593623E-2</v>
      </c>
      <c r="AH2594" s="2" t="str">
        <f ca="1"/>
        <v>OK</v>
      </c>
    </row>
    <row r="2595" spans="2:34">
      <c r="B2595" s="2">
        <f ca="1"/>
        <v>7.73959769668493E-2</v>
      </c>
      <c r="O2595" s="2">
        <f ca="1"/>
        <v>-0.79259626092772995</v>
      </c>
      <c r="X2595" s="2">
        <f ca="1"/>
        <v>53.607423421995016</v>
      </c>
      <c r="AG2595" s="2">
        <f ca="1"/>
        <v>0.29307456382041153</v>
      </c>
      <c r="AH2595" s="2" t="str">
        <f ca="1"/>
        <v>OK</v>
      </c>
    </row>
    <row r="2596" spans="2:34">
      <c r="B2596" s="2">
        <f ca="1"/>
        <v>0.94105166583168698</v>
      </c>
      <c r="O2596" s="2">
        <f ca="1"/>
        <v>-0.48672885511047226</v>
      </c>
      <c r="X2596" s="2">
        <f ca="1"/>
        <v>46.023661973865977</v>
      </c>
      <c r="AG2596" s="2">
        <f ca="1"/>
        <v>0.12584330443403102</v>
      </c>
      <c r="AH2596" s="2" t="str">
        <f ca="1"/>
        <v>OK</v>
      </c>
    </row>
    <row r="2597" spans="2:34">
      <c r="B2597" s="2">
        <f ca="1"/>
        <v>0.30904080741554152</v>
      </c>
      <c r="O2597" s="2">
        <f ca="1"/>
        <v>-0.63070905634540153</v>
      </c>
      <c r="X2597" s="2">
        <f ca="1"/>
        <v>27.631056210020901</v>
      </c>
      <c r="AG2597" s="2">
        <f ca="1"/>
        <v>0.20255864936502355</v>
      </c>
      <c r="AH2597" s="2" t="str">
        <f ca="1"/>
        <v>OK</v>
      </c>
    </row>
    <row r="2598" spans="2:34">
      <c r="B2598" s="2">
        <f ca="1"/>
        <v>0.85505168184019165</v>
      </c>
      <c r="O2598" s="2">
        <f ca="1"/>
        <v>-6.2412165106913768E-2</v>
      </c>
      <c r="X2598" s="2">
        <f ca="1"/>
        <v>49.334494375523327</v>
      </c>
      <c r="AG2598" s="2">
        <f ca="1"/>
        <v>0.19713073599049857</v>
      </c>
      <c r="AH2598" s="2" t="str">
        <f ca="1"/>
        <v>OK</v>
      </c>
    </row>
    <row r="2599" spans="2:34">
      <c r="B2599" s="2">
        <f ca="1"/>
        <v>0.83508217434109344</v>
      </c>
      <c r="O2599" s="2">
        <f ca="1"/>
        <v>1.0634861444512331</v>
      </c>
      <c r="X2599" s="2">
        <f ca="1"/>
        <v>53.631749289636346</v>
      </c>
      <c r="AG2599" s="2">
        <f ca="1"/>
        <v>0.26097396916402049</v>
      </c>
      <c r="AH2599" s="2" t="str">
        <f ca="1"/>
        <v>OK</v>
      </c>
    </row>
    <row r="2600" spans="2:34">
      <c r="B2600" s="2">
        <f ca="1"/>
        <v>0.78133544962408541</v>
      </c>
      <c r="O2600" s="2">
        <f ca="1"/>
        <v>-0.54515277534861661</v>
      </c>
      <c r="X2600" s="2">
        <f ca="1"/>
        <v>27.039398768863823</v>
      </c>
      <c r="AG2600" s="2">
        <f ca="1"/>
        <v>0.61799770912529284</v>
      </c>
      <c r="AH2600" s="2" t="str">
        <f ca="1"/>
        <v>Bad</v>
      </c>
    </row>
    <row r="2601" spans="2:34">
      <c r="B2601" s="2">
        <f ca="1"/>
        <v>0.79662375405658237</v>
      </c>
      <c r="O2601" s="2">
        <f ca="1"/>
        <v>-1.3582530782282103</v>
      </c>
      <c r="X2601" s="2">
        <f ca="1"/>
        <v>56.89462114066334</v>
      </c>
      <c r="AG2601" s="2">
        <f ca="1"/>
        <v>0.91441473586710309</v>
      </c>
      <c r="AH2601" s="2" t="str">
        <f ca="1"/>
        <v>Bad</v>
      </c>
    </row>
    <row r="2602" spans="2:34">
      <c r="B2602" s="2">
        <f ca="1"/>
        <v>0.85792951216955071</v>
      </c>
      <c r="O2602" s="2">
        <f ca="1"/>
        <v>0.64802375283917013</v>
      </c>
      <c r="X2602" s="2">
        <f ca="1"/>
        <v>47.466988132414009</v>
      </c>
      <c r="AG2602" s="2">
        <f ca="1"/>
        <v>0.79430457740796645</v>
      </c>
      <c r="AH2602" s="2" t="str">
        <f ca="1"/>
        <v>Bad</v>
      </c>
    </row>
    <row r="2603" spans="2:34">
      <c r="B2603" s="2">
        <f ca="1"/>
        <v>0.22880723127425151</v>
      </c>
      <c r="O2603" s="2">
        <f ca="1"/>
        <v>-1.2421500476066727</v>
      </c>
      <c r="X2603" s="2">
        <f ca="1"/>
        <v>60.872105720041304</v>
      </c>
      <c r="AG2603" s="2">
        <f ca="1"/>
        <v>0.99537981660624641</v>
      </c>
      <c r="AH2603" s="2" t="str">
        <f ca="1"/>
        <v>Bad</v>
      </c>
    </row>
    <row r="2604" spans="2:34">
      <c r="B2604" s="2">
        <f ca="1"/>
        <v>0.67816074637484181</v>
      </c>
      <c r="O2604" s="2">
        <f ca="1"/>
        <v>-0.15955659476397543</v>
      </c>
      <c r="X2604" s="2">
        <f ca="1"/>
        <v>56.618459112209308</v>
      </c>
      <c r="AG2604" s="2">
        <f ca="1"/>
        <v>0.35621855031199212</v>
      </c>
      <c r="AH2604" s="2" t="str">
        <f ca="1"/>
        <v>OK</v>
      </c>
    </row>
    <row r="2605" spans="2:34">
      <c r="B2605" s="2">
        <f ca="1"/>
        <v>0.84891304987686067</v>
      </c>
      <c r="O2605" s="2">
        <f ca="1"/>
        <v>0.67260996006938067</v>
      </c>
      <c r="X2605" s="2">
        <f ca="1"/>
        <v>68.396868769044474</v>
      </c>
      <c r="AG2605" s="2">
        <f ca="1"/>
        <v>0.20547818043539468</v>
      </c>
      <c r="AH2605" s="2" t="str">
        <f ca="1"/>
        <v>OK</v>
      </c>
    </row>
    <row r="2606" spans="2:34">
      <c r="B2606" s="2">
        <f ca="1"/>
        <v>0.50469735664746884</v>
      </c>
      <c r="O2606" s="2">
        <f ca="1"/>
        <v>-8.004176738637056E-3</v>
      </c>
      <c r="X2606" s="2">
        <f ca="1"/>
        <v>47.169324263978808</v>
      </c>
      <c r="AG2606" s="2">
        <f ca="1"/>
        <v>0.37007409052026641</v>
      </c>
      <c r="AH2606" s="2" t="str">
        <f ca="1"/>
        <v>OK</v>
      </c>
    </row>
    <row r="2607" spans="2:34">
      <c r="B2607" s="2">
        <f ca="1"/>
        <v>0.58416169518344097</v>
      </c>
      <c r="O2607" s="2">
        <f ca="1"/>
        <v>-0.86386296031457055</v>
      </c>
      <c r="X2607" s="2">
        <f ca="1"/>
        <v>66.377188903303178</v>
      </c>
      <c r="AG2607" s="2">
        <f ca="1"/>
        <v>0.32092933171537963</v>
      </c>
      <c r="AH2607" s="2" t="str">
        <f ca="1"/>
        <v>OK</v>
      </c>
    </row>
    <row r="2608" spans="2:34">
      <c r="B2608" s="2">
        <f ca="1"/>
        <v>0.2731533778647306</v>
      </c>
      <c r="O2608" s="2">
        <f ca="1"/>
        <v>0.17291915145018286</v>
      </c>
      <c r="X2608" s="2">
        <f ca="1"/>
        <v>31.110387370231031</v>
      </c>
      <c r="AG2608" s="2">
        <f ca="1"/>
        <v>0.28441666104342311</v>
      </c>
      <c r="AH2608" s="2" t="str">
        <f ca="1"/>
        <v>OK</v>
      </c>
    </row>
    <row r="2609" spans="2:34">
      <c r="B2609" s="2">
        <f ca="1"/>
        <v>0.44100479849629859</v>
      </c>
      <c r="O2609" s="2">
        <f ca="1"/>
        <v>-0.10402276127227261</v>
      </c>
      <c r="X2609" s="2">
        <f ca="1"/>
        <v>67.170968494714614</v>
      </c>
      <c r="AG2609" s="2">
        <f ca="1"/>
        <v>0.44819114875610944</v>
      </c>
      <c r="AH2609" s="2" t="str">
        <f ca="1"/>
        <v>Bad</v>
      </c>
    </row>
    <row r="2610" spans="2:34">
      <c r="B2610" s="2">
        <f ca="1"/>
        <v>0.74993375353549174</v>
      </c>
      <c r="O2610" s="2">
        <f ca="1"/>
        <v>0.14144950874099879</v>
      </c>
      <c r="X2610" s="2">
        <f ca="1"/>
        <v>37.568091167739382</v>
      </c>
      <c r="AG2610" s="2">
        <f ca="1"/>
        <v>0.97717111068377216</v>
      </c>
      <c r="AH2610" s="2" t="str">
        <f ca="1"/>
        <v>Bad</v>
      </c>
    </row>
    <row r="2611" spans="2:34">
      <c r="B2611" s="2">
        <f ca="1"/>
        <v>0.36974471802984676</v>
      </c>
      <c r="O2611" s="2">
        <f ca="1"/>
        <v>-0.77020808493865567</v>
      </c>
      <c r="X2611" s="2">
        <f ca="1"/>
        <v>56.783179404567818</v>
      </c>
      <c r="AG2611" s="2">
        <f ca="1"/>
        <v>0.37289148190010901</v>
      </c>
      <c r="AH2611" s="2" t="str">
        <f ca="1"/>
        <v>OK</v>
      </c>
    </row>
    <row r="2612" spans="2:34">
      <c r="B2612" s="2">
        <f ca="1"/>
        <v>0.86877689794432111</v>
      </c>
      <c r="O2612" s="2">
        <f ca="1"/>
        <v>0.51260143616460108</v>
      </c>
      <c r="X2612" s="2">
        <f ca="1"/>
        <v>25.431513515878635</v>
      </c>
      <c r="AG2612" s="2">
        <f ca="1"/>
        <v>0.6456904072920886</v>
      </c>
      <c r="AH2612" s="2" t="str">
        <f ca="1"/>
        <v>Bad</v>
      </c>
    </row>
    <row r="2613" spans="2:34">
      <c r="B2613" s="2">
        <f ca="1"/>
        <v>0.16505952942110369</v>
      </c>
      <c r="O2613" s="2">
        <f ca="1"/>
        <v>-1.0531567115486282</v>
      </c>
      <c r="X2613" s="2">
        <f ca="1"/>
        <v>50.420974174689022</v>
      </c>
      <c r="AG2613" s="2">
        <f ca="1"/>
        <v>0.37968136139823616</v>
      </c>
      <c r="AH2613" s="2" t="str">
        <f ca="1"/>
        <v>OK</v>
      </c>
    </row>
    <row r="2614" spans="2:34">
      <c r="B2614" s="2">
        <f ca="1"/>
        <v>5.8230266800209707E-2</v>
      </c>
      <c r="O2614" s="2">
        <f ca="1"/>
        <v>0.35613704167805549</v>
      </c>
      <c r="X2614" s="2">
        <f ca="1"/>
        <v>39.741185310126582</v>
      </c>
      <c r="AG2614" s="2">
        <f ca="1"/>
        <v>0.84122263153014298</v>
      </c>
      <c r="AH2614" s="2" t="str">
        <f ca="1"/>
        <v>Bad</v>
      </c>
    </row>
    <row r="2615" spans="2:34">
      <c r="B2615" s="2">
        <f ca="1"/>
        <v>2.6867016038143454E-2</v>
      </c>
      <c r="O2615" s="2">
        <f ca="1"/>
        <v>1.6446399423395288</v>
      </c>
      <c r="X2615" s="2">
        <f ca="1"/>
        <v>58.401803314638684</v>
      </c>
      <c r="AG2615" s="2">
        <f ca="1"/>
        <v>0.41393954951542167</v>
      </c>
      <c r="AH2615" s="2" t="str">
        <f ca="1"/>
        <v>Bad</v>
      </c>
    </row>
    <row r="2616" spans="2:34">
      <c r="B2616" s="2">
        <f ca="1"/>
        <v>0.61245329644911051</v>
      </c>
      <c r="O2616" s="2">
        <f ca="1"/>
        <v>0.84612311530460105</v>
      </c>
      <c r="X2616" s="2">
        <f ca="1"/>
        <v>54.68479376768839</v>
      </c>
      <c r="AG2616" s="2">
        <f ca="1"/>
        <v>0.31943523800910234</v>
      </c>
      <c r="AH2616" s="2" t="str">
        <f ca="1"/>
        <v>OK</v>
      </c>
    </row>
    <row r="2617" spans="2:34">
      <c r="B2617" s="2">
        <f ca="1"/>
        <v>0.70349041609423235</v>
      </c>
      <c r="O2617" s="2">
        <f ca="1"/>
        <v>-1.1329813429792401</v>
      </c>
      <c r="X2617" s="2">
        <f ca="1"/>
        <v>39.083463697618519</v>
      </c>
      <c r="AG2617" s="2">
        <f ca="1"/>
        <v>0.61797349528699752</v>
      </c>
      <c r="AH2617" s="2" t="str">
        <f ca="1"/>
        <v>Bad</v>
      </c>
    </row>
    <row r="2618" spans="2:34">
      <c r="B2618" s="2">
        <f ca="1"/>
        <v>0.26910616962928735</v>
      </c>
      <c r="O2618" s="2">
        <f ca="1"/>
        <v>-0.51336843791756881</v>
      </c>
      <c r="X2618" s="2">
        <f ca="1"/>
        <v>50.839848797240911</v>
      </c>
      <c r="AG2618" s="2">
        <f ca="1"/>
        <v>0.24677304804440214</v>
      </c>
      <c r="AH2618" s="2" t="str">
        <f ca="1"/>
        <v>OK</v>
      </c>
    </row>
    <row r="2619" spans="2:34">
      <c r="B2619" s="2">
        <f ca="1"/>
        <v>0.76553557086385671</v>
      </c>
      <c r="O2619" s="2">
        <f ca="1"/>
        <v>-1.4657252640823661</v>
      </c>
      <c r="X2619" s="2">
        <f ca="1"/>
        <v>51.934834395850558</v>
      </c>
      <c r="AG2619" s="2">
        <f ca="1"/>
        <v>0.45281547962914948</v>
      </c>
      <c r="AH2619" s="2" t="str">
        <f ca="1"/>
        <v>Bad</v>
      </c>
    </row>
    <row r="2620" spans="2:34">
      <c r="B2620" s="2">
        <f ca="1"/>
        <v>0.77878455017628867</v>
      </c>
      <c r="O2620" s="2">
        <f ca="1"/>
        <v>-0.84332594106601166</v>
      </c>
      <c r="X2620" s="2">
        <f ca="1"/>
        <v>42.242166723675112</v>
      </c>
      <c r="AG2620" s="2">
        <f ca="1"/>
        <v>0.22815956889026223</v>
      </c>
      <c r="AH2620" s="2" t="str">
        <f ca="1"/>
        <v>OK</v>
      </c>
    </row>
    <row r="2621" spans="2:34">
      <c r="B2621" s="2">
        <f ca="1"/>
        <v>0.58996051026488172</v>
      </c>
      <c r="O2621" s="2">
        <f ca="1"/>
        <v>0.78229609920654863</v>
      </c>
      <c r="X2621" s="2">
        <f ca="1"/>
        <v>40.118876953811686</v>
      </c>
      <c r="AG2621" s="2">
        <f ca="1"/>
        <v>0.50840505220662369</v>
      </c>
      <c r="AH2621" s="2" t="str">
        <f ca="1"/>
        <v>Bad</v>
      </c>
    </row>
    <row r="2622" spans="2:34">
      <c r="B2622" s="2">
        <f ca="1"/>
        <v>0.15614375330795971</v>
      </c>
      <c r="O2622" s="2">
        <f ca="1"/>
        <v>0.63981110127113094</v>
      </c>
      <c r="X2622" s="2">
        <f ca="1"/>
        <v>42.760457425855478</v>
      </c>
      <c r="AG2622" s="2">
        <f ca="1"/>
        <v>0.33407772944331882</v>
      </c>
      <c r="AH2622" s="2" t="str">
        <f ca="1"/>
        <v>OK</v>
      </c>
    </row>
    <row r="2623" spans="2:34">
      <c r="B2623" s="2">
        <f ca="1"/>
        <v>0.30437374860288324</v>
      </c>
      <c r="O2623" s="2">
        <f ca="1"/>
        <v>1.1802126901220791</v>
      </c>
      <c r="X2623" s="2">
        <f ca="1"/>
        <v>29.815108807417808</v>
      </c>
      <c r="AG2623" s="2">
        <f ca="1"/>
        <v>0.26217360232947717</v>
      </c>
      <c r="AH2623" s="2" t="str">
        <f ca="1"/>
        <v>OK</v>
      </c>
    </row>
    <row r="2624" spans="2:34">
      <c r="B2624" s="2">
        <f ca="1"/>
        <v>0.24398545681397654</v>
      </c>
      <c r="O2624" s="2">
        <f ca="1"/>
        <v>0.5341667577674678</v>
      </c>
      <c r="X2624" s="2">
        <f ca="1"/>
        <v>40.680967234748344</v>
      </c>
      <c r="AG2624" s="2">
        <f ca="1"/>
        <v>0.95641495204631388</v>
      </c>
      <c r="AH2624" s="2" t="str">
        <f ca="1"/>
        <v>Bad</v>
      </c>
    </row>
    <row r="2625" spans="2:34">
      <c r="B2625" s="2">
        <f ca="1"/>
        <v>0.6070306838481534</v>
      </c>
      <c r="O2625" s="2">
        <f ca="1"/>
        <v>-1.1182328441083131</v>
      </c>
      <c r="X2625" s="2">
        <f ca="1"/>
        <v>68.151039981305871</v>
      </c>
      <c r="AG2625" s="2">
        <f ca="1"/>
        <v>0.79876110883663021</v>
      </c>
      <c r="AH2625" s="2" t="str">
        <f ca="1"/>
        <v>Bad</v>
      </c>
    </row>
    <row r="2626" spans="2:34">
      <c r="B2626" s="2">
        <f ca="1"/>
        <v>0.8370751565707979</v>
      </c>
      <c r="O2626" s="2">
        <f ca="1"/>
        <v>-0.62595728951424612</v>
      </c>
      <c r="X2626" s="2">
        <f ca="1"/>
        <v>44.17250082197333</v>
      </c>
      <c r="AG2626" s="2">
        <f ca="1"/>
        <v>0.2303304555217891</v>
      </c>
      <c r="AH2626" s="2" t="str">
        <f ca="1"/>
        <v>OK</v>
      </c>
    </row>
    <row r="2627" spans="2:34">
      <c r="B2627" s="2">
        <f ca="1"/>
        <v>0.68365920960426974</v>
      </c>
      <c r="O2627" s="2">
        <f ca="1"/>
        <v>0.57860960349568535</v>
      </c>
      <c r="X2627" s="2">
        <f ca="1"/>
        <v>40.592369811755511</v>
      </c>
      <c r="AG2627" s="2">
        <f ca="1"/>
        <v>0.38503280137008855</v>
      </c>
      <c r="AH2627" s="2" t="str">
        <f ca="1"/>
        <v>OK</v>
      </c>
    </row>
    <row r="2628" spans="2:34">
      <c r="B2628" s="2">
        <f ca="1"/>
        <v>0.55905628309601529</v>
      </c>
      <c r="O2628" s="2">
        <f ca="1"/>
        <v>0.43265966656759053</v>
      </c>
      <c r="X2628" s="2">
        <f ca="1"/>
        <v>45.537609072102391</v>
      </c>
      <c r="AG2628" s="2">
        <f ca="1"/>
        <v>0.93218252953345848</v>
      </c>
      <c r="AH2628" s="2" t="str">
        <f ca="1"/>
        <v>Bad</v>
      </c>
    </row>
    <row r="2629" spans="2:34">
      <c r="B2629" s="2">
        <f ca="1"/>
        <v>0.88370909519522356</v>
      </c>
      <c r="O2629" s="2">
        <f ca="1"/>
        <v>-1.6585716849180143</v>
      </c>
      <c r="X2629" s="2">
        <f ca="1"/>
        <v>40.899749322361963</v>
      </c>
      <c r="AG2629" s="2">
        <f ca="1"/>
        <v>0.20034456869905659</v>
      </c>
      <c r="AH2629" s="2" t="str">
        <f ca="1"/>
        <v>OK</v>
      </c>
    </row>
    <row r="2630" spans="2:34">
      <c r="B2630" s="2">
        <f ca="1"/>
        <v>0.20095406647050629</v>
      </c>
      <c r="O2630" s="2">
        <f ca="1"/>
        <v>1.0922424325244779</v>
      </c>
      <c r="X2630" s="2">
        <f ca="1"/>
        <v>46.219563871277657</v>
      </c>
      <c r="AG2630" s="2">
        <f ca="1"/>
        <v>0.99531018923552494</v>
      </c>
      <c r="AH2630" s="2" t="str">
        <f ca="1"/>
        <v>Bad</v>
      </c>
    </row>
    <row r="2631" spans="2:34">
      <c r="B2631" s="2">
        <f ca="1"/>
        <v>0.44691481071945249</v>
      </c>
      <c r="O2631" s="2">
        <f ca="1"/>
        <v>-0.12158837796418087</v>
      </c>
      <c r="X2631" s="2">
        <f ca="1"/>
        <v>102.36689488958967</v>
      </c>
      <c r="AG2631" s="2">
        <f ca="1"/>
        <v>0.3631510299201206</v>
      </c>
      <c r="AH2631" s="2" t="str">
        <f ca="1"/>
        <v>OK</v>
      </c>
    </row>
    <row r="2632" spans="2:34">
      <c r="B2632" s="2">
        <f ca="1"/>
        <v>0.73183977769842246</v>
      </c>
      <c r="O2632" s="2">
        <f ca="1"/>
        <v>1.4169901200213064</v>
      </c>
      <c r="X2632" s="2">
        <f ca="1"/>
        <v>66.005090059998267</v>
      </c>
      <c r="AG2632" s="2">
        <f ca="1"/>
        <v>0.15736525009889402</v>
      </c>
      <c r="AH2632" s="2" t="str">
        <f ca="1"/>
        <v>OK</v>
      </c>
    </row>
    <row r="2633" spans="2:34">
      <c r="B2633" s="2">
        <f ca="1"/>
        <v>0.66135848617260895</v>
      </c>
      <c r="O2633" s="2">
        <f ca="1"/>
        <v>0.86492532980329517</v>
      </c>
      <c r="X2633" s="2">
        <f ca="1"/>
        <v>67.754710045692946</v>
      </c>
      <c r="AG2633" s="2">
        <f ca="1"/>
        <v>0.56925457334400265</v>
      </c>
      <c r="AH2633" s="2" t="str">
        <f ca="1"/>
        <v>Bad</v>
      </c>
    </row>
    <row r="2634" spans="2:34">
      <c r="B2634" s="2">
        <f ca="1"/>
        <v>0.68670889730580176</v>
      </c>
      <c r="O2634" s="2">
        <f ca="1"/>
        <v>-0.81203915979362218</v>
      </c>
      <c r="X2634" s="2">
        <f ca="1"/>
        <v>19.33211851032323</v>
      </c>
      <c r="AG2634" s="2">
        <f ca="1"/>
        <v>0.89764486001475885</v>
      </c>
      <c r="AH2634" s="2" t="str">
        <f ca="1"/>
        <v>Bad</v>
      </c>
    </row>
    <row r="2635" spans="2:34">
      <c r="B2635" s="2">
        <f ca="1"/>
        <v>8.9949622255286021E-2</v>
      </c>
      <c r="O2635" s="2">
        <f ca="1"/>
        <v>0.64794262635769195</v>
      </c>
      <c r="X2635" s="2">
        <f ca="1"/>
        <v>74.244426435484016</v>
      </c>
      <c r="AG2635" s="2">
        <f ca="1"/>
        <v>0.32053303022131541</v>
      </c>
      <c r="AH2635" s="2" t="str">
        <f ca="1"/>
        <v>OK</v>
      </c>
    </row>
    <row r="2636" spans="2:34">
      <c r="B2636" s="2">
        <f ca="1"/>
        <v>7.3942756527518361E-2</v>
      </c>
      <c r="O2636" s="2">
        <f ca="1"/>
        <v>1.3467314307482829</v>
      </c>
      <c r="X2636" s="2">
        <f ca="1"/>
        <v>24.568110268352768</v>
      </c>
      <c r="AG2636" s="2">
        <f ca="1"/>
        <v>0.30060309906619853</v>
      </c>
      <c r="AH2636" s="2" t="str">
        <f ca="1"/>
        <v>OK</v>
      </c>
    </row>
    <row r="2637" spans="2:34">
      <c r="B2637" s="2">
        <f ca="1"/>
        <v>0.19994465399679795</v>
      </c>
      <c r="O2637" s="2">
        <f ca="1"/>
        <v>0.38536234136247255</v>
      </c>
      <c r="X2637" s="2">
        <f ca="1"/>
        <v>73.093315418403861</v>
      </c>
      <c r="AG2637" s="2">
        <f ca="1"/>
        <v>0.82275481427791508</v>
      </c>
      <c r="AH2637" s="2" t="str">
        <f ca="1"/>
        <v>Bad</v>
      </c>
    </row>
    <row r="2638" spans="2:34">
      <c r="B2638" s="2">
        <f ca="1"/>
        <v>0.33992329808686539</v>
      </c>
      <c r="O2638" s="2">
        <f ca="1"/>
        <v>1.0162223725306339</v>
      </c>
      <c r="X2638" s="2">
        <f ca="1"/>
        <v>44.823344055978581</v>
      </c>
      <c r="AG2638" s="2">
        <f ca="1"/>
        <v>0.35619693068675118</v>
      </c>
      <c r="AH2638" s="2" t="str">
        <f ca="1"/>
        <v>OK</v>
      </c>
    </row>
    <row r="2639" spans="2:34">
      <c r="B2639" s="2">
        <f ca="1"/>
        <v>0.40912364730705142</v>
      </c>
      <c r="O2639" s="2">
        <f ca="1"/>
        <v>1.1950603430272737</v>
      </c>
      <c r="X2639" s="2">
        <f ca="1"/>
        <v>37.600379629890739</v>
      </c>
      <c r="AG2639" s="2">
        <f ca="1"/>
        <v>0.4526869829504081</v>
      </c>
      <c r="AH2639" s="2" t="str">
        <f ca="1"/>
        <v>Bad</v>
      </c>
    </row>
    <row r="2640" spans="2:34">
      <c r="B2640" s="2">
        <f ca="1"/>
        <v>0.18430428267347687</v>
      </c>
      <c r="O2640" s="2">
        <f ca="1"/>
        <v>1.8756721918418624</v>
      </c>
      <c r="X2640" s="2">
        <f ca="1"/>
        <v>47.239675630700233</v>
      </c>
      <c r="AG2640" s="2">
        <f ca="1"/>
        <v>0.25822751898331986</v>
      </c>
      <c r="AH2640" s="2" t="str">
        <f ca="1"/>
        <v>OK</v>
      </c>
    </row>
    <row r="2641" spans="2:34">
      <c r="B2641" s="2">
        <f ca="1"/>
        <v>0.86149756587912663</v>
      </c>
      <c r="O2641" s="2">
        <f ca="1"/>
        <v>0.71734059305925468</v>
      </c>
      <c r="X2641" s="2">
        <f ca="1"/>
        <v>49.85919513793646</v>
      </c>
      <c r="AG2641" s="2">
        <f ca="1"/>
        <v>0.14433722289009276</v>
      </c>
      <c r="AH2641" s="2" t="str">
        <f ca="1"/>
        <v>OK</v>
      </c>
    </row>
    <row r="2642" spans="2:34">
      <c r="B2642" s="2">
        <f ca="1"/>
        <v>0.56391712720770792</v>
      </c>
      <c r="O2642" s="2">
        <f ca="1"/>
        <v>-2.2811295449542213</v>
      </c>
      <c r="X2642" s="2">
        <f ca="1"/>
        <v>62.954502354525104</v>
      </c>
      <c r="AG2642" s="2">
        <f ca="1"/>
        <v>0.48338781210770665</v>
      </c>
      <c r="AH2642" s="2" t="str">
        <f ca="1"/>
        <v>Bad</v>
      </c>
    </row>
    <row r="2643" spans="2:34">
      <c r="B2643" s="2">
        <f ca="1"/>
        <v>0.19211983412651423</v>
      </c>
      <c r="O2643" s="2">
        <f ca="1"/>
        <v>0.20197902715642821</v>
      </c>
      <c r="X2643" s="2">
        <f ca="1"/>
        <v>53.094920673077439</v>
      </c>
      <c r="AG2643" s="2">
        <f ca="1"/>
        <v>0.63723805766135788</v>
      </c>
      <c r="AH2643" s="2" t="str">
        <f ca="1"/>
        <v>Bad</v>
      </c>
    </row>
    <row r="2644" spans="2:34">
      <c r="B2644" s="2">
        <f ca="1"/>
        <v>0.2215389706512958</v>
      </c>
      <c r="O2644" s="2">
        <f ca="1"/>
        <v>-0.575409765618345</v>
      </c>
      <c r="X2644" s="2">
        <f ca="1"/>
        <v>42.657710644253143</v>
      </c>
      <c r="AG2644" s="2">
        <f ca="1"/>
        <v>0.70967236194469718</v>
      </c>
      <c r="AH2644" s="2" t="str">
        <f ca="1"/>
        <v>Bad</v>
      </c>
    </row>
    <row r="2645" spans="2:34">
      <c r="B2645" s="2">
        <f ca="1"/>
        <v>0.91802765094804384</v>
      </c>
      <c r="O2645" s="2">
        <f ca="1"/>
        <v>0.41379352571524647</v>
      </c>
      <c r="X2645" s="2">
        <f ca="1"/>
        <v>57.853743396786044</v>
      </c>
      <c r="AG2645" s="2">
        <f ca="1"/>
        <v>0.21670111158521355</v>
      </c>
      <c r="AH2645" s="2" t="str">
        <f ca="1"/>
        <v>OK</v>
      </c>
    </row>
    <row r="2646" spans="2:34">
      <c r="B2646" s="2">
        <f ca="1"/>
        <v>0.12247465044873285</v>
      </c>
      <c r="O2646" s="2">
        <f ca="1"/>
        <v>1.0588428820128097</v>
      </c>
      <c r="X2646" s="2">
        <f ca="1"/>
        <v>59.423530604926384</v>
      </c>
      <c r="AG2646" s="2">
        <f ca="1"/>
        <v>0.26072499804658622</v>
      </c>
      <c r="AH2646" s="2" t="str">
        <f ca="1"/>
        <v>OK</v>
      </c>
    </row>
    <row r="2647" spans="2:34">
      <c r="B2647" s="2">
        <f ca="1"/>
        <v>0.54919955953372979</v>
      </c>
      <c r="O2647" s="2">
        <f ca="1"/>
        <v>-0.7257656568937908</v>
      </c>
      <c r="X2647" s="2">
        <f ca="1"/>
        <v>65.955561905104076</v>
      </c>
      <c r="AG2647" s="2">
        <f ca="1"/>
        <v>0.89244890666788779</v>
      </c>
      <c r="AH2647" s="2" t="str">
        <f ca="1"/>
        <v>Bad</v>
      </c>
    </row>
    <row r="2648" spans="2:34">
      <c r="B2648" s="2">
        <f ca="1"/>
        <v>0.17497848868247035</v>
      </c>
      <c r="O2648" s="2">
        <f ca="1"/>
        <v>-0.83645192920036671</v>
      </c>
      <c r="X2648" s="2">
        <f ca="1"/>
        <v>48.852271910579297</v>
      </c>
      <c r="AG2648" s="2">
        <f ca="1"/>
        <v>0.69094644360985247</v>
      </c>
      <c r="AH2648" s="2" t="str">
        <f ca="1"/>
        <v>Bad</v>
      </c>
    </row>
    <row r="2649" spans="2:34">
      <c r="B2649" s="2">
        <f ca="1"/>
        <v>0.11590950280063206</v>
      </c>
      <c r="O2649" s="2">
        <f ca="1"/>
        <v>-0.73058469343043853</v>
      </c>
      <c r="X2649" s="2">
        <f ca="1"/>
        <v>84.227475871760788</v>
      </c>
      <c r="AG2649" s="2">
        <f ca="1"/>
        <v>0.13736222276307575</v>
      </c>
      <c r="AH2649" s="2" t="str">
        <f ca="1"/>
        <v>OK</v>
      </c>
    </row>
    <row r="2650" spans="2:34">
      <c r="B2650" s="2">
        <f ca="1"/>
        <v>3.4864864466304546E-2</v>
      </c>
      <c r="O2650" s="2">
        <f ca="1"/>
        <v>-0.19646854967470082</v>
      </c>
      <c r="X2650" s="2">
        <f ca="1"/>
        <v>52.693836356041885</v>
      </c>
      <c r="AG2650" s="2">
        <f ca="1"/>
        <v>9.8357661457764145E-3</v>
      </c>
      <c r="AH2650" s="2" t="str">
        <f ca="1"/>
        <v>Good</v>
      </c>
    </row>
    <row r="2651" spans="2:34">
      <c r="B2651" s="2">
        <f ca="1"/>
        <v>0.42528653702901176</v>
      </c>
      <c r="O2651" s="2">
        <f ca="1"/>
        <v>-0.71897559920446197</v>
      </c>
      <c r="X2651" s="2">
        <f ca="1"/>
        <v>45.531657062565827</v>
      </c>
      <c r="AG2651" s="2">
        <f ca="1"/>
        <v>0.77351227583959448</v>
      </c>
      <c r="AH2651" s="2" t="str">
        <f ca="1"/>
        <v>Bad</v>
      </c>
    </row>
    <row r="2652" spans="2:34">
      <c r="B2652" s="2">
        <f ca="1"/>
        <v>0.43247238081122563</v>
      </c>
      <c r="O2652" s="2">
        <f ca="1"/>
        <v>0.28607362847135503</v>
      </c>
      <c r="X2652" s="2">
        <f ca="1"/>
        <v>36.896669738028514</v>
      </c>
      <c r="AG2652" s="2">
        <f ca="1"/>
        <v>0.76262441788990531</v>
      </c>
      <c r="AH2652" s="2" t="str">
        <f ca="1"/>
        <v>Bad</v>
      </c>
    </row>
    <row r="2653" spans="2:34">
      <c r="B2653" s="2">
        <f ca="1"/>
        <v>0.2934809225506827</v>
      </c>
      <c r="O2653" s="2">
        <f ca="1"/>
        <v>0.36992499559587727</v>
      </c>
      <c r="X2653" s="2">
        <f ca="1"/>
        <v>57.985681364868313</v>
      </c>
      <c r="AG2653" s="2">
        <f ca="1"/>
        <v>0.27798529449309672</v>
      </c>
      <c r="AH2653" s="2" t="str">
        <f ca="1"/>
        <v>OK</v>
      </c>
    </row>
    <row r="2654" spans="2:34">
      <c r="B2654" s="2">
        <f ca="1"/>
        <v>0.90918291107103122</v>
      </c>
      <c r="O2654" s="2">
        <f ca="1"/>
        <v>-1.4714250961272091</v>
      </c>
      <c r="X2654" s="2">
        <f ca="1"/>
        <v>20.846308286801232</v>
      </c>
      <c r="AG2654" s="2">
        <f ca="1"/>
        <v>0.3283537929644218</v>
      </c>
      <c r="AH2654" s="2" t="str">
        <f ca="1"/>
        <v>OK</v>
      </c>
    </row>
    <row r="2655" spans="2:34">
      <c r="B2655" s="2">
        <f ca="1"/>
        <v>8.3114256636653838E-2</v>
      </c>
      <c r="O2655" s="2">
        <f ca="1"/>
        <v>-1.0937848237701913</v>
      </c>
      <c r="X2655" s="2">
        <f ca="1"/>
        <v>48.173928374593572</v>
      </c>
      <c r="AG2655" s="2">
        <f ca="1"/>
        <v>0.26946245932906532</v>
      </c>
      <c r="AH2655" s="2" t="str">
        <f ca="1"/>
        <v>OK</v>
      </c>
    </row>
    <row r="2656" spans="2:34">
      <c r="B2656" s="2">
        <f ca="1"/>
        <v>0.15419155830183962</v>
      </c>
      <c r="O2656" s="2">
        <f ca="1"/>
        <v>0.34048360989050214</v>
      </c>
      <c r="X2656" s="2">
        <f ca="1"/>
        <v>39.627122009051313</v>
      </c>
      <c r="AG2656" s="2">
        <f ca="1"/>
        <v>0.61899317584336244</v>
      </c>
      <c r="AH2656" s="2" t="str">
        <f ca="1"/>
        <v>Bad</v>
      </c>
    </row>
    <row r="2657" spans="2:34">
      <c r="B2657" s="2">
        <f ca="1"/>
        <v>0.51112282256419106</v>
      </c>
      <c r="O2657" s="2">
        <f ca="1"/>
        <v>-1.7585879879217119</v>
      </c>
      <c r="X2657" s="2">
        <f ca="1"/>
        <v>22.909182353599675</v>
      </c>
      <c r="AG2657" s="2">
        <f ca="1"/>
        <v>0.48791707310878074</v>
      </c>
      <c r="AH2657" s="2" t="str">
        <f ca="1"/>
        <v>Bad</v>
      </c>
    </row>
    <row r="2658" spans="2:34">
      <c r="B2658" s="2">
        <f ca="1"/>
        <v>0.68371483829935364</v>
      </c>
      <c r="O2658" s="2">
        <f ca="1"/>
        <v>-0.35042724106764167</v>
      </c>
      <c r="X2658" s="2">
        <f ca="1"/>
        <v>40.290119242913001</v>
      </c>
      <c r="AG2658" s="2">
        <f ca="1"/>
        <v>0.14852867843005946</v>
      </c>
      <c r="AH2658" s="2" t="str">
        <f ca="1"/>
        <v>OK</v>
      </c>
    </row>
    <row r="2659" spans="2:34">
      <c r="B2659" s="2">
        <f ca="1"/>
        <v>0.95461479267414107</v>
      </c>
      <c r="O2659" s="2">
        <f ca="1"/>
        <v>-0.43630866389431039</v>
      </c>
      <c r="X2659" s="2">
        <f ca="1"/>
        <v>75.279721973793329</v>
      </c>
      <c r="AG2659" s="2">
        <f ca="1"/>
        <v>0.91495935137192208</v>
      </c>
      <c r="AH2659" s="2" t="str">
        <f ca="1"/>
        <v>Bad</v>
      </c>
    </row>
    <row r="2660" spans="2:34">
      <c r="B2660" s="2">
        <f ca="1"/>
        <v>0.52934008916106334</v>
      </c>
      <c r="O2660" s="2">
        <f ca="1"/>
        <v>0.97881022861322831</v>
      </c>
      <c r="X2660" s="2">
        <f ca="1"/>
        <v>46.297132408599147</v>
      </c>
      <c r="AG2660" s="2">
        <f ca="1"/>
        <v>0.98689575289475373</v>
      </c>
      <c r="AH2660" s="2" t="str">
        <f ca="1"/>
        <v>Bad</v>
      </c>
    </row>
    <row r="2661" spans="2:34">
      <c r="B2661" s="2">
        <f ca="1"/>
        <v>0.28620643729303819</v>
      </c>
      <c r="O2661" s="2">
        <f ca="1"/>
        <v>-0.50546067379060855</v>
      </c>
      <c r="X2661" s="2">
        <f ca="1"/>
        <v>45.469418175761902</v>
      </c>
      <c r="AG2661" s="2">
        <f ca="1"/>
        <v>0.35086875278175067</v>
      </c>
      <c r="AH2661" s="2" t="str">
        <f ca="1"/>
        <v>OK</v>
      </c>
    </row>
    <row r="2662" spans="2:34">
      <c r="B2662" s="2">
        <f ca="1"/>
        <v>0.75377507467537996</v>
      </c>
      <c r="O2662" s="2">
        <f ca="1"/>
        <v>6.8399561554993077E-2</v>
      </c>
      <c r="X2662" s="2">
        <f ca="1"/>
        <v>41.542404208445653</v>
      </c>
      <c r="AG2662" s="2">
        <f ca="1"/>
        <v>0.3076123795195489</v>
      </c>
      <c r="AH2662" s="2" t="str">
        <f ca="1"/>
        <v>OK</v>
      </c>
    </row>
    <row r="2663" spans="2:34">
      <c r="B2663" s="2">
        <f ca="1"/>
        <v>8.7414632563935557E-2</v>
      </c>
      <c r="O2663" s="2">
        <f ca="1"/>
        <v>2.2890553100782696</v>
      </c>
      <c r="X2663" s="2">
        <f ca="1"/>
        <v>80.752767449773302</v>
      </c>
      <c r="AG2663" s="2">
        <f ca="1"/>
        <v>1.2613757985868501E-2</v>
      </c>
      <c r="AH2663" s="2" t="str">
        <f ca="1"/>
        <v>Good</v>
      </c>
    </row>
    <row r="2664" spans="2:34">
      <c r="B2664" s="2">
        <f ca="1"/>
        <v>0.10944100842415971</v>
      </c>
      <c r="O2664" s="2">
        <f ca="1"/>
        <v>0.54447040841175887</v>
      </c>
      <c r="X2664" s="2">
        <f ca="1"/>
        <v>37.432253935545788</v>
      </c>
      <c r="AG2664" s="2">
        <f ca="1"/>
        <v>0.1437482296184176</v>
      </c>
      <c r="AH2664" s="2" t="str">
        <f ca="1"/>
        <v>OK</v>
      </c>
    </row>
    <row r="2665" spans="2:34">
      <c r="B2665" s="2">
        <f ca="1"/>
        <v>0.93852217918239678</v>
      </c>
      <c r="O2665" s="2">
        <f ca="1"/>
        <v>-0.52865912732410125</v>
      </c>
      <c r="X2665" s="2">
        <f ca="1"/>
        <v>34.581251708267004</v>
      </c>
      <c r="AG2665" s="2">
        <f ca="1"/>
        <v>0.96636075936363319</v>
      </c>
      <c r="AH2665" s="2" t="str">
        <f ca="1"/>
        <v>Bad</v>
      </c>
    </row>
    <row r="2666" spans="2:34">
      <c r="B2666" s="2">
        <f ca="1"/>
        <v>9.3732848357036991E-2</v>
      </c>
      <c r="O2666" s="2">
        <f ca="1"/>
        <v>-5.7890704207050336E-3</v>
      </c>
      <c r="X2666" s="2">
        <f ca="1"/>
        <v>49.1356481656574</v>
      </c>
      <c r="AG2666" s="2">
        <f ca="1"/>
        <v>0.68470125170403628</v>
      </c>
      <c r="AH2666" s="2" t="str">
        <f ca="1"/>
        <v>Bad</v>
      </c>
    </row>
    <row r="2667" spans="2:34">
      <c r="B2667" s="2">
        <f ca="1"/>
        <v>0.43307019383859902</v>
      </c>
      <c r="O2667" s="2">
        <f ca="1"/>
        <v>0.98041293043619593</v>
      </c>
      <c r="X2667" s="2">
        <f ca="1"/>
        <v>35.979272146009421</v>
      </c>
      <c r="AG2667" s="2">
        <f ca="1"/>
        <v>0.15449978438252998</v>
      </c>
      <c r="AH2667" s="2" t="str">
        <f ca="1"/>
        <v>OK</v>
      </c>
    </row>
    <row r="2668" spans="2:34">
      <c r="B2668" s="2">
        <f ca="1"/>
        <v>9.5279603476867702E-2</v>
      </c>
      <c r="O2668" s="2">
        <f ca="1"/>
        <v>0.58358137152324097</v>
      </c>
      <c r="X2668" s="2">
        <f ca="1"/>
        <v>44.665171436366748</v>
      </c>
      <c r="AG2668" s="2">
        <f ca="1"/>
        <v>0.95099003642472191</v>
      </c>
      <c r="AH2668" s="2" t="str">
        <f ca="1"/>
        <v>Bad</v>
      </c>
    </row>
    <row r="2669" spans="2:34">
      <c r="B2669" s="2">
        <f ca="1"/>
        <v>0.64863100844417398</v>
      </c>
      <c r="O2669" s="2">
        <f ca="1"/>
        <v>1.5031231272402261E-2</v>
      </c>
      <c r="X2669" s="2">
        <f ca="1"/>
        <v>40.743637037463202</v>
      </c>
      <c r="AG2669" s="2">
        <f ca="1"/>
        <v>0.38439262524135009</v>
      </c>
      <c r="AH2669" s="2" t="str">
        <f ca="1"/>
        <v>OK</v>
      </c>
    </row>
    <row r="2670" spans="2:34">
      <c r="B2670" s="2">
        <f ca="1"/>
        <v>0.55415434501596694</v>
      </c>
      <c r="O2670" s="2">
        <f ca="1"/>
        <v>8.6903206167421213E-2</v>
      </c>
      <c r="X2670" s="2">
        <f ca="1"/>
        <v>48.916968542390791</v>
      </c>
      <c r="AG2670" s="2">
        <f ca="1"/>
        <v>0.25941188248623304</v>
      </c>
      <c r="AH2670" s="2" t="str">
        <f ca="1"/>
        <v>OK</v>
      </c>
    </row>
    <row r="2671" spans="2:34">
      <c r="B2671" s="2">
        <f ca="1"/>
        <v>0.76115176741896029</v>
      </c>
      <c r="O2671" s="2">
        <f ca="1"/>
        <v>-0.74127520749164399</v>
      </c>
      <c r="X2671" s="2">
        <f ca="1"/>
        <v>44.36825625596866</v>
      </c>
      <c r="AG2671" s="2">
        <f ca="1"/>
        <v>0.74499214412014303</v>
      </c>
      <c r="AH2671" s="2" t="str">
        <f ca="1"/>
        <v>Bad</v>
      </c>
    </row>
    <row r="2672" spans="2:34">
      <c r="B2672" s="2">
        <f ca="1"/>
        <v>0.32148041316926323</v>
      </c>
      <c r="O2672" s="2">
        <f ca="1"/>
        <v>0.95657114799726317</v>
      </c>
      <c r="X2672" s="2">
        <f ca="1"/>
        <v>49.618575442064852</v>
      </c>
      <c r="AG2672" s="2">
        <f ca="1"/>
        <v>0.86885759927799211</v>
      </c>
      <c r="AH2672" s="2" t="str">
        <f ca="1"/>
        <v>Bad</v>
      </c>
    </row>
    <row r="2673" spans="2:34">
      <c r="B2673" s="2">
        <f ca="1"/>
        <v>0.46101870863199879</v>
      </c>
      <c r="O2673" s="2">
        <f ca="1"/>
        <v>-1.1581776012051699</v>
      </c>
      <c r="X2673" s="2">
        <f ca="1"/>
        <v>39.207031710625067</v>
      </c>
      <c r="AG2673" s="2">
        <f ca="1"/>
        <v>0.85867011856199338</v>
      </c>
      <c r="AH2673" s="2" t="str">
        <f ca="1"/>
        <v>Bad</v>
      </c>
    </row>
    <row r="2674" spans="2:34">
      <c r="B2674" s="2">
        <f ca="1"/>
        <v>0.50981524882877838</v>
      </c>
      <c r="O2674" s="2">
        <f ca="1"/>
        <v>2.0807015936028641</v>
      </c>
      <c r="X2674" s="2">
        <f ca="1"/>
        <v>39.245103178088108</v>
      </c>
      <c r="AG2674" s="2">
        <f ca="1"/>
        <v>0.88843538233774466</v>
      </c>
      <c r="AH2674" s="2" t="str">
        <f ca="1"/>
        <v>Bad</v>
      </c>
    </row>
    <row r="2675" spans="2:34">
      <c r="B2675" s="2">
        <f ca="1"/>
        <v>8.7786329510283645E-2</v>
      </c>
      <c r="O2675" s="2">
        <f ca="1"/>
        <v>1.3188989988325139</v>
      </c>
      <c r="X2675" s="2">
        <f ca="1"/>
        <v>48.350409742310518</v>
      </c>
      <c r="AG2675" s="2">
        <f ca="1"/>
        <v>0.10837146564620004</v>
      </c>
      <c r="AH2675" s="2" t="str">
        <f ca="1"/>
        <v>OK</v>
      </c>
    </row>
    <row r="2676" spans="2:34">
      <c r="B2676" s="2">
        <f ca="1"/>
        <v>0.15661631038710189</v>
      </c>
      <c r="O2676" s="2">
        <f ca="1"/>
        <v>1.4078918255025044</v>
      </c>
      <c r="X2676" s="2">
        <f ca="1"/>
        <v>30.814247514664061</v>
      </c>
      <c r="AG2676" s="2">
        <f ca="1"/>
        <v>0.32092465174915419</v>
      </c>
      <c r="AH2676" s="2" t="str">
        <f ca="1"/>
        <v>OK</v>
      </c>
    </row>
    <row r="2677" spans="2:34">
      <c r="B2677" s="2">
        <f ca="1"/>
        <v>9.2056285552662764E-2</v>
      </c>
      <c r="O2677" s="2">
        <f ca="1"/>
        <v>0.52720888195415927</v>
      </c>
      <c r="X2677" s="2">
        <f ca="1"/>
        <v>72.995176612476214</v>
      </c>
      <c r="AG2677" s="2">
        <f ca="1"/>
        <v>0.37909640990931592</v>
      </c>
      <c r="AH2677" s="2" t="str">
        <f ca="1"/>
        <v>OK</v>
      </c>
    </row>
    <row r="2678" spans="2:34">
      <c r="B2678" s="2">
        <f ca="1"/>
        <v>7.4367783201606086E-2</v>
      </c>
      <c r="O2678" s="2">
        <f ca="1"/>
        <v>2.1762223983026643</v>
      </c>
      <c r="X2678" s="2">
        <f ca="1"/>
        <v>75.518009789020311</v>
      </c>
      <c r="AG2678" s="2">
        <f ca="1"/>
        <v>0.52704338433550579</v>
      </c>
      <c r="AH2678" s="2" t="str">
        <f ca="1"/>
        <v>Bad</v>
      </c>
    </row>
    <row r="2679" spans="2:34">
      <c r="B2679" s="2">
        <f ca="1"/>
        <v>0.40701162849320349</v>
      </c>
      <c r="O2679" s="2">
        <f ca="1"/>
        <v>0.96258118681372717</v>
      </c>
      <c r="X2679" s="2">
        <f ca="1"/>
        <v>31.591682792416599</v>
      </c>
      <c r="AG2679" s="2">
        <f ca="1"/>
        <v>0.65000818116889691</v>
      </c>
      <c r="AH2679" s="2" t="str">
        <f ca="1"/>
        <v>Bad</v>
      </c>
    </row>
    <row r="2680" spans="2:34">
      <c r="B2680" s="2">
        <f ca="1"/>
        <v>0.7200876940756169</v>
      </c>
      <c r="O2680" s="2">
        <f ca="1"/>
        <v>-6.1716800881492687E-2</v>
      </c>
      <c r="X2680" s="2">
        <f ca="1"/>
        <v>22.730342503509608</v>
      </c>
      <c r="AG2680" s="2">
        <f ca="1"/>
        <v>0.48337518623712494</v>
      </c>
      <c r="AH2680" s="2" t="str">
        <f ca="1"/>
        <v>Bad</v>
      </c>
    </row>
    <row r="2681" spans="2:34">
      <c r="B2681" s="2">
        <f ca="1"/>
        <v>0.93144856687473032</v>
      </c>
      <c r="O2681" s="2">
        <f ca="1"/>
        <v>0.21394217071888649</v>
      </c>
      <c r="X2681" s="2">
        <f ca="1"/>
        <v>46.697406631579632</v>
      </c>
      <c r="AG2681" s="2">
        <f ca="1"/>
        <v>0.19321739215354605</v>
      </c>
      <c r="AH2681" s="2" t="str">
        <f ca="1"/>
        <v>OK</v>
      </c>
    </row>
    <row r="2682" spans="2:34">
      <c r="B2682" s="2">
        <f ca="1"/>
        <v>0.73879830796195312</v>
      </c>
      <c r="O2682" s="2">
        <f ca="1"/>
        <v>2.5555020202028458E-2</v>
      </c>
      <c r="X2682" s="2">
        <f ca="1"/>
        <v>56.645824877052043</v>
      </c>
      <c r="AG2682" s="2">
        <f ca="1"/>
        <v>0.65228051199329617</v>
      </c>
      <c r="AH2682" s="2" t="str">
        <f ca="1"/>
        <v>Bad</v>
      </c>
    </row>
    <row r="2683" spans="2:34">
      <c r="B2683" s="2">
        <f ca="1"/>
        <v>0.70964306557951629</v>
      </c>
      <c r="O2683" s="2">
        <f ca="1"/>
        <v>-0.24527412160613316</v>
      </c>
      <c r="X2683" s="2">
        <f ca="1"/>
        <v>41.152820290982419</v>
      </c>
      <c r="AG2683" s="2">
        <f ca="1"/>
        <v>0.20898831606949009</v>
      </c>
      <c r="AH2683" s="2" t="str">
        <f ca="1"/>
        <v>OK</v>
      </c>
    </row>
    <row r="2684" spans="2:34">
      <c r="B2684" s="2">
        <f ca="1"/>
        <v>0.10498646910083997</v>
      </c>
      <c r="O2684" s="2">
        <f ca="1"/>
        <v>1.1110058008821471</v>
      </c>
      <c r="X2684" s="2">
        <f ca="1"/>
        <v>58.467331566883409</v>
      </c>
      <c r="AG2684" s="2">
        <f ca="1"/>
        <v>0.84723971597991365</v>
      </c>
      <c r="AH2684" s="2" t="str">
        <f ca="1"/>
        <v>Bad</v>
      </c>
    </row>
    <row r="2685" spans="2:34">
      <c r="B2685" s="2">
        <f ca="1"/>
        <v>0.29198867615468282</v>
      </c>
      <c r="O2685" s="2">
        <f ca="1"/>
        <v>-1.0876137588249049</v>
      </c>
      <c r="X2685" s="2">
        <f ca="1"/>
        <v>70.200641675266127</v>
      </c>
      <c r="AG2685" s="2">
        <f ca="1"/>
        <v>0.14497546494551505</v>
      </c>
      <c r="AH2685" s="2" t="str">
        <f ca="1"/>
        <v>OK</v>
      </c>
    </row>
    <row r="2686" spans="2:34">
      <c r="B2686" s="2">
        <f ca="1"/>
        <v>0.30228961655699016</v>
      </c>
      <c r="O2686" s="2">
        <f ca="1"/>
        <v>1.240815202410787</v>
      </c>
      <c r="X2686" s="2">
        <f ca="1"/>
        <v>49.186195294267335</v>
      </c>
      <c r="AG2686" s="2">
        <f ca="1"/>
        <v>0.33347810517395282</v>
      </c>
      <c r="AH2686" s="2" t="str">
        <f ca="1"/>
        <v>OK</v>
      </c>
    </row>
    <row r="2687" spans="2:34">
      <c r="B2687" s="2">
        <f ca="1"/>
        <v>0.67468112466327024</v>
      </c>
      <c r="O2687" s="2">
        <f ca="1"/>
        <v>-0.18909595025584025</v>
      </c>
      <c r="X2687" s="2">
        <f ca="1"/>
        <v>64.277705457602011</v>
      </c>
      <c r="AG2687" s="2">
        <f ca="1"/>
        <v>0.92429311531012659</v>
      </c>
      <c r="AH2687" s="2" t="str">
        <f ca="1"/>
        <v>Bad</v>
      </c>
    </row>
    <row r="2688" spans="2:34">
      <c r="B2688" s="2">
        <f ca="1"/>
        <v>0.93028734706996574</v>
      </c>
      <c r="O2688" s="2">
        <f ca="1"/>
        <v>1.1724255280056013</v>
      </c>
      <c r="X2688" s="2">
        <f ca="1"/>
        <v>35.374172837663444</v>
      </c>
      <c r="AG2688" s="2">
        <f ca="1"/>
        <v>0.95370668441124296</v>
      </c>
      <c r="AH2688" s="2" t="str">
        <f ca="1"/>
        <v>Bad</v>
      </c>
    </row>
    <row r="2689" spans="2:34">
      <c r="B2689" s="2">
        <f ca="1"/>
        <v>0.57463637020127734</v>
      </c>
      <c r="O2689" s="2">
        <f ca="1"/>
        <v>7.0168530205027196E-2</v>
      </c>
      <c r="X2689" s="2">
        <f ca="1"/>
        <v>41.032272584016397</v>
      </c>
      <c r="AG2689" s="2">
        <f ca="1"/>
        <v>0.34951273722370835</v>
      </c>
      <c r="AH2689" s="2" t="str">
        <f ca="1"/>
        <v>OK</v>
      </c>
    </row>
    <row r="2690" spans="2:34">
      <c r="B2690" s="2">
        <f ca="1"/>
        <v>0.71278296519315987</v>
      </c>
      <c r="O2690" s="2">
        <f ca="1"/>
        <v>0.85774299204415749</v>
      </c>
      <c r="X2690" s="2">
        <f ca="1"/>
        <v>23.700268628101515</v>
      </c>
      <c r="AG2690" s="2">
        <f ca="1"/>
        <v>6.3711016545441979E-2</v>
      </c>
      <c r="AH2690" s="2" t="str">
        <f ca="1"/>
        <v>OK</v>
      </c>
    </row>
    <row r="2691" spans="2:34">
      <c r="B2691" s="2">
        <f ca="1"/>
        <v>0.89969177952970059</v>
      </c>
      <c r="O2691" s="2">
        <f ca="1"/>
        <v>-0.78201601331854853</v>
      </c>
      <c r="X2691" s="2">
        <f ca="1"/>
        <v>44.00793911849847</v>
      </c>
      <c r="AG2691" s="2">
        <f ca="1"/>
        <v>0.41097533828083765</v>
      </c>
      <c r="AH2691" s="2" t="str">
        <f ca="1"/>
        <v>Bad</v>
      </c>
    </row>
    <row r="2692" spans="2:34">
      <c r="B2692" s="2">
        <f ca="1"/>
        <v>0.86232692747351236</v>
      </c>
      <c r="O2692" s="2">
        <f ca="1"/>
        <v>0.45988940611785095</v>
      </c>
      <c r="X2692" s="2">
        <f ca="1"/>
        <v>68.54400454349917</v>
      </c>
      <c r="AG2692" s="2">
        <f ca="1"/>
        <v>0.47645014401927166</v>
      </c>
      <c r="AH2692" s="2" t="str">
        <f ca="1"/>
        <v>Bad</v>
      </c>
    </row>
    <row r="2693" spans="2:34">
      <c r="B2693" s="2">
        <f ca="1"/>
        <v>0.62728531169516177</v>
      </c>
      <c r="O2693" s="2">
        <f ca="1"/>
        <v>-2.3276398979029627</v>
      </c>
      <c r="X2693" s="2">
        <f ca="1"/>
        <v>63.757458153964144</v>
      </c>
      <c r="AG2693" s="2">
        <f ca="1"/>
        <v>0.97988760438971667</v>
      </c>
      <c r="AH2693" s="2" t="str">
        <f ca="1"/>
        <v>Bad</v>
      </c>
    </row>
    <row r="2694" spans="2:34">
      <c r="B2694" s="2">
        <f ca="1"/>
        <v>0.49811561923057646</v>
      </c>
      <c r="O2694" s="2">
        <f ca="1"/>
        <v>0.35148397702399975</v>
      </c>
      <c r="X2694" s="2">
        <f ca="1"/>
        <v>24.500990086442783</v>
      </c>
      <c r="AG2694" s="2">
        <f ca="1"/>
        <v>0.64440074647904089</v>
      </c>
      <c r="AH2694" s="2" t="str">
        <f ca="1"/>
        <v>Bad</v>
      </c>
    </row>
    <row r="2695" spans="2:34">
      <c r="B2695" s="2">
        <f ca="1"/>
        <v>9.5067587915747653E-2</v>
      </c>
      <c r="O2695" s="2">
        <f ca="1"/>
        <v>-0.43524293614455783</v>
      </c>
      <c r="X2695" s="2">
        <f ca="1"/>
        <v>48.225576631271522</v>
      </c>
      <c r="AG2695" s="2">
        <f ca="1"/>
        <v>0.62020864852834667</v>
      </c>
      <c r="AH2695" s="2" t="str">
        <f ca="1"/>
        <v>Bad</v>
      </c>
    </row>
    <row r="2696" spans="2:34">
      <c r="B2696" s="2">
        <f ca="1"/>
        <v>0.54296959963026525</v>
      </c>
      <c r="O2696" s="2">
        <f ca="1"/>
        <v>0.74425353059609722</v>
      </c>
      <c r="X2696" s="2">
        <f ca="1"/>
        <v>86.598163756749287</v>
      </c>
      <c r="AG2696" s="2">
        <f ca="1"/>
        <v>0.44387468786404272</v>
      </c>
      <c r="AH2696" s="2" t="str">
        <f ca="1"/>
        <v>Bad</v>
      </c>
    </row>
    <row r="2697" spans="2:34">
      <c r="B2697" s="2">
        <f ca="1"/>
        <v>0.79486898291423658</v>
      </c>
      <c r="O2697" s="2">
        <f ca="1"/>
        <v>-0.86974187992648522</v>
      </c>
      <c r="X2697" s="2">
        <f ca="1"/>
        <v>46.093045493489342</v>
      </c>
      <c r="AG2697" s="2">
        <f ca="1"/>
        <v>0.84313318461086317</v>
      </c>
      <c r="AH2697" s="2" t="str">
        <f ca="1"/>
        <v>Bad</v>
      </c>
    </row>
    <row r="2698" spans="2:34">
      <c r="B2698" s="2">
        <f ca="1"/>
        <v>0.71066513467665238</v>
      </c>
      <c r="O2698" s="2">
        <f ca="1"/>
        <v>-1.1184191399172694</v>
      </c>
      <c r="X2698" s="2">
        <f ca="1"/>
        <v>42.863812207056426</v>
      </c>
      <c r="AG2698" s="2">
        <f ca="1"/>
        <v>0.4808005755561906</v>
      </c>
      <c r="AH2698" s="2" t="str">
        <f ca="1"/>
        <v>Bad</v>
      </c>
    </row>
    <row r="2699" spans="2:34">
      <c r="B2699" s="2">
        <f ca="1"/>
        <v>0.5736924951823037</v>
      </c>
      <c r="O2699" s="2">
        <f ca="1"/>
        <v>-0.89580877050398056</v>
      </c>
      <c r="X2699" s="2">
        <f ca="1"/>
        <v>34.091946841072755</v>
      </c>
      <c r="AG2699" s="2">
        <f ca="1"/>
        <v>0.8970784332208086</v>
      </c>
      <c r="AH2699" s="2" t="str">
        <f ca="1"/>
        <v>Bad</v>
      </c>
    </row>
    <row r="2700" spans="2:34">
      <c r="B2700" s="2">
        <f ca="1"/>
        <v>0.10932666724719509</v>
      </c>
      <c r="O2700" s="2">
        <f ca="1"/>
        <v>0.40339717430069383</v>
      </c>
      <c r="X2700" s="2">
        <f ca="1"/>
        <v>52.867984654810684</v>
      </c>
      <c r="AG2700" s="2">
        <f ca="1"/>
        <v>0.21872660899350627</v>
      </c>
      <c r="AH2700" s="2" t="str">
        <f ca="1"/>
        <v>OK</v>
      </c>
    </row>
    <row r="2701" spans="2:34">
      <c r="B2701" s="2">
        <f ca="1"/>
        <v>0.86403861307953012</v>
      </c>
      <c r="O2701" s="2">
        <f ca="1"/>
        <v>-2.5030271000485405</v>
      </c>
      <c r="X2701" s="2">
        <f ca="1"/>
        <v>32.785434617615465</v>
      </c>
      <c r="AG2701" s="2">
        <f ca="1"/>
        <v>0.44949527756734575</v>
      </c>
      <c r="AH2701" s="2" t="str">
        <f ca="1"/>
        <v>Bad</v>
      </c>
    </row>
    <row r="2702" spans="2:34">
      <c r="B2702" s="2">
        <f ca="1"/>
        <v>0.44708916446524083</v>
      </c>
      <c r="O2702" s="2">
        <f ca="1"/>
        <v>0.5209869369439506</v>
      </c>
      <c r="X2702" s="2">
        <f ca="1"/>
        <v>59.726046232789692</v>
      </c>
      <c r="AG2702" s="2">
        <f ca="1"/>
        <v>0.90974040159115166</v>
      </c>
      <c r="AH2702" s="2" t="str">
        <f ca="1"/>
        <v>Bad</v>
      </c>
    </row>
    <row r="2703" spans="2:34">
      <c r="B2703" s="2">
        <f ca="1"/>
        <v>0.89782985030903473</v>
      </c>
      <c r="O2703" s="2">
        <f ca="1"/>
        <v>-0.49699927754002277</v>
      </c>
      <c r="X2703" s="2">
        <f ca="1"/>
        <v>51.963833736108775</v>
      </c>
      <c r="AG2703" s="2">
        <f ca="1"/>
        <v>0.42241743356329131</v>
      </c>
      <c r="AH2703" s="2" t="str">
        <f ca="1"/>
        <v>Bad</v>
      </c>
    </row>
    <row r="2704" spans="2:34">
      <c r="B2704" s="2">
        <f ca="1"/>
        <v>0.85204663051881635</v>
      </c>
      <c r="O2704" s="2">
        <f ca="1"/>
        <v>-0.95111416353303868</v>
      </c>
      <c r="X2704" s="2">
        <f ca="1"/>
        <v>26.854851367592467</v>
      </c>
      <c r="AG2704" s="2">
        <f ca="1"/>
        <v>0.71298894025427217</v>
      </c>
      <c r="AH2704" s="2" t="str">
        <f ca="1"/>
        <v>Bad</v>
      </c>
    </row>
    <row r="2705" spans="2:34">
      <c r="B2705" s="2">
        <f ca="1"/>
        <v>0.84611577159675044</v>
      </c>
      <c r="O2705" s="2">
        <f ca="1"/>
        <v>-0.90193014613774958</v>
      </c>
      <c r="X2705" s="2">
        <f ca="1"/>
        <v>51.080357710488727</v>
      </c>
      <c r="AG2705" s="2">
        <f ca="1"/>
        <v>0.86963184442004482</v>
      </c>
      <c r="AH2705" s="2" t="str">
        <f ca="1"/>
        <v>Bad</v>
      </c>
    </row>
    <row r="2706" spans="2:34">
      <c r="B2706" s="2">
        <f ca="1"/>
        <v>0.3992340225367057</v>
      </c>
      <c r="O2706" s="2">
        <f ca="1"/>
        <v>-0.40082265279185125</v>
      </c>
      <c r="X2706" s="2">
        <f ca="1"/>
        <v>28.201976676103939</v>
      </c>
      <c r="AG2706" s="2">
        <f ca="1"/>
        <v>0.92201843233271052</v>
      </c>
      <c r="AH2706" s="2" t="str">
        <f ca="1"/>
        <v>Bad</v>
      </c>
    </row>
    <row r="2707" spans="2:34">
      <c r="B2707" s="2">
        <f ca="1"/>
        <v>0.42805875773209912</v>
      </c>
      <c r="O2707" s="2">
        <f ca="1"/>
        <v>0.39166334762807875</v>
      </c>
      <c r="X2707" s="2">
        <f ca="1"/>
        <v>57.830530738150841</v>
      </c>
      <c r="AG2707" s="2">
        <f ca="1"/>
        <v>0.56841441848969709</v>
      </c>
      <c r="AH2707" s="2" t="str">
        <f ca="1"/>
        <v>Bad</v>
      </c>
    </row>
    <row r="2708" spans="2:34">
      <c r="B2708" s="2">
        <f ca="1"/>
        <v>0.73688321081448538</v>
      </c>
      <c r="O2708" s="2">
        <f ca="1"/>
        <v>1.5709398821012657</v>
      </c>
      <c r="X2708" s="2">
        <f ca="1"/>
        <v>56.709108597270152</v>
      </c>
      <c r="AG2708" s="2">
        <f ca="1"/>
        <v>0.65301667488376269</v>
      </c>
      <c r="AH2708" s="2" t="str">
        <f ca="1"/>
        <v>Bad</v>
      </c>
    </row>
    <row r="2709" spans="2:34">
      <c r="B2709" s="2">
        <f ca="1"/>
        <v>0.68388542067631919</v>
      </c>
      <c r="O2709" s="2">
        <f ca="1"/>
        <v>0.23543019827781425</v>
      </c>
      <c r="X2709" s="2">
        <f ca="1"/>
        <v>28.408078717298189</v>
      </c>
      <c r="AG2709" s="2">
        <f ca="1"/>
        <v>0.35745779436887437</v>
      </c>
      <c r="AH2709" s="2" t="str">
        <f ca="1"/>
        <v>OK</v>
      </c>
    </row>
    <row r="2710" spans="2:34">
      <c r="B2710" s="2">
        <f ca="1"/>
        <v>0.3063859078096427</v>
      </c>
      <c r="O2710" s="2">
        <f ca="1"/>
        <v>1.0734977323606048</v>
      </c>
      <c r="X2710" s="2">
        <f ca="1"/>
        <v>49.476874054104023</v>
      </c>
      <c r="AG2710" s="2">
        <f ca="1"/>
        <v>0.6510246269749651</v>
      </c>
      <c r="AH2710" s="2" t="str">
        <f ca="1"/>
        <v>Bad</v>
      </c>
    </row>
    <row r="2711" spans="2:34">
      <c r="B2711" s="2">
        <f ca="1"/>
        <v>0.58692984066769571</v>
      </c>
      <c r="O2711" s="2">
        <f ca="1"/>
        <v>0.88192028015329049</v>
      </c>
      <c r="X2711" s="2">
        <f ca="1"/>
        <v>40.52181903540189</v>
      </c>
      <c r="AG2711" s="2">
        <f ca="1"/>
        <v>0.66344232437373174</v>
      </c>
      <c r="AH2711" s="2" t="str">
        <f ca="1"/>
        <v>Bad</v>
      </c>
    </row>
    <row r="2712" spans="2:34">
      <c r="B2712" s="2">
        <f ca="1"/>
        <v>0.20848742253159758</v>
      </c>
      <c r="O2712" s="2">
        <f ca="1"/>
        <v>-0.49767875275721535</v>
      </c>
      <c r="X2712" s="2">
        <f ca="1"/>
        <v>72.770725481538207</v>
      </c>
      <c r="AG2712" s="2">
        <f ca="1"/>
        <v>7.9916551113716983E-2</v>
      </c>
      <c r="AH2712" s="2" t="str">
        <f ca="1"/>
        <v>OK</v>
      </c>
    </row>
    <row r="2713" spans="2:34">
      <c r="B2713" s="2">
        <f ca="1"/>
        <v>3.8737003760748401E-2</v>
      </c>
      <c r="O2713" s="2">
        <f ca="1"/>
        <v>1.7552377358624629</v>
      </c>
      <c r="X2713" s="2">
        <f ca="1"/>
        <v>22.803644127721732</v>
      </c>
      <c r="AG2713" s="2">
        <f ca="1"/>
        <v>0.49358471438326568</v>
      </c>
      <c r="AH2713" s="2" t="str">
        <f ca="1"/>
        <v>Bad</v>
      </c>
    </row>
    <row r="2714" spans="2:34">
      <c r="B2714" s="2">
        <f ca="1"/>
        <v>1.5167054596414653E-2</v>
      </c>
      <c r="O2714" s="2">
        <f ca="1"/>
        <v>1.0382588531315646</v>
      </c>
      <c r="X2714" s="2">
        <f ca="1"/>
        <v>42.078933217774875</v>
      </c>
      <c r="AG2714" s="2">
        <f ca="1"/>
        <v>0.64056418556497974</v>
      </c>
      <c r="AH2714" s="2" t="str">
        <f ca="1"/>
        <v>Bad</v>
      </c>
    </row>
    <row r="2715" spans="2:34">
      <c r="B2715" s="2">
        <f ca="1"/>
        <v>0.87069664886971765</v>
      </c>
      <c r="O2715" s="2">
        <f ca="1"/>
        <v>0.6763703276927524</v>
      </c>
      <c r="X2715" s="2">
        <f ca="1"/>
        <v>65.934499456455299</v>
      </c>
      <c r="AG2715" s="2">
        <f ca="1"/>
        <v>0.89180927544011612</v>
      </c>
      <c r="AH2715" s="2" t="str">
        <f ca="1"/>
        <v>Bad</v>
      </c>
    </row>
    <row r="2716" spans="2:34">
      <c r="B2716" s="2">
        <f ca="1"/>
        <v>0.64958602946367727</v>
      </c>
      <c r="O2716" s="2">
        <f ca="1"/>
        <v>-3.0454399672641026E-2</v>
      </c>
      <c r="X2716" s="2">
        <f ca="1"/>
        <v>54.662475415070816</v>
      </c>
      <c r="AG2716" s="2">
        <f ca="1"/>
        <v>0.54698429678168625</v>
      </c>
      <c r="AH2716" s="2" t="str">
        <f ca="1"/>
        <v>Bad</v>
      </c>
    </row>
    <row r="2717" spans="2:34">
      <c r="B2717" s="2">
        <f ca="1"/>
        <v>0.41625980986093047</v>
      </c>
      <c r="O2717" s="2">
        <f ca="1"/>
        <v>-0.78425677029986662</v>
      </c>
      <c r="X2717" s="2">
        <f ca="1"/>
        <v>57.786285817472873</v>
      </c>
      <c r="AG2717" s="2">
        <f ca="1"/>
        <v>0.46292597355831222</v>
      </c>
      <c r="AH2717" s="2" t="str">
        <f ca="1"/>
        <v>Bad</v>
      </c>
    </row>
    <row r="2718" spans="2:34">
      <c r="B2718" s="2">
        <f ca="1"/>
        <v>0.15511730042595517</v>
      </c>
      <c r="O2718" s="2">
        <f ca="1"/>
        <v>-0.17294067186877599</v>
      </c>
      <c r="X2718" s="2">
        <f ca="1"/>
        <v>42.381378860287533</v>
      </c>
      <c r="AG2718" s="2">
        <f ca="1"/>
        <v>0.71733082421018546</v>
      </c>
      <c r="AH2718" s="2" t="str">
        <f ca="1"/>
        <v>Bad</v>
      </c>
    </row>
    <row r="2719" spans="2:34">
      <c r="B2719" s="2">
        <f ca="1"/>
        <v>0.81507953464701388</v>
      </c>
      <c r="O2719" s="2">
        <f ca="1"/>
        <v>0.62627385110596379</v>
      </c>
      <c r="X2719" s="2">
        <f ca="1"/>
        <v>67.843566052779963</v>
      </c>
      <c r="AG2719" s="2">
        <f ca="1"/>
        <v>0.29794449012644453</v>
      </c>
      <c r="AH2719" s="2" t="str">
        <f ca="1"/>
        <v>OK</v>
      </c>
    </row>
    <row r="2720" spans="2:34">
      <c r="B2720" s="2">
        <f ca="1"/>
        <v>0.90583598735263027</v>
      </c>
      <c r="O2720" s="2">
        <f ca="1"/>
        <v>0.84571717068896568</v>
      </c>
      <c r="X2720" s="2">
        <f ca="1"/>
        <v>101.84295232209868</v>
      </c>
      <c r="AG2720" s="2">
        <f ca="1"/>
        <v>0.88802640406681999</v>
      </c>
      <c r="AH2720" s="2" t="str">
        <f ca="1"/>
        <v>Bad</v>
      </c>
    </row>
    <row r="2721" spans="2:34">
      <c r="B2721" s="2">
        <f ca="1"/>
        <v>0.30409401755017318</v>
      </c>
      <c r="O2721" s="2">
        <f ca="1"/>
        <v>-0.78209641887810755</v>
      </c>
      <c r="X2721" s="2">
        <f ca="1"/>
        <v>58.222374589351062</v>
      </c>
      <c r="AG2721" s="2">
        <f ca="1"/>
        <v>0.6210837079437741</v>
      </c>
      <c r="AH2721" s="2" t="str">
        <f ca="1"/>
        <v>Bad</v>
      </c>
    </row>
    <row r="2722" spans="2:34">
      <c r="B2722" s="2">
        <f ca="1"/>
        <v>0.80449698953076942</v>
      </c>
      <c r="O2722" s="2">
        <f ca="1"/>
        <v>4.18081410274558E-3</v>
      </c>
      <c r="X2722" s="2">
        <f ca="1"/>
        <v>65.753115998799515</v>
      </c>
      <c r="AG2722" s="2">
        <f ca="1"/>
        <v>0.1961820797121292</v>
      </c>
      <c r="AH2722" s="2" t="str">
        <f ca="1"/>
        <v>OK</v>
      </c>
    </row>
    <row r="2723" spans="2:34">
      <c r="B2723" s="2">
        <f ca="1"/>
        <v>0.11284781346969219</v>
      </c>
      <c r="O2723" s="2">
        <f ca="1"/>
        <v>0.26276661555168412</v>
      </c>
      <c r="X2723" s="2">
        <f ca="1"/>
        <v>55.560780598129689</v>
      </c>
      <c r="AG2723" s="2">
        <f ca="1"/>
        <v>0.80347559818662173</v>
      </c>
      <c r="AH2723" s="2" t="str">
        <f ca="1"/>
        <v>Bad</v>
      </c>
    </row>
    <row r="2724" spans="2:34">
      <c r="B2724" s="2">
        <f ca="1"/>
        <v>0.72461701258448219</v>
      </c>
      <c r="O2724" s="2">
        <f ca="1"/>
        <v>8.3261256688850774E-2</v>
      </c>
      <c r="X2724" s="2">
        <f ca="1"/>
        <v>48.199685321851419</v>
      </c>
      <c r="AG2724" s="2">
        <f ca="1"/>
        <v>0.82005730226279683</v>
      </c>
      <c r="AH2724" s="2" t="str">
        <f ca="1"/>
        <v>Bad</v>
      </c>
    </row>
    <row r="2725" spans="2:34">
      <c r="B2725" s="2">
        <f ca="1"/>
        <v>0.1096649786342736</v>
      </c>
      <c r="O2725" s="2">
        <f ca="1"/>
        <v>-0.18008730301270978</v>
      </c>
      <c r="X2725" s="2">
        <f ca="1"/>
        <v>41.295360504259342</v>
      </c>
      <c r="AG2725" s="2">
        <f ca="1"/>
        <v>0.49349744769409432</v>
      </c>
      <c r="AH2725" s="2" t="str">
        <f ca="1"/>
        <v>Bad</v>
      </c>
    </row>
    <row r="2726" spans="2:34">
      <c r="B2726" s="2">
        <f ca="1"/>
        <v>0.69881545292511693</v>
      </c>
      <c r="O2726" s="2">
        <f ca="1"/>
        <v>0.37868967460177327</v>
      </c>
      <c r="X2726" s="2">
        <f ca="1"/>
        <v>42.818136817953594</v>
      </c>
      <c r="AG2726" s="2">
        <f ca="1"/>
        <v>0.46995753279256269</v>
      </c>
      <c r="AH2726" s="2" t="str">
        <f ca="1"/>
        <v>Bad</v>
      </c>
    </row>
    <row r="2727" spans="2:34">
      <c r="B2727" s="2">
        <f ca="1"/>
        <v>4.8612345773028087E-2</v>
      </c>
      <c r="O2727" s="2">
        <f ca="1"/>
        <v>-1.4756240755383749</v>
      </c>
      <c r="X2727" s="2">
        <f ca="1"/>
        <v>30.105186157258437</v>
      </c>
      <c r="AG2727" s="2">
        <f ca="1"/>
        <v>0.11152077055779919</v>
      </c>
      <c r="AH2727" s="2" t="str">
        <f ca="1"/>
        <v>OK</v>
      </c>
    </row>
    <row r="2728" spans="2:34">
      <c r="B2728" s="2">
        <f ca="1"/>
        <v>3.8297829649234227E-2</v>
      </c>
      <c r="O2728" s="2">
        <f ca="1"/>
        <v>8.9207232118354608E-3</v>
      </c>
      <c r="X2728" s="2">
        <f ca="1"/>
        <v>56.140639154289701</v>
      </c>
      <c r="AG2728" s="2">
        <f ca="1"/>
        <v>0.11788017304412923</v>
      </c>
      <c r="AH2728" s="2" t="str">
        <f ca="1"/>
        <v>OK</v>
      </c>
    </row>
    <row r="2729" spans="2:34">
      <c r="B2729" s="2">
        <f ca="1"/>
        <v>0.91569093822593128</v>
      </c>
      <c r="O2729" s="2">
        <f ca="1"/>
        <v>-0.62102421635465355</v>
      </c>
      <c r="X2729" s="2">
        <f ca="1"/>
        <v>60.22926075005617</v>
      </c>
      <c r="AG2729" s="2">
        <f ca="1"/>
        <v>0.39363574125986411</v>
      </c>
      <c r="AH2729" s="2" t="str">
        <f ca="1"/>
        <v>OK</v>
      </c>
    </row>
    <row r="2730" spans="2:34">
      <c r="B2730" s="2">
        <f ca="1"/>
        <v>0.48073588565706471</v>
      </c>
      <c r="O2730" s="2">
        <f ca="1"/>
        <v>0.15763023456508907</v>
      </c>
      <c r="X2730" s="2">
        <f ca="1"/>
        <v>38.706436231458227</v>
      </c>
      <c r="AG2730" s="2">
        <f ca="1"/>
        <v>0.94920197140597051</v>
      </c>
      <c r="AH2730" s="2" t="str">
        <f ca="1"/>
        <v>Bad</v>
      </c>
    </row>
    <row r="2731" spans="2:34">
      <c r="B2731" s="2">
        <f ca="1"/>
        <v>4.0516419966288408E-2</v>
      </c>
      <c r="O2731" s="2">
        <f ca="1"/>
        <v>1.2058254680138736</v>
      </c>
      <c r="X2731" s="2">
        <f ca="1"/>
        <v>40.199050848469405</v>
      </c>
      <c r="AG2731" s="2">
        <f ca="1"/>
        <v>0.76060394372580431</v>
      </c>
      <c r="AH2731" s="2" t="str">
        <f ca="1"/>
        <v>Bad</v>
      </c>
    </row>
    <row r="2732" spans="2:34">
      <c r="B2732" s="2">
        <f ca="1"/>
        <v>0.43919470756182899</v>
      </c>
      <c r="O2732" s="2">
        <f ca="1"/>
        <v>-1.8583773200535052</v>
      </c>
      <c r="X2732" s="2">
        <f ca="1"/>
        <v>63.312439402753895</v>
      </c>
      <c r="AG2732" s="2">
        <f ca="1"/>
        <v>0.92354356138669336</v>
      </c>
      <c r="AH2732" s="2" t="str">
        <f ca="1"/>
        <v>Bad</v>
      </c>
    </row>
    <row r="2733" spans="2:34">
      <c r="B2733" s="2">
        <f ca="1"/>
        <v>0.88648898457646497</v>
      </c>
      <c r="O2733" s="2">
        <f ca="1"/>
        <v>0.74107227282042187</v>
      </c>
      <c r="X2733" s="2">
        <f ca="1"/>
        <v>28.50722490907264</v>
      </c>
      <c r="AG2733" s="2">
        <f ca="1"/>
        <v>0.66211276983567235</v>
      </c>
      <c r="AH2733" s="2" t="str">
        <f ca="1"/>
        <v>Bad</v>
      </c>
    </row>
    <row r="2734" spans="2:34">
      <c r="B2734" s="2">
        <f ca="1"/>
        <v>0.4417521557753219</v>
      </c>
      <c r="O2734" s="2">
        <f ca="1"/>
        <v>2.4390721770529917</v>
      </c>
      <c r="X2734" s="2">
        <f ca="1"/>
        <v>59.407166838137428</v>
      </c>
      <c r="AG2734" s="2">
        <f ca="1"/>
        <v>0.91110302480328076</v>
      </c>
      <c r="AH2734" s="2" t="str">
        <f ca="1"/>
        <v>Bad</v>
      </c>
    </row>
    <row r="2735" spans="2:34">
      <c r="B2735" s="2">
        <f ca="1"/>
        <v>0.3873570876708694</v>
      </c>
      <c r="O2735" s="2">
        <f ca="1"/>
        <v>-0.5330948492069324</v>
      </c>
      <c r="X2735" s="2">
        <f ca="1"/>
        <v>49.337127662641805</v>
      </c>
      <c r="AG2735" s="2">
        <f ca="1"/>
        <v>0.24313315505640753</v>
      </c>
      <c r="AH2735" s="2" t="str">
        <f ca="1"/>
        <v>OK</v>
      </c>
    </row>
    <row r="2736" spans="2:34">
      <c r="B2736" s="2">
        <f ca="1"/>
        <v>0.19680671930704219</v>
      </c>
      <c r="O2736" s="2">
        <f ca="1"/>
        <v>1.1716363769731259</v>
      </c>
      <c r="X2736" s="2">
        <f ca="1"/>
        <v>31.109700574063901</v>
      </c>
      <c r="AG2736" s="2">
        <f ca="1"/>
        <v>0.17320904682615113</v>
      </c>
      <c r="AH2736" s="2" t="str">
        <f ca="1"/>
        <v>OK</v>
      </c>
    </row>
    <row r="2737" spans="2:34">
      <c r="B2737" s="2">
        <f ca="1"/>
        <v>0.1360524925893547</v>
      </c>
      <c r="O2737" s="2">
        <f ca="1"/>
        <v>0.72529144630740372</v>
      </c>
      <c r="X2737" s="2">
        <f ca="1"/>
        <v>46.340124826556099</v>
      </c>
      <c r="AG2737" s="2">
        <f ca="1"/>
        <v>0.34710608984186675</v>
      </c>
      <c r="AH2737" s="2" t="str">
        <f ca="1"/>
        <v>OK</v>
      </c>
    </row>
    <row r="2738" spans="2:34">
      <c r="B2738" s="2">
        <f ca="1"/>
        <v>0.95647854387644848</v>
      </c>
      <c r="O2738" s="2">
        <f ca="1"/>
        <v>-0.58319330225496457</v>
      </c>
      <c r="X2738" s="2">
        <f ca="1"/>
        <v>44.005805016794667</v>
      </c>
      <c r="AG2738" s="2">
        <f ca="1"/>
        <v>0.47136670354155941</v>
      </c>
      <c r="AH2738" s="2" t="str">
        <f ca="1"/>
        <v>Bad</v>
      </c>
    </row>
    <row r="2739" spans="2:34">
      <c r="B2739" s="2">
        <f ca="1"/>
        <v>0.73647146617151216</v>
      </c>
      <c r="O2739" s="2">
        <f ca="1"/>
        <v>0.39082162991632724</v>
      </c>
      <c r="X2739" s="2">
        <f ca="1"/>
        <v>26.758187608046889</v>
      </c>
      <c r="AG2739" s="2">
        <f ca="1"/>
        <v>0.92355727363555418</v>
      </c>
      <c r="AH2739" s="2" t="str">
        <f ca="1"/>
        <v>Bad</v>
      </c>
    </row>
    <row r="2740" spans="2:34">
      <c r="B2740" s="2">
        <f ca="1"/>
        <v>8.2522635070748862E-2</v>
      </c>
      <c r="O2740" s="2">
        <f ca="1"/>
        <v>1.3081772482722429</v>
      </c>
      <c r="X2740" s="2">
        <f ca="1"/>
        <v>42.670932340790429</v>
      </c>
      <c r="AG2740" s="2">
        <f ca="1"/>
        <v>0.11240569557216307</v>
      </c>
      <c r="AH2740" s="2" t="str">
        <f ca="1"/>
        <v>OK</v>
      </c>
    </row>
    <row r="2741" spans="2:34">
      <c r="B2741" s="2">
        <f ca="1"/>
        <v>0.25541019474995341</v>
      </c>
      <c r="O2741" s="2">
        <f ca="1"/>
        <v>-0.90929955705782328</v>
      </c>
      <c r="X2741" s="2">
        <f ca="1"/>
        <v>47.093703786994737</v>
      </c>
      <c r="AG2741" s="2">
        <f ca="1"/>
        <v>0.77319045202790337</v>
      </c>
      <c r="AH2741" s="2" t="str">
        <f ca="1"/>
        <v>Bad</v>
      </c>
    </row>
    <row r="2742" spans="2:34">
      <c r="B2742" s="2">
        <f ca="1"/>
        <v>0.3130859226090843</v>
      </c>
      <c r="O2742" s="2">
        <f ca="1"/>
        <v>0.39797260702539822</v>
      </c>
      <c r="X2742" s="2">
        <f ca="1"/>
        <v>69.043366793193172</v>
      </c>
      <c r="AG2742" s="2">
        <f ca="1"/>
        <v>0.71268175958528901</v>
      </c>
      <c r="AH2742" s="2" t="str">
        <f ca="1"/>
        <v>Bad</v>
      </c>
    </row>
    <row r="2743" spans="2:34">
      <c r="B2743" s="2">
        <f ca="1"/>
        <v>0.77597173108038398</v>
      </c>
      <c r="O2743" s="2">
        <f ca="1"/>
        <v>-0.10830349829548686</v>
      </c>
      <c r="X2743" s="2">
        <f ca="1"/>
        <v>52.265689293714118</v>
      </c>
      <c r="AG2743" s="2">
        <f ca="1"/>
        <v>0.24444390166580243</v>
      </c>
      <c r="AH2743" s="2" t="str">
        <f ca="1"/>
        <v>OK</v>
      </c>
    </row>
    <row r="2744" spans="2:34">
      <c r="B2744" s="2">
        <f ca="1"/>
        <v>0.45016143690238053</v>
      </c>
      <c r="O2744" s="2">
        <f ca="1"/>
        <v>1.0975571048151886</v>
      </c>
      <c r="X2744" s="2">
        <f ca="1"/>
        <v>34.736529869733602</v>
      </c>
      <c r="AG2744" s="2">
        <f ca="1"/>
        <v>0.60689385968736786</v>
      </c>
      <c r="AH2744" s="2" t="str">
        <f ca="1"/>
        <v>Bad</v>
      </c>
    </row>
    <row r="2745" spans="2:34">
      <c r="B2745" s="2">
        <f ca="1"/>
        <v>0.81667740240635189</v>
      </c>
      <c r="O2745" s="2">
        <f ca="1"/>
        <v>0.18207990989472259</v>
      </c>
      <c r="X2745" s="2">
        <f ca="1"/>
        <v>66.704242290712529</v>
      </c>
      <c r="AG2745" s="2">
        <f ca="1"/>
        <v>0.1030686681465538</v>
      </c>
      <c r="AH2745" s="2" t="str">
        <f ca="1"/>
        <v>OK</v>
      </c>
    </row>
    <row r="2746" spans="2:34">
      <c r="B2746" s="2">
        <f ca="1"/>
        <v>0.94124347380028928</v>
      </c>
      <c r="O2746" s="2">
        <f ca="1"/>
        <v>0.92740204343780397</v>
      </c>
      <c r="X2746" s="2">
        <f ca="1"/>
        <v>55.418705273535387</v>
      </c>
      <c r="AG2746" s="2">
        <f ca="1"/>
        <v>0.55477827678971448</v>
      </c>
      <c r="AH2746" s="2" t="str">
        <f ca="1"/>
        <v>Bad</v>
      </c>
    </row>
    <row r="2747" spans="2:34">
      <c r="B2747" s="2">
        <f ca="1"/>
        <v>0.22096494416217172</v>
      </c>
      <c r="O2747" s="2">
        <f ca="1"/>
        <v>-0.66704205220894985</v>
      </c>
      <c r="X2747" s="2">
        <f ca="1"/>
        <v>31.942492491479374</v>
      </c>
      <c r="AG2747" s="2">
        <f ca="1"/>
        <v>0.42889891822378789</v>
      </c>
      <c r="AH2747" s="2" t="str">
        <f ca="1"/>
        <v>Bad</v>
      </c>
    </row>
    <row r="2748" spans="2:34">
      <c r="B2748" s="2">
        <f ca="1"/>
        <v>0.36708396109439567</v>
      </c>
      <c r="O2748" s="2">
        <f ca="1"/>
        <v>-1.3185881286746974</v>
      </c>
      <c r="X2748" s="2">
        <f ca="1"/>
        <v>46.140450349569733</v>
      </c>
      <c r="AG2748" s="2">
        <f ca="1"/>
        <v>0.68093115634358892</v>
      </c>
      <c r="AH2748" s="2" t="str">
        <f ca="1"/>
        <v>Bad</v>
      </c>
    </row>
    <row r="2749" spans="2:34">
      <c r="B2749" s="2">
        <f ca="1"/>
        <v>0.43476204587686973</v>
      </c>
      <c r="O2749" s="2">
        <f ca="1"/>
        <v>1.255013304376992</v>
      </c>
      <c r="X2749" s="2">
        <f ca="1"/>
        <v>69.096542488092268</v>
      </c>
      <c r="AG2749" s="2">
        <f ca="1"/>
        <v>0.69527630618385428</v>
      </c>
      <c r="AH2749" s="2" t="str">
        <f ca="1"/>
        <v>Bad</v>
      </c>
    </row>
    <row r="2750" spans="2:34">
      <c r="B2750" s="2">
        <f ca="1"/>
        <v>0.61954839758426927</v>
      </c>
      <c r="O2750" s="2">
        <f ca="1"/>
        <v>2.0188441332602305</v>
      </c>
      <c r="X2750" s="2">
        <f ca="1"/>
        <v>47.789108195811394</v>
      </c>
      <c r="AG2750" s="2">
        <f ca="1"/>
        <v>0.84994241461484799</v>
      </c>
      <c r="AH2750" s="2" t="str">
        <f ca="1"/>
        <v>Bad</v>
      </c>
    </row>
    <row r="2751" spans="2:34">
      <c r="B2751" s="2">
        <f ca="1"/>
        <v>0.65421928714783362</v>
      </c>
      <c r="O2751" s="2">
        <f ca="1"/>
        <v>0.62038758903580271</v>
      </c>
      <c r="X2751" s="2">
        <f ca="1"/>
        <v>30.534775359937605</v>
      </c>
      <c r="AG2751" s="2">
        <f ca="1"/>
        <v>0.8250197131119088</v>
      </c>
      <c r="AH2751" s="2" t="str">
        <f ca="1"/>
        <v>Bad</v>
      </c>
    </row>
    <row r="2752" spans="2:34">
      <c r="B2752" s="2">
        <f ca="1"/>
        <v>0.14390138196990399</v>
      </c>
      <c r="O2752" s="2">
        <f ca="1"/>
        <v>1.0491664236957112</v>
      </c>
      <c r="X2752" s="2">
        <f ca="1"/>
        <v>57.547452843031373</v>
      </c>
      <c r="AG2752" s="2">
        <f ca="1"/>
        <v>0.14137557452030913</v>
      </c>
      <c r="AH2752" s="2" t="str">
        <f ca="1"/>
        <v>OK</v>
      </c>
    </row>
    <row r="2753" spans="2:34">
      <c r="B2753" s="2">
        <f ca="1"/>
        <v>0.11412774262597147</v>
      </c>
      <c r="O2753" s="2">
        <f ca="1"/>
        <v>0.3974316479669216</v>
      </c>
      <c r="X2753" s="2">
        <f ca="1"/>
        <v>37.055368070932325</v>
      </c>
      <c r="AG2753" s="2">
        <f ca="1"/>
        <v>1.7450988141050061E-3</v>
      </c>
      <c r="AH2753" s="2" t="str">
        <f ca="1"/>
        <v>Good</v>
      </c>
    </row>
    <row r="2754" spans="2:34">
      <c r="B2754" s="2">
        <f ca="1"/>
        <v>0.39707222869894743</v>
      </c>
      <c r="O2754" s="2">
        <f ca="1"/>
        <v>1.4117905358779135</v>
      </c>
      <c r="X2754" s="2">
        <f ca="1"/>
        <v>41.540710873023144</v>
      </c>
      <c r="AG2754" s="2">
        <f ca="1"/>
        <v>0.98601802318117149</v>
      </c>
      <c r="AH2754" s="2" t="str">
        <f ca="1"/>
        <v>Bad</v>
      </c>
    </row>
    <row r="2755" spans="2:34">
      <c r="B2755" s="2">
        <f ca="1"/>
        <v>0.38007124611176257</v>
      </c>
      <c r="O2755" s="2">
        <f ca="1"/>
        <v>-0.65339574755514707</v>
      </c>
      <c r="X2755" s="2">
        <f ca="1"/>
        <v>66.090435565240114</v>
      </c>
      <c r="AG2755" s="2">
        <f ca="1"/>
        <v>0.15672170520629081</v>
      </c>
      <c r="AH2755" s="2" t="str">
        <f ca="1"/>
        <v>OK</v>
      </c>
    </row>
    <row r="2756" spans="2:34">
      <c r="B2756" s="2">
        <f ca="1"/>
        <v>0.33564451855819155</v>
      </c>
      <c r="O2756" s="2">
        <f ca="1"/>
        <v>-1.1088720748966638</v>
      </c>
      <c r="X2756" s="2">
        <f ca="1"/>
        <v>52.690785906546019</v>
      </c>
      <c r="AG2756" s="2">
        <f ca="1"/>
        <v>0.8461654595749184</v>
      </c>
      <c r="AH2756" s="2" t="str">
        <f ca="1"/>
        <v>Bad</v>
      </c>
    </row>
    <row r="2757" spans="2:34">
      <c r="B2757" s="2">
        <f ca="1"/>
        <v>0.3618622156007405</v>
      </c>
      <c r="O2757" s="2">
        <f ca="1"/>
        <v>-1.3724510218413843</v>
      </c>
      <c r="X2757" s="2">
        <f ca="1"/>
        <v>32.41663333299568</v>
      </c>
      <c r="AG2757" s="2">
        <f ca="1"/>
        <v>0.8000148826134259</v>
      </c>
      <c r="AH2757" s="2" t="str">
        <f ca="1"/>
        <v>Bad</v>
      </c>
    </row>
    <row r="2758" spans="2:34">
      <c r="B2758" s="2">
        <f ca="1"/>
        <v>0.7100255165925824</v>
      </c>
      <c r="O2758" s="2">
        <f ca="1"/>
        <v>1.1346851867899777</v>
      </c>
      <c r="X2758" s="2">
        <f ca="1"/>
        <v>54.376199408750821</v>
      </c>
      <c r="AG2758" s="2">
        <f ca="1"/>
        <v>0.98631391473688712</v>
      </c>
      <c r="AH2758" s="2" t="str">
        <f ca="1"/>
        <v>Bad</v>
      </c>
    </row>
    <row r="2759" spans="2:34">
      <c r="B2759" s="2">
        <f ca="1"/>
        <v>0.12173003216610234</v>
      </c>
      <c r="O2759" s="2">
        <f ca="1"/>
        <v>0.21350919601202015</v>
      </c>
      <c r="X2759" s="2">
        <f ca="1"/>
        <v>32.177837634983021</v>
      </c>
      <c r="AG2759" s="2">
        <f ca="1"/>
        <v>0.96958504734348838</v>
      </c>
      <c r="AH2759" s="2" t="str">
        <f ca="1"/>
        <v>Bad</v>
      </c>
    </row>
    <row r="2760" spans="2:34">
      <c r="B2760" s="2">
        <f ca="1"/>
        <v>0.79711605257257045</v>
      </c>
      <c r="O2760" s="2">
        <f ca="1"/>
        <v>-1.3925973197034478</v>
      </c>
      <c r="X2760" s="2">
        <f ca="1"/>
        <v>44.507574975120932</v>
      </c>
      <c r="AG2760" s="2">
        <f ca="1"/>
        <v>0.96829518491795508</v>
      </c>
      <c r="AH2760" s="2" t="str">
        <f ca="1"/>
        <v>Bad</v>
      </c>
    </row>
    <row r="2761" spans="2:34">
      <c r="B2761" s="2">
        <f ca="1"/>
        <v>6.166076923818764E-2</v>
      </c>
      <c r="O2761" s="2">
        <f ca="1"/>
        <v>0.12083163493589563</v>
      </c>
      <c r="X2761" s="2">
        <f ca="1"/>
        <v>50.969095519141511</v>
      </c>
      <c r="AG2761" s="2">
        <f ca="1"/>
        <v>0.42889867685553162</v>
      </c>
      <c r="AH2761" s="2" t="str">
        <f ca="1"/>
        <v>Bad</v>
      </c>
    </row>
    <row r="2762" spans="2:34">
      <c r="B2762" s="2">
        <f ca="1"/>
        <v>0.34789465534295561</v>
      </c>
      <c r="O2762" s="2">
        <f ca="1"/>
        <v>0.87115529862404162</v>
      </c>
      <c r="X2762" s="2">
        <f ca="1"/>
        <v>48.260930787228055</v>
      </c>
      <c r="AG2762" s="2">
        <f ca="1"/>
        <v>0.55698738915490376</v>
      </c>
      <c r="AH2762" s="2" t="str">
        <f ca="1"/>
        <v>Bad</v>
      </c>
    </row>
    <row r="2763" spans="2:34">
      <c r="B2763" s="2">
        <f ca="1"/>
        <v>0.84102611792081761</v>
      </c>
      <c r="O2763" s="2">
        <f ca="1"/>
        <v>-0.35189319982990086</v>
      </c>
      <c r="X2763" s="2">
        <f ca="1"/>
        <v>47.331968234263854</v>
      </c>
      <c r="AG2763" s="2">
        <f ca="1"/>
        <v>0.51868295579270751</v>
      </c>
      <c r="AH2763" s="2" t="str">
        <f ca="1"/>
        <v>Bad</v>
      </c>
    </row>
    <row r="2764" spans="2:34">
      <c r="B2764" s="2">
        <f ca="1"/>
        <v>0.47783070626081026</v>
      </c>
      <c r="O2764" s="2">
        <f ca="1"/>
        <v>-0.8704129582496245</v>
      </c>
      <c r="X2764" s="2">
        <f ca="1"/>
        <v>59.202682196426338</v>
      </c>
      <c r="AG2764" s="2">
        <f ca="1"/>
        <v>0.19725094593671066</v>
      </c>
      <c r="AH2764" s="2" t="str">
        <f ca="1"/>
        <v>OK</v>
      </c>
    </row>
    <row r="2765" spans="2:34">
      <c r="B2765" s="2">
        <f ca="1"/>
        <v>0.34009738567751735</v>
      </c>
      <c r="O2765" s="2">
        <f ca="1"/>
        <v>-1.143085880396892</v>
      </c>
      <c r="X2765" s="2">
        <f ca="1"/>
        <v>68.8224008160106</v>
      </c>
      <c r="AG2765" s="2">
        <f ca="1"/>
        <v>0.80254261514077085</v>
      </c>
      <c r="AH2765" s="2" t="str">
        <f ca="1"/>
        <v>Bad</v>
      </c>
    </row>
    <row r="2766" spans="2:34">
      <c r="B2766" s="2">
        <f ca="1"/>
        <v>0.45599241397060708</v>
      </c>
      <c r="O2766" s="2">
        <f ca="1"/>
        <v>-4.3082250653595083E-2</v>
      </c>
      <c r="X2766" s="2">
        <f ca="1"/>
        <v>19.472534084156287</v>
      </c>
      <c r="AG2766" s="2">
        <f ca="1"/>
        <v>0.73893802251432517</v>
      </c>
      <c r="AH2766" s="2" t="str">
        <f ca="1"/>
        <v>Bad</v>
      </c>
    </row>
    <row r="2767" spans="2:34">
      <c r="B2767" s="2">
        <f ca="1"/>
        <v>0.85053597600388753</v>
      </c>
      <c r="O2767" s="2">
        <f ca="1"/>
        <v>4.7178340210276747E-2</v>
      </c>
      <c r="X2767" s="2">
        <f ca="1"/>
        <v>49.478584300915294</v>
      </c>
      <c r="AG2767" s="2">
        <f ca="1"/>
        <v>0.165471211468047</v>
      </c>
      <c r="AH2767" s="2" t="str">
        <f ca="1"/>
        <v>OK</v>
      </c>
    </row>
    <row r="2768" spans="2:34">
      <c r="B2768" s="2">
        <f ca="1"/>
        <v>0.68945410815830566</v>
      </c>
      <c r="O2768" s="2">
        <f ca="1"/>
        <v>-1.0951064971360325</v>
      </c>
      <c r="X2768" s="2">
        <f ca="1"/>
        <v>44.290815796758373</v>
      </c>
      <c r="AG2768" s="2">
        <f ca="1"/>
        <v>0.14646937646478619</v>
      </c>
      <c r="AH2768" s="2" t="str">
        <f ca="1"/>
        <v>OK</v>
      </c>
    </row>
    <row r="2769" spans="2:34">
      <c r="B2769" s="2">
        <f ca="1"/>
        <v>0.74569004986636989</v>
      </c>
      <c r="O2769" s="2">
        <f ca="1"/>
        <v>0.46256089471866707</v>
      </c>
      <c r="X2769" s="2">
        <f ca="1"/>
        <v>43.186612697437269</v>
      </c>
      <c r="AG2769" s="2">
        <f ca="1"/>
        <v>0.16291084674589529</v>
      </c>
      <c r="AH2769" s="2" t="str">
        <f ca="1"/>
        <v>OK</v>
      </c>
    </row>
    <row r="2770" spans="2:34">
      <c r="B2770" s="2">
        <f ca="1"/>
        <v>0.51539704910865836</v>
      </c>
      <c r="O2770" s="2">
        <f ca="1"/>
        <v>7.8209829499869807E-2</v>
      </c>
      <c r="X2770" s="2">
        <f ca="1"/>
        <v>67.246969073988879</v>
      </c>
      <c r="AG2770" s="2">
        <f ca="1"/>
        <v>0.55273919534693183</v>
      </c>
      <c r="AH2770" s="2" t="str">
        <f ca="1"/>
        <v>Bad</v>
      </c>
    </row>
    <row r="2771" spans="2:34">
      <c r="B2771" s="2">
        <f ca="1"/>
        <v>0.83501042769101197</v>
      </c>
      <c r="O2771" s="2">
        <f ca="1"/>
        <v>0.91566782758435472</v>
      </c>
      <c r="X2771" s="2">
        <f ca="1"/>
        <v>35.052091420684533</v>
      </c>
      <c r="AG2771" s="2">
        <f ca="1"/>
        <v>0.92902054811636359</v>
      </c>
      <c r="AH2771" s="2" t="str">
        <f ca="1"/>
        <v>Bad</v>
      </c>
    </row>
    <row r="2772" spans="2:34">
      <c r="B2772" s="2">
        <f ca="1"/>
        <v>0.60202685566085923</v>
      </c>
      <c r="O2772" s="2">
        <f ca="1"/>
        <v>1.2199096275993568</v>
      </c>
      <c r="X2772" s="2">
        <f ca="1"/>
        <v>54.588217603765969</v>
      </c>
      <c r="AG2772" s="2">
        <f ca="1"/>
        <v>0.51207817851740423</v>
      </c>
      <c r="AH2772" s="2" t="str">
        <f ca="1"/>
        <v>Bad</v>
      </c>
    </row>
    <row r="2773" spans="2:34">
      <c r="B2773" s="2">
        <f ca="1"/>
        <v>0.12527319569925854</v>
      </c>
      <c r="O2773" s="2">
        <f ca="1"/>
        <v>7.2103359298364682E-3</v>
      </c>
      <c r="X2773" s="2">
        <f ca="1"/>
        <v>47.915499381467555</v>
      </c>
      <c r="AG2773" s="2">
        <f ca="1"/>
        <v>0.88909941512331025</v>
      </c>
      <c r="AH2773" s="2" t="str">
        <f ca="1"/>
        <v>Bad</v>
      </c>
    </row>
    <row r="2774" spans="2:34">
      <c r="B2774" s="2">
        <f ca="1"/>
        <v>2.1391941463198449E-2</v>
      </c>
      <c r="O2774" s="2">
        <f ca="1"/>
        <v>-0.87490516831618359</v>
      </c>
      <c r="X2774" s="2">
        <f ca="1"/>
        <v>47.705280206523817</v>
      </c>
      <c r="AG2774" s="2">
        <f ca="1"/>
        <v>0.60224797950677367</v>
      </c>
      <c r="AH2774" s="2" t="str">
        <f ca="1"/>
        <v>Bad</v>
      </c>
    </row>
    <row r="2775" spans="2:34">
      <c r="B2775" s="2">
        <f ca="1"/>
        <v>0.49664719987880335</v>
      </c>
      <c r="O2775" s="2">
        <f ca="1"/>
        <v>1.4041655255050705</v>
      </c>
      <c r="X2775" s="2">
        <f ca="1"/>
        <v>71.770033293685216</v>
      </c>
      <c r="AG2775" s="2">
        <f ca="1"/>
        <v>0.15310517188027406</v>
      </c>
      <c r="AH2775" s="2" t="str">
        <f ca="1"/>
        <v>OK</v>
      </c>
    </row>
    <row r="2776" spans="2:34">
      <c r="B2776" s="2">
        <f ca="1"/>
        <v>0.13699154078276909</v>
      </c>
      <c r="O2776" s="2">
        <f ca="1"/>
        <v>1.1013089462616752</v>
      </c>
      <c r="X2776" s="2">
        <f ca="1"/>
        <v>21.62720459458339</v>
      </c>
      <c r="AG2776" s="2">
        <f ca="1"/>
        <v>0.15453665615213441</v>
      </c>
      <c r="AH2776" s="2" t="str">
        <f ca="1"/>
        <v>OK</v>
      </c>
    </row>
    <row r="2777" spans="2:34">
      <c r="B2777" s="2">
        <f ca="1"/>
        <v>0.59891605507513535</v>
      </c>
      <c r="O2777" s="2">
        <f ca="1"/>
        <v>0.37255263311429543</v>
      </c>
      <c r="X2777" s="2">
        <f ca="1"/>
        <v>33.979124024382273</v>
      </c>
      <c r="AG2777" s="2">
        <f ca="1"/>
        <v>0.22673956958529495</v>
      </c>
      <c r="AH2777" s="2" t="str">
        <f ca="1"/>
        <v>OK</v>
      </c>
    </row>
    <row r="2778" spans="2:34">
      <c r="B2778" s="2">
        <f ca="1"/>
        <v>0.39602002430793393</v>
      </c>
      <c r="O2778" s="2">
        <f ca="1"/>
        <v>0.52890518801824538</v>
      </c>
      <c r="X2778" s="2">
        <f ca="1"/>
        <v>33.04250578074145</v>
      </c>
      <c r="AG2778" s="2">
        <f ca="1"/>
        <v>0.7387554273496979</v>
      </c>
      <c r="AH2778" s="2" t="str">
        <f ca="1"/>
        <v>Bad</v>
      </c>
    </row>
    <row r="2779" spans="2:34">
      <c r="B2779" s="2">
        <f ca="1"/>
        <v>0.34723146353597567</v>
      </c>
      <c r="O2779" s="2">
        <f ca="1"/>
        <v>0.17653220588217605</v>
      </c>
      <c r="X2779" s="2">
        <f ca="1"/>
        <v>67.134488329142471</v>
      </c>
      <c r="AG2779" s="2">
        <f ca="1"/>
        <v>0.51476777960957576</v>
      </c>
      <c r="AH2779" s="2" t="str">
        <f ca="1"/>
        <v>Bad</v>
      </c>
    </row>
    <row r="2780" spans="2:34">
      <c r="B2780" s="2">
        <f ca="1"/>
        <v>0.42070191300151083</v>
      </c>
      <c r="O2780" s="2">
        <f ca="1"/>
        <v>-0.95779016959602636</v>
      </c>
      <c r="X2780" s="2">
        <f ca="1"/>
        <v>59.12318856386544</v>
      </c>
      <c r="AG2780" s="2">
        <f ca="1"/>
        <v>0.68789829461685592</v>
      </c>
      <c r="AH2780" s="2" t="str">
        <f ca="1"/>
        <v>Bad</v>
      </c>
    </row>
    <row r="2781" spans="2:34">
      <c r="B2781" s="2">
        <f ca="1"/>
        <v>0.61590817547603538</v>
      </c>
      <c r="O2781" s="2">
        <f ca="1"/>
        <v>-0.8583737605519981</v>
      </c>
      <c r="X2781" s="2">
        <f ca="1"/>
        <v>59.657668704267607</v>
      </c>
      <c r="AG2781" s="2">
        <f ca="1"/>
        <v>0.97863470432964506</v>
      </c>
      <c r="AH2781" s="2" t="str">
        <f ca="1"/>
        <v>Bad</v>
      </c>
    </row>
    <row r="2782" spans="2:34">
      <c r="B2782" s="2">
        <f ca="1"/>
        <v>0.88993582823403283</v>
      </c>
      <c r="O2782" s="2">
        <f ca="1"/>
        <v>-0.65893579493184007</v>
      </c>
      <c r="X2782" s="2">
        <f ca="1"/>
        <v>46.297669493700653</v>
      </c>
      <c r="AG2782" s="2">
        <f ca="1"/>
        <v>9.2835914456295354E-2</v>
      </c>
      <c r="AH2782" s="2" t="str">
        <f ca="1"/>
        <v>OK</v>
      </c>
    </row>
    <row r="2783" spans="2:34">
      <c r="B2783" s="2">
        <f ca="1"/>
        <v>0.8545672822297381</v>
      </c>
      <c r="O2783" s="2">
        <f ca="1"/>
        <v>0.53021468347116796</v>
      </c>
      <c r="X2783" s="2">
        <f ca="1"/>
        <v>43.054587648057783</v>
      </c>
      <c r="AG2783" s="2">
        <f ca="1"/>
        <v>0.98370573215799495</v>
      </c>
      <c r="AH2783" s="2" t="str">
        <f ca="1"/>
        <v>Bad</v>
      </c>
    </row>
    <row r="2784" spans="2:34">
      <c r="B2784" s="2">
        <f ca="1"/>
        <v>0.94912238867554399</v>
      </c>
      <c r="O2784" s="2">
        <f ca="1"/>
        <v>-0.92245930311076907</v>
      </c>
      <c r="X2784" s="2">
        <f ca="1"/>
        <v>98.374739168827062</v>
      </c>
      <c r="AG2784" s="2">
        <f ca="1"/>
        <v>0.23169154058821273</v>
      </c>
      <c r="AH2784" s="2" t="str">
        <f ca="1"/>
        <v>OK</v>
      </c>
    </row>
    <row r="2785" spans="2:34">
      <c r="B2785" s="2">
        <f ca="1"/>
        <v>0.66478859733503515</v>
      </c>
      <c r="O2785" s="2">
        <f ca="1"/>
        <v>-0.73755382982493378</v>
      </c>
      <c r="X2785" s="2">
        <f ca="1"/>
        <v>66.324121538503647</v>
      </c>
      <c r="AG2785" s="2">
        <f ca="1"/>
        <v>0.83211594660557076</v>
      </c>
      <c r="AH2785" s="2" t="str">
        <f ca="1"/>
        <v>Bad</v>
      </c>
    </row>
    <row r="2786" spans="2:34">
      <c r="B2786" s="2">
        <f ca="1"/>
        <v>0.95801134764239815</v>
      </c>
      <c r="O2786" s="2">
        <f ca="1"/>
        <v>0.67635537792423095</v>
      </c>
      <c r="X2786" s="2">
        <f ca="1"/>
        <v>67.255806524782599</v>
      </c>
      <c r="AG2786" s="2">
        <f ca="1"/>
        <v>0.94104626992351115</v>
      </c>
      <c r="AH2786" s="2" t="str">
        <f ca="1"/>
        <v>Bad</v>
      </c>
    </row>
    <row r="2787" spans="2:34">
      <c r="B2787" s="2">
        <f ca="1"/>
        <v>4.1939547592330095E-2</v>
      </c>
      <c r="O2787" s="2">
        <f ca="1"/>
        <v>0.42547705401457458</v>
      </c>
      <c r="X2787" s="2">
        <f ca="1"/>
        <v>34.583538591120437</v>
      </c>
      <c r="AG2787" s="2">
        <f ca="1"/>
        <v>0.34909276451201854</v>
      </c>
      <c r="AH2787" s="2" t="str">
        <f ca="1"/>
        <v>OK</v>
      </c>
    </row>
    <row r="2788" spans="2:34">
      <c r="B2788" s="2">
        <f ca="1"/>
        <v>0.60424452904729375</v>
      </c>
      <c r="O2788" s="2">
        <f ca="1"/>
        <v>0.93182906067402371</v>
      </c>
      <c r="X2788" s="2">
        <f ca="1"/>
        <v>40.430261660820975</v>
      </c>
      <c r="AG2788" s="2">
        <f ca="1"/>
        <v>0.93915510757736542</v>
      </c>
      <c r="AH2788" s="2" t="str">
        <f ca="1"/>
        <v>Bad</v>
      </c>
    </row>
    <row r="2789" spans="2:34">
      <c r="B2789" s="2">
        <f ca="1"/>
        <v>0.48401876225262308</v>
      </c>
      <c r="O2789" s="2">
        <f ca="1"/>
        <v>-0.72116349678303937</v>
      </c>
      <c r="X2789" s="2">
        <f ca="1"/>
        <v>49.453195537117665</v>
      </c>
      <c r="AG2789" s="2">
        <f ca="1"/>
        <v>0.42622463039299463</v>
      </c>
      <c r="AH2789" s="2" t="str">
        <f ca="1"/>
        <v>Bad</v>
      </c>
    </row>
    <row r="2790" spans="2:34">
      <c r="B2790" s="2">
        <f ca="1"/>
        <v>0.13636386473256978</v>
      </c>
      <c r="O2790" s="2">
        <f ca="1"/>
        <v>0.34381038526396335</v>
      </c>
      <c r="X2790" s="2">
        <f ca="1"/>
        <v>65.785183552364344</v>
      </c>
      <c r="AG2790" s="2">
        <f ca="1"/>
        <v>0.95943337237991755</v>
      </c>
      <c r="AH2790" s="2" t="str">
        <f ca="1"/>
        <v>Bad</v>
      </c>
    </row>
    <row r="2791" spans="2:34">
      <c r="B2791" s="2">
        <f ca="1"/>
        <v>0.20647887127898268</v>
      </c>
      <c r="O2791" s="2">
        <f ca="1"/>
        <v>1.7773415927850673</v>
      </c>
      <c r="X2791" s="2">
        <f ca="1"/>
        <v>48.846944605826295</v>
      </c>
      <c r="AG2791" s="2">
        <f ca="1"/>
        <v>0.78395714749991052</v>
      </c>
      <c r="AH2791" s="2" t="str">
        <f ca="1"/>
        <v>Bad</v>
      </c>
    </row>
    <row r="2792" spans="2:34">
      <c r="B2792" s="2">
        <f ca="1"/>
        <v>0.10753478198103461</v>
      </c>
      <c r="O2792" s="2">
        <f ca="1"/>
        <v>-0.96838665843654348</v>
      </c>
      <c r="X2792" s="2">
        <f ca="1"/>
        <v>52.835254640357611</v>
      </c>
      <c r="AG2792" s="2">
        <f ca="1"/>
        <v>0.45898473042705912</v>
      </c>
      <c r="AH2792" s="2" t="str">
        <f ca="1"/>
        <v>Bad</v>
      </c>
    </row>
    <row r="2793" spans="2:34">
      <c r="B2793" s="2">
        <f ca="1"/>
        <v>0.55604990973557489</v>
      </c>
      <c r="O2793" s="2">
        <f ca="1"/>
        <v>1.2962889885827911</v>
      </c>
      <c r="X2793" s="2">
        <f ca="1"/>
        <v>70.330123831477806</v>
      </c>
      <c r="AG2793" s="2">
        <f ca="1"/>
        <v>0.61002000106577037</v>
      </c>
      <c r="AH2793" s="2" t="str">
        <f ca="1"/>
        <v>Bad</v>
      </c>
    </row>
    <row r="2794" spans="2:34">
      <c r="B2794" s="2">
        <f ca="1"/>
        <v>0.46682639832363049</v>
      </c>
      <c r="O2794" s="2">
        <f ca="1"/>
        <v>0.67332780704991657</v>
      </c>
      <c r="X2794" s="2">
        <f ca="1"/>
        <v>45.709427467246755</v>
      </c>
      <c r="AG2794" s="2">
        <f ca="1"/>
        <v>0.80302288988459414</v>
      </c>
      <c r="AH2794" s="2" t="str">
        <f ca="1"/>
        <v>Bad</v>
      </c>
    </row>
    <row r="2795" spans="2:34">
      <c r="B2795" s="2">
        <f ca="1"/>
        <v>0.13763535133426497</v>
      </c>
      <c r="O2795" s="2">
        <f ca="1"/>
        <v>-1.2975492724726514</v>
      </c>
      <c r="X2795" s="2">
        <f ca="1"/>
        <v>17.987393848614627</v>
      </c>
      <c r="AG2795" s="2">
        <f ca="1"/>
        <v>0.97119814766346857</v>
      </c>
      <c r="AH2795" s="2" t="str">
        <f ca="1"/>
        <v>Bad</v>
      </c>
    </row>
    <row r="2796" spans="2:34">
      <c r="B2796" s="2">
        <f ca="1"/>
        <v>0.45903238432526883</v>
      </c>
      <c r="O2796" s="2">
        <f ca="1"/>
        <v>-0.39398984111316149</v>
      </c>
      <c r="X2796" s="2">
        <f ca="1"/>
        <v>25.069059791807348</v>
      </c>
      <c r="AG2796" s="2">
        <f ca="1"/>
        <v>0.37022250225637632</v>
      </c>
      <c r="AH2796" s="2" t="str">
        <f ca="1"/>
        <v>OK</v>
      </c>
    </row>
    <row r="2797" spans="2:34">
      <c r="B2797" s="2">
        <f ca="1"/>
        <v>0.14342616241665151</v>
      </c>
      <c r="O2797" s="2">
        <f ca="1"/>
        <v>-1.2747643667182318</v>
      </c>
      <c r="X2797" s="2">
        <f ca="1"/>
        <v>35.895032111996414</v>
      </c>
      <c r="AG2797" s="2">
        <f ca="1"/>
        <v>0.8746398305871057</v>
      </c>
      <c r="AH2797" s="2" t="str">
        <f ca="1"/>
        <v>Bad</v>
      </c>
    </row>
    <row r="2798" spans="2:34">
      <c r="B2798" s="2">
        <f ca="1"/>
        <v>0.79530305374554389</v>
      </c>
      <c r="O2798" s="2">
        <f ca="1"/>
        <v>0.4897012006446016</v>
      </c>
      <c r="X2798" s="2">
        <f ca="1"/>
        <v>43.990514248926537</v>
      </c>
      <c r="AG2798" s="2">
        <f ca="1"/>
        <v>0.44623166231722733</v>
      </c>
      <c r="AH2798" s="2" t="str">
        <f ca="1"/>
        <v>Bad</v>
      </c>
    </row>
    <row r="2799" spans="2:34">
      <c r="B2799" s="2">
        <f ca="1"/>
        <v>0.61958477155877634</v>
      </c>
      <c r="O2799" s="2">
        <f ca="1"/>
        <v>-1.4569786296750058</v>
      </c>
      <c r="X2799" s="2">
        <f ca="1"/>
        <v>65.967710259717919</v>
      </c>
      <c r="AG2799" s="2">
        <f ca="1"/>
        <v>0.88225973221180665</v>
      </c>
      <c r="AH2799" s="2" t="str">
        <f ca="1"/>
        <v>Bad</v>
      </c>
    </row>
    <row r="2800" spans="2:34">
      <c r="B2800" s="2">
        <f ca="1"/>
        <v>0.25279733920736347</v>
      </c>
      <c r="O2800" s="2">
        <f ca="1"/>
        <v>-2.2380633265199359</v>
      </c>
      <c r="X2800" s="2">
        <f ca="1"/>
        <v>42.289902186778853</v>
      </c>
      <c r="AG2800" s="2">
        <f ca="1"/>
        <v>0.87257506153203757</v>
      </c>
      <c r="AH2800" s="2" t="str">
        <f ca="1"/>
        <v>Bad</v>
      </c>
    </row>
    <row r="2801" spans="2:34">
      <c r="B2801" s="2">
        <f ca="1"/>
        <v>0.3249729947951745</v>
      </c>
      <c r="O2801" s="2">
        <f ca="1"/>
        <v>0.26427580142658286</v>
      </c>
      <c r="X2801" s="2">
        <f ca="1"/>
        <v>39.632791912317572</v>
      </c>
      <c r="AG2801" s="2">
        <f ca="1"/>
        <v>9.0291623399165744E-3</v>
      </c>
      <c r="AH2801" s="2" t="str">
        <f ca="1"/>
        <v>Good</v>
      </c>
    </row>
    <row r="2802" spans="2:34">
      <c r="B2802" s="2">
        <f ca="1"/>
        <v>0.53012793999936791</v>
      </c>
      <c r="O2802" s="2">
        <f ca="1"/>
        <v>-1.0963129617462668</v>
      </c>
      <c r="X2802" s="2">
        <f ca="1"/>
        <v>57.701496572888075</v>
      </c>
      <c r="AG2802" s="2">
        <f ca="1"/>
        <v>0.99730513193455428</v>
      </c>
      <c r="AH2802" s="2" t="str">
        <f ca="1"/>
        <v>Bad</v>
      </c>
    </row>
    <row r="2803" spans="2:34">
      <c r="B2803" s="2">
        <f ca="1"/>
        <v>0.1103022393212818</v>
      </c>
      <c r="O2803" s="2">
        <f ca="1"/>
        <v>0.12874012700408363</v>
      </c>
      <c r="X2803" s="2">
        <f ca="1"/>
        <v>68.741133280524181</v>
      </c>
      <c r="AG2803" s="2">
        <f ca="1"/>
        <v>0.38594013694055707</v>
      </c>
      <c r="AH2803" s="2" t="str">
        <f ca="1"/>
        <v>OK</v>
      </c>
    </row>
    <row r="2804" spans="2:34">
      <c r="B2804" s="2">
        <f ca="1"/>
        <v>0.29053784062560761</v>
      </c>
      <c r="O2804" s="2">
        <f ca="1"/>
        <v>0.47526451997711083</v>
      </c>
      <c r="X2804" s="2">
        <f ca="1"/>
        <v>62.518072112112549</v>
      </c>
      <c r="AG2804" s="2">
        <f ca="1"/>
        <v>0.87229630249308721</v>
      </c>
      <c r="AH2804" s="2" t="str">
        <f ca="1"/>
        <v>Bad</v>
      </c>
    </row>
    <row r="2805" spans="2:34">
      <c r="B2805" s="2">
        <f ca="1"/>
        <v>0.83617210492532501</v>
      </c>
      <c r="O2805" s="2">
        <f ca="1"/>
        <v>-0.4883074275074239</v>
      </c>
      <c r="X2805" s="2">
        <f ca="1"/>
        <v>56.502461221622688</v>
      </c>
      <c r="AG2805" s="2">
        <f ca="1"/>
        <v>0.94626369601045179</v>
      </c>
      <c r="AH2805" s="2" t="str">
        <f ca="1"/>
        <v>Bad</v>
      </c>
    </row>
    <row r="2806" spans="2:34">
      <c r="B2806" s="2">
        <f ca="1"/>
        <v>0.97526194965817803</v>
      </c>
      <c r="O2806" s="2">
        <f ca="1"/>
        <v>2.8670776766564682E-2</v>
      </c>
      <c r="X2806" s="2">
        <f ca="1"/>
        <v>52.055896793993533</v>
      </c>
      <c r="AG2806" s="2">
        <f ca="1"/>
        <v>0.45717792746522301</v>
      </c>
      <c r="AH2806" s="2" t="str">
        <f ca="1"/>
        <v>Bad</v>
      </c>
    </row>
    <row r="2807" spans="2:34">
      <c r="B2807" s="2">
        <f ca="1"/>
        <v>0.72087162199961385</v>
      </c>
      <c r="O2807" s="2">
        <f ca="1"/>
        <v>0.28943081344256988</v>
      </c>
      <c r="X2807" s="2">
        <f ca="1"/>
        <v>52.806452285685808</v>
      </c>
      <c r="AG2807" s="2">
        <f ca="1"/>
        <v>0.79281373736169369</v>
      </c>
      <c r="AH2807" s="2" t="str">
        <f ca="1"/>
        <v>Bad</v>
      </c>
    </row>
    <row r="2808" spans="2:34">
      <c r="B2808" s="2">
        <f ca="1"/>
        <v>4.901033878620753E-2</v>
      </c>
      <c r="O2808" s="2">
        <f ca="1"/>
        <v>1.4042226446102781</v>
      </c>
      <c r="X2808" s="2">
        <f ca="1"/>
        <v>76.748591718037872</v>
      </c>
      <c r="AG2808" s="2">
        <f ca="1"/>
        <v>0.56340413882139373</v>
      </c>
      <c r="AH2808" s="2" t="str">
        <f ca="1"/>
        <v>Bad</v>
      </c>
    </row>
    <row r="2809" spans="2:34">
      <c r="B2809" s="2">
        <f ca="1"/>
        <v>0.74433903979222804</v>
      </c>
      <c r="O2809" s="2">
        <f ca="1"/>
        <v>-0.47584323420264119</v>
      </c>
      <c r="X2809" s="2">
        <f ca="1"/>
        <v>73.643043280413451</v>
      </c>
      <c r="AG2809" s="2">
        <f ca="1"/>
        <v>9.584840460866606E-2</v>
      </c>
      <c r="AH2809" s="2" t="str">
        <f ca="1"/>
        <v>OK</v>
      </c>
    </row>
    <row r="2810" spans="2:34">
      <c r="B2810" s="2">
        <f ca="1"/>
        <v>9.6072676503122345E-2</v>
      </c>
      <c r="O2810" s="2">
        <f ca="1"/>
        <v>-0.23105018195210217</v>
      </c>
      <c r="X2810" s="2">
        <f ca="1"/>
        <v>69.655366754389249</v>
      </c>
      <c r="AG2810" s="2">
        <f ca="1"/>
        <v>0.83117826622836488</v>
      </c>
      <c r="AH2810" s="2" t="str">
        <f ca="1"/>
        <v>Bad</v>
      </c>
    </row>
    <row r="2811" spans="2:34">
      <c r="B2811" s="2">
        <f ca="1"/>
        <v>0.4323690345644402</v>
      </c>
      <c r="O2811" s="2">
        <f ca="1"/>
        <v>1.0357685411798474</v>
      </c>
      <c r="X2811" s="2">
        <f ca="1"/>
        <v>45.530729108564017</v>
      </c>
      <c r="AG2811" s="2">
        <f ca="1"/>
        <v>0.49401089301694467</v>
      </c>
      <c r="AH2811" s="2" t="str">
        <f ca="1"/>
        <v>Bad</v>
      </c>
    </row>
    <row r="2812" spans="2:34">
      <c r="B2812" s="2">
        <f ca="1"/>
        <v>0.50245122886320459</v>
      </c>
      <c r="O2812" s="2">
        <f ca="1"/>
        <v>2.2065222024117256E-2</v>
      </c>
      <c r="X2812" s="2">
        <f ca="1"/>
        <v>70.538676928786174</v>
      </c>
      <c r="AG2812" s="2">
        <f ca="1"/>
        <v>0.90758972875728272</v>
      </c>
      <c r="AH2812" s="2" t="str">
        <f ca="1"/>
        <v>Bad</v>
      </c>
    </row>
    <row r="2813" spans="2:34">
      <c r="B2813" s="2">
        <f ca="1"/>
        <v>0.66971527100596862</v>
      </c>
      <c r="O2813" s="2">
        <f ca="1"/>
        <v>-0.28487684030113769</v>
      </c>
      <c r="X2813" s="2">
        <f ca="1"/>
        <v>76.611960700454006</v>
      </c>
      <c r="AG2813" s="2">
        <f ca="1"/>
        <v>9.624289268290398E-2</v>
      </c>
      <c r="AH2813" s="2" t="str">
        <f ca="1"/>
        <v>OK</v>
      </c>
    </row>
    <row r="2814" spans="2:34">
      <c r="B2814" s="2">
        <f ca="1"/>
        <v>0.33371756767143879</v>
      </c>
      <c r="O2814" s="2">
        <f ca="1"/>
        <v>-0.78639778215406275</v>
      </c>
      <c r="X2814" s="2">
        <f ca="1"/>
        <v>53.533801521662099</v>
      </c>
      <c r="AG2814" s="2">
        <f ca="1"/>
        <v>0.35999107460610325</v>
      </c>
      <c r="AH2814" s="2" t="str">
        <f ca="1"/>
        <v>OK</v>
      </c>
    </row>
    <row r="2815" spans="2:34">
      <c r="B2815" s="2">
        <f ca="1"/>
        <v>0.10109220376198502</v>
      </c>
      <c r="O2815" s="2">
        <f ca="1"/>
        <v>-2.3884213222323414</v>
      </c>
      <c r="X2815" s="2">
        <f ca="1"/>
        <v>53.592600852208605</v>
      </c>
      <c r="AG2815" s="2">
        <f ca="1"/>
        <v>0.1971128166587377</v>
      </c>
      <c r="AH2815" s="2" t="str">
        <f ca="1"/>
        <v>OK</v>
      </c>
    </row>
    <row r="2816" spans="2:34">
      <c r="B2816" s="2">
        <f ca="1"/>
        <v>0.34793131283717726</v>
      </c>
      <c r="O2816" s="2">
        <f ca="1"/>
        <v>-1.8833260073198836</v>
      </c>
      <c r="X2816" s="2">
        <f ca="1"/>
        <v>53.518585243769358</v>
      </c>
      <c r="AG2816" s="2">
        <f ca="1"/>
        <v>0.11351701775412715</v>
      </c>
      <c r="AH2816" s="2" t="str">
        <f ca="1"/>
        <v>OK</v>
      </c>
    </row>
    <row r="2817" spans="2:34">
      <c r="B2817" s="2">
        <f ca="1"/>
        <v>6.4480254091389355E-2</v>
      </c>
      <c r="O2817" s="2">
        <f ca="1"/>
        <v>0.76596459764497749</v>
      </c>
      <c r="X2817" s="2">
        <f ca="1"/>
        <v>40.682712032151649</v>
      </c>
      <c r="AG2817" s="2">
        <f ca="1"/>
        <v>0.69626616987651713</v>
      </c>
      <c r="AH2817" s="2" t="str">
        <f ca="1"/>
        <v>Bad</v>
      </c>
    </row>
    <row r="2818" spans="2:34">
      <c r="B2818" s="2">
        <f ca="1"/>
        <v>0.76662412143968117</v>
      </c>
      <c r="O2818" s="2">
        <f ca="1"/>
        <v>0.89589951825247727</v>
      </c>
      <c r="X2818" s="2">
        <f ca="1"/>
        <v>55.493864445151182</v>
      </c>
      <c r="AG2818" s="2">
        <f ca="1"/>
        <v>0.28969702507972506</v>
      </c>
      <c r="AH2818" s="2" t="str">
        <f ca="1"/>
        <v>OK</v>
      </c>
    </row>
    <row r="2819" spans="2:34">
      <c r="B2819" s="2">
        <f ca="1"/>
        <v>0.83554285126071415</v>
      </c>
      <c r="O2819" s="2">
        <f ca="1"/>
        <v>3.3441082515739934E-2</v>
      </c>
      <c r="X2819" s="2">
        <f ca="1"/>
        <v>47.76697984450702</v>
      </c>
      <c r="AG2819" s="2">
        <f ca="1"/>
        <v>0.20555286446815968</v>
      </c>
      <c r="AH2819" s="2" t="str">
        <f ca="1"/>
        <v>OK</v>
      </c>
    </row>
    <row r="2820" spans="2:34">
      <c r="B2820" s="2">
        <f ca="1"/>
        <v>0.33027121546099192</v>
      </c>
      <c r="O2820" s="2">
        <f ca="1"/>
        <v>-0.26789886341593311</v>
      </c>
      <c r="X2820" s="2">
        <f ca="1"/>
        <v>26.610098130545129</v>
      </c>
      <c r="AG2820" s="2">
        <f ca="1"/>
        <v>0.97008874336274964</v>
      </c>
      <c r="AH2820" s="2" t="str">
        <f ca="1"/>
        <v>Bad</v>
      </c>
    </row>
    <row r="2821" spans="2:34">
      <c r="B2821" s="2">
        <f ca="1"/>
        <v>0.3479067108434537</v>
      </c>
      <c r="O2821" s="2">
        <f ca="1"/>
        <v>1.6712515710478972</v>
      </c>
      <c r="X2821" s="2">
        <f ca="1"/>
        <v>83.796791702021835</v>
      </c>
      <c r="AG2821" s="2">
        <f ca="1"/>
        <v>0.84228918530929664</v>
      </c>
      <c r="AH2821" s="2" t="str">
        <f ca="1"/>
        <v>Bad</v>
      </c>
    </row>
    <row r="2822" spans="2:34">
      <c r="B2822" s="2">
        <f ca="1"/>
        <v>0.43397019241304968</v>
      </c>
      <c r="O2822" s="2">
        <f ca="1"/>
        <v>0.16542552714483105</v>
      </c>
      <c r="X2822" s="2">
        <f ca="1"/>
        <v>41.581643375100924</v>
      </c>
      <c r="AG2822" s="2">
        <f ca="1"/>
        <v>0.99615657789548018</v>
      </c>
      <c r="AH2822" s="2" t="str">
        <f ca="1"/>
        <v>Bad</v>
      </c>
    </row>
    <row r="2823" spans="2:34">
      <c r="B2823" s="2">
        <f ca="1"/>
        <v>0.84623304814595834</v>
      </c>
      <c r="O2823" s="2">
        <f ca="1"/>
        <v>0.70590191689510207</v>
      </c>
      <c r="X2823" s="2">
        <f ca="1"/>
        <v>37.861613350784694</v>
      </c>
      <c r="AG2823" s="2">
        <f ca="1"/>
        <v>0.6754995968090447</v>
      </c>
      <c r="AH2823" s="2" t="str">
        <f ca="1"/>
        <v>Bad</v>
      </c>
    </row>
    <row r="2824" spans="2:34">
      <c r="B2824" s="2">
        <f ca="1"/>
        <v>0.79877968053961013</v>
      </c>
      <c r="O2824" s="2">
        <f ca="1"/>
        <v>0.21784659353209154</v>
      </c>
      <c r="X2824" s="2">
        <f ca="1"/>
        <v>52.358138000362111</v>
      </c>
      <c r="AG2824" s="2">
        <f ca="1"/>
        <v>0.55664286008348163</v>
      </c>
      <c r="AH2824" s="2" t="str">
        <f ca="1"/>
        <v>Bad</v>
      </c>
    </row>
    <row r="2825" spans="2:34">
      <c r="B2825" s="2">
        <f ca="1"/>
        <v>0.56614552902317339</v>
      </c>
      <c r="O2825" s="2">
        <f ca="1"/>
        <v>-0.47214351475802252</v>
      </c>
      <c r="X2825" s="2">
        <f ca="1"/>
        <v>48.017788745283298</v>
      </c>
      <c r="AG2825" s="2">
        <f ca="1"/>
        <v>0.69077449448087624</v>
      </c>
      <c r="AH2825" s="2" t="str">
        <f ca="1"/>
        <v>Bad</v>
      </c>
    </row>
    <row r="2826" spans="2:34">
      <c r="B2826" s="2">
        <f ca="1"/>
        <v>0.99615954525169537</v>
      </c>
      <c r="O2826" s="2">
        <f ca="1"/>
        <v>-0.14088306711673657</v>
      </c>
      <c r="X2826" s="2">
        <f ca="1"/>
        <v>58.661485583656841</v>
      </c>
      <c r="AG2826" s="2">
        <f ca="1"/>
        <v>1.3979863982658713E-2</v>
      </c>
      <c r="AH2826" s="2" t="str">
        <f ca="1"/>
        <v>Good</v>
      </c>
    </row>
    <row r="2827" spans="2:34">
      <c r="B2827" s="2">
        <f ca="1"/>
        <v>0.63042655342817522</v>
      </c>
      <c r="O2827" s="2">
        <f ca="1"/>
        <v>-0.56230197994061537</v>
      </c>
      <c r="X2827" s="2">
        <f ca="1"/>
        <v>58.152733204623736</v>
      </c>
      <c r="AG2827" s="2">
        <f ca="1"/>
        <v>0.411371265236399</v>
      </c>
      <c r="AH2827" s="2" t="str">
        <f ca="1"/>
        <v>Bad</v>
      </c>
    </row>
    <row r="2828" spans="2:34">
      <c r="B2828" s="2">
        <f ca="1"/>
        <v>0.76994257177214154</v>
      </c>
      <c r="O2828" s="2">
        <f ca="1"/>
        <v>-1.0728126507184907</v>
      </c>
      <c r="X2828" s="2">
        <f ca="1"/>
        <v>54.73387709133965</v>
      </c>
      <c r="AG2828" s="2">
        <f ca="1"/>
        <v>0.29085763991671709</v>
      </c>
      <c r="AH2828" s="2" t="str">
        <f ca="1"/>
        <v>OK</v>
      </c>
    </row>
    <row r="2829" spans="2:34">
      <c r="B2829" s="2">
        <f ca="1"/>
        <v>0.68140939620755803</v>
      </c>
      <c r="O2829" s="2">
        <f ca="1"/>
        <v>-1.6646995164102163</v>
      </c>
      <c r="X2829" s="2">
        <f ca="1"/>
        <v>56.080001375723533</v>
      </c>
      <c r="AG2829" s="2">
        <f ca="1"/>
        <v>0.13809810537228162</v>
      </c>
      <c r="AH2829" s="2" t="str">
        <f ca="1"/>
        <v>OK</v>
      </c>
    </row>
    <row r="2830" spans="2:34">
      <c r="B2830" s="2">
        <f ca="1"/>
        <v>0.9786752799031524</v>
      </c>
      <c r="O2830" s="2">
        <f ca="1"/>
        <v>2.1020950641975817</v>
      </c>
      <c r="X2830" s="2">
        <f ca="1"/>
        <v>53.596523385671929</v>
      </c>
      <c r="AG2830" s="2">
        <f ca="1"/>
        <v>0.94037628202172963</v>
      </c>
      <c r="AH2830" s="2" t="str">
        <f ca="1"/>
        <v>Bad</v>
      </c>
    </row>
    <row r="2831" spans="2:34">
      <c r="B2831" s="2">
        <f ca="1"/>
        <v>0.58764269458725971</v>
      </c>
      <c r="O2831" s="2">
        <f ca="1"/>
        <v>1.7681927253548009</v>
      </c>
      <c r="X2831" s="2">
        <f ca="1"/>
        <v>51.901093341146677</v>
      </c>
      <c r="AG2831" s="2">
        <f ca="1"/>
        <v>0.80535480164012951</v>
      </c>
      <c r="AH2831" s="2" t="str">
        <f ca="1"/>
        <v>Bad</v>
      </c>
    </row>
    <row r="2832" spans="2:34">
      <c r="B2832" s="2">
        <f ca="1"/>
        <v>0.30122182546153642</v>
      </c>
      <c r="O2832" s="2">
        <f ca="1"/>
        <v>-1.3113051118227241</v>
      </c>
      <c r="X2832" s="2">
        <f ca="1"/>
        <v>37.056255327840837</v>
      </c>
      <c r="AG2832" s="2">
        <f ca="1"/>
        <v>0.37637542221484144</v>
      </c>
      <c r="AH2832" s="2" t="str">
        <f ca="1"/>
        <v>OK</v>
      </c>
    </row>
    <row r="2833" spans="2:34">
      <c r="B2833" s="2">
        <f ca="1"/>
        <v>0.82521336629262509</v>
      </c>
      <c r="O2833" s="2">
        <f ca="1"/>
        <v>0.60464125658557755</v>
      </c>
      <c r="X2833" s="2">
        <f ca="1"/>
        <v>47.799012120602455</v>
      </c>
      <c r="AG2833" s="2">
        <f ca="1"/>
        <v>0.44909846816702204</v>
      </c>
      <c r="AH2833" s="2" t="str">
        <f ca="1"/>
        <v>Bad</v>
      </c>
    </row>
    <row r="2834" spans="2:34">
      <c r="B2834" s="2">
        <f ca="1"/>
        <v>0.70414962690646421</v>
      </c>
      <c r="O2834" s="2">
        <f ca="1"/>
        <v>0.42473665108352959</v>
      </c>
      <c r="X2834" s="2">
        <f ca="1"/>
        <v>46.777590558367564</v>
      </c>
      <c r="AG2834" s="2">
        <f ca="1"/>
        <v>0.25654565998444911</v>
      </c>
      <c r="AH2834" s="2" t="str">
        <f ca="1"/>
        <v>OK</v>
      </c>
    </row>
    <row r="2835" spans="2:34">
      <c r="B2835" s="2">
        <f ca="1"/>
        <v>0.42002835086877677</v>
      </c>
      <c r="O2835" s="2">
        <f ca="1"/>
        <v>0.23313912916211424</v>
      </c>
      <c r="X2835" s="2">
        <f ca="1"/>
        <v>51.120153742027156</v>
      </c>
      <c r="AG2835" s="2">
        <f ca="1"/>
        <v>0.48881531940941159</v>
      </c>
      <c r="AH2835" s="2" t="str">
        <f ca="1"/>
        <v>Bad</v>
      </c>
    </row>
    <row r="2836" spans="2:34">
      <c r="B2836" s="2">
        <f ca="1"/>
        <v>0.57015775011033787</v>
      </c>
      <c r="O2836" s="2">
        <f ca="1"/>
        <v>1.9349993646668997</v>
      </c>
      <c r="X2836" s="2">
        <f ca="1"/>
        <v>64.093645633740721</v>
      </c>
      <c r="AG2836" s="2">
        <f ca="1"/>
        <v>0.24697863014275367</v>
      </c>
      <c r="AH2836" s="2" t="str">
        <f ca="1"/>
        <v>OK</v>
      </c>
    </row>
    <row r="2837" spans="2:34">
      <c r="B2837" s="2">
        <f ca="1"/>
        <v>0.17541132162017758</v>
      </c>
      <c r="O2837" s="2">
        <f ca="1"/>
        <v>0.46594544723342518</v>
      </c>
      <c r="X2837" s="2">
        <f ca="1"/>
        <v>31.454491972597491</v>
      </c>
      <c r="AG2837" s="2">
        <f ca="1"/>
        <v>0.26014177820233764</v>
      </c>
      <c r="AH2837" s="2" t="str">
        <f ca="1"/>
        <v>OK</v>
      </c>
    </row>
    <row r="2838" spans="2:34">
      <c r="B2838" s="2">
        <f ca="1"/>
        <v>0.33304621786968114</v>
      </c>
      <c r="O2838" s="2">
        <f ca="1"/>
        <v>2.0695535397310314</v>
      </c>
      <c r="X2838" s="2">
        <f ca="1"/>
        <v>48.327304607955661</v>
      </c>
      <c r="AG2838" s="2">
        <f ca="1"/>
        <v>0.13601889361030306</v>
      </c>
      <c r="AH2838" s="2" t="str">
        <f ca="1"/>
        <v>OK</v>
      </c>
    </row>
    <row r="2839" spans="2:34">
      <c r="B2839" s="2">
        <f ca="1"/>
        <v>0.816898447520362</v>
      </c>
      <c r="O2839" s="2">
        <f ca="1"/>
        <v>-0.49399036331914642</v>
      </c>
      <c r="X2839" s="2">
        <f ca="1"/>
        <v>37.671114097869264</v>
      </c>
      <c r="AG2839" s="2">
        <f ca="1"/>
        <v>0.28792598527882718</v>
      </c>
      <c r="AH2839" s="2" t="str">
        <f ca="1"/>
        <v>OK</v>
      </c>
    </row>
    <row r="2840" spans="2:34">
      <c r="B2840" s="2">
        <f ca="1"/>
        <v>0.49765947372052199</v>
      </c>
      <c r="O2840" s="2">
        <f ca="1"/>
        <v>1.5229423982443195</v>
      </c>
      <c r="X2840" s="2">
        <f ca="1"/>
        <v>68.854285729702781</v>
      </c>
      <c r="AG2840" s="2">
        <f ca="1"/>
        <v>0.33005262379520506</v>
      </c>
      <c r="AH2840" s="2" t="str">
        <f ca="1"/>
        <v>OK</v>
      </c>
    </row>
    <row r="2841" spans="2:34">
      <c r="B2841" s="2">
        <f ca="1"/>
        <v>0.11979250253516427</v>
      </c>
      <c r="O2841" s="2">
        <f ca="1"/>
        <v>-0.28093528733204881</v>
      </c>
      <c r="X2841" s="2">
        <f ca="1"/>
        <v>32.54396716820996</v>
      </c>
      <c r="AG2841" s="2">
        <f ca="1"/>
        <v>0.46514773785896546</v>
      </c>
      <c r="AH2841" s="2" t="str">
        <f ca="1"/>
        <v>Bad</v>
      </c>
    </row>
    <row r="2842" spans="2:34">
      <c r="B2842" s="2">
        <f ca="1"/>
        <v>0.8138363522571006</v>
      </c>
      <c r="O2842" s="2">
        <f ca="1"/>
        <v>-0.67958037972673935</v>
      </c>
      <c r="X2842" s="2">
        <f ca="1"/>
        <v>37.262484337764292</v>
      </c>
      <c r="AG2842" s="2">
        <f ca="1"/>
        <v>0.39400950277270397</v>
      </c>
      <c r="AH2842" s="2" t="str">
        <f ca="1"/>
        <v>OK</v>
      </c>
    </row>
    <row r="2843" spans="2:34">
      <c r="B2843" s="2">
        <f ca="1"/>
        <v>0.62663898332799728</v>
      </c>
      <c r="O2843" s="2">
        <f ca="1"/>
        <v>0.93661574193852315</v>
      </c>
      <c r="X2843" s="2">
        <f ca="1"/>
        <v>42.46585810904709</v>
      </c>
      <c r="AG2843" s="2">
        <f ca="1"/>
        <v>0.7532984211839282</v>
      </c>
      <c r="AH2843" s="2" t="str">
        <f ca="1"/>
        <v>Bad</v>
      </c>
    </row>
    <row r="2844" spans="2:34">
      <c r="B2844" s="2">
        <f ca="1"/>
        <v>0.96972572330651796</v>
      </c>
      <c r="O2844" s="2">
        <f ca="1"/>
        <v>0.63414507718269464</v>
      </c>
      <c r="X2844" s="2">
        <f ca="1"/>
        <v>20.943441112925907</v>
      </c>
      <c r="AG2844" s="2">
        <f ca="1"/>
        <v>0.65119858876169934</v>
      </c>
      <c r="AH2844" s="2" t="str">
        <f ca="1"/>
        <v>Bad</v>
      </c>
    </row>
    <row r="2845" spans="2:34">
      <c r="B2845" s="2">
        <f ca="1"/>
        <v>0.38007883841538526</v>
      </c>
      <c r="O2845" s="2">
        <f ca="1"/>
        <v>1.8054826664190329</v>
      </c>
      <c r="X2845" s="2">
        <f ca="1"/>
        <v>35.205245748837612</v>
      </c>
      <c r="AG2845" s="2">
        <f ca="1"/>
        <v>0.27207330982365541</v>
      </c>
      <c r="AH2845" s="2" t="str">
        <f ca="1"/>
        <v>OK</v>
      </c>
    </row>
    <row r="2846" spans="2:34">
      <c r="B2846" s="2">
        <f ca="1"/>
        <v>0.63426901127622837</v>
      </c>
      <c r="O2846" s="2">
        <f ca="1"/>
        <v>-0.2302080234288422</v>
      </c>
      <c r="X2846" s="2">
        <f ca="1"/>
        <v>38.755562344240715</v>
      </c>
      <c r="AG2846" s="2">
        <f ca="1"/>
        <v>0.39328642719972229</v>
      </c>
      <c r="AH2846" s="2" t="str">
        <f ca="1"/>
        <v>OK</v>
      </c>
    </row>
    <row r="2847" spans="2:34">
      <c r="B2847" s="2">
        <f ca="1"/>
        <v>0.19170280835335074</v>
      </c>
      <c r="O2847" s="2">
        <f ca="1"/>
        <v>-2.7701764571907641</v>
      </c>
      <c r="X2847" s="2">
        <f ca="1"/>
        <v>51.191674109013903</v>
      </c>
      <c r="AG2847" s="2">
        <f ca="1"/>
        <v>0.97701935935883011</v>
      </c>
      <c r="AH2847" s="2" t="str">
        <f ca="1"/>
        <v>Bad</v>
      </c>
    </row>
    <row r="2848" spans="2:34">
      <c r="B2848" s="2">
        <f ca="1"/>
        <v>0.20659393235848134</v>
      </c>
      <c r="O2848" s="2">
        <f ca="1"/>
        <v>0.31642374860734013</v>
      </c>
      <c r="X2848" s="2">
        <f ca="1"/>
        <v>40.485238789825495</v>
      </c>
      <c r="AG2848" s="2">
        <f ca="1"/>
        <v>0.94902403437309313</v>
      </c>
      <c r="AH2848" s="2" t="str">
        <f ca="1"/>
        <v>Bad</v>
      </c>
    </row>
    <row r="2849" spans="2:34">
      <c r="B2849" s="2">
        <f ca="1"/>
        <v>0.31904930003471343</v>
      </c>
      <c r="O2849" s="2">
        <f ca="1"/>
        <v>-1.0573968441798955</v>
      </c>
      <c r="X2849" s="2">
        <f ca="1"/>
        <v>49.844716141604422</v>
      </c>
      <c r="AG2849" s="2">
        <f ca="1"/>
        <v>0.72163894344429536</v>
      </c>
      <c r="AH2849" s="2" t="str">
        <f ca="1"/>
        <v>Bad</v>
      </c>
    </row>
    <row r="2850" spans="2:34">
      <c r="B2850" s="2">
        <f ca="1"/>
        <v>0.96884955276501095</v>
      </c>
      <c r="O2850" s="2">
        <f ca="1"/>
        <v>-0.63786621718237091</v>
      </c>
      <c r="X2850" s="2">
        <f ca="1"/>
        <v>30.16836826698399</v>
      </c>
      <c r="AG2850" s="2">
        <f ca="1"/>
        <v>0.84795072754906653</v>
      </c>
      <c r="AH2850" s="2" t="str">
        <f ca="1"/>
        <v>Bad</v>
      </c>
    </row>
    <row r="2851" spans="2:34">
      <c r="B2851" s="2">
        <f ca="1"/>
        <v>0.84521138421726305</v>
      </c>
      <c r="O2851" s="2">
        <f ca="1"/>
        <v>1.2009275442367389</v>
      </c>
      <c r="X2851" s="2">
        <f ca="1"/>
        <v>44.059624584491715</v>
      </c>
      <c r="AG2851" s="2">
        <f ca="1"/>
        <v>0.32963190788840024</v>
      </c>
      <c r="AH2851" s="2" t="str">
        <f ca="1"/>
        <v>OK</v>
      </c>
    </row>
    <row r="2852" spans="2:34">
      <c r="B2852" s="2">
        <f ca="1"/>
        <v>0.44048454753164301</v>
      </c>
      <c r="O2852" s="2">
        <f ca="1"/>
        <v>-0.17367474471554173</v>
      </c>
      <c r="X2852" s="2">
        <f ca="1"/>
        <v>48.756634342652532</v>
      </c>
      <c r="AG2852" s="2">
        <f ca="1"/>
        <v>0.61581614708214927</v>
      </c>
      <c r="AH2852" s="2" t="str">
        <f ca="1"/>
        <v>Bad</v>
      </c>
    </row>
    <row r="2853" spans="2:34">
      <c r="B2853" s="2">
        <f ca="1"/>
        <v>0.14204883672368562</v>
      </c>
      <c r="O2853" s="2">
        <f ca="1"/>
        <v>0.78744761778104755</v>
      </c>
      <c r="X2853" s="2">
        <f ca="1"/>
        <v>43.365890676902282</v>
      </c>
      <c r="AG2853" s="2">
        <f ca="1"/>
        <v>0.82899759052172062</v>
      </c>
      <c r="AH2853" s="2" t="str">
        <f ca="1"/>
        <v>Bad</v>
      </c>
    </row>
    <row r="2854" spans="2:34">
      <c r="B2854" s="2">
        <f ca="1"/>
        <v>0.17814716103396289</v>
      </c>
      <c r="O2854" s="2">
        <f ca="1"/>
        <v>-1.6671443969446795E-2</v>
      </c>
      <c r="X2854" s="2">
        <f ca="1"/>
        <v>41.372065247969857</v>
      </c>
      <c r="AG2854" s="2">
        <f ca="1"/>
        <v>0.37145835224913304</v>
      </c>
      <c r="AH2854" s="2" t="str">
        <f ca="1"/>
        <v>OK</v>
      </c>
    </row>
    <row r="2855" spans="2:34">
      <c r="B2855" s="2">
        <f ca="1"/>
        <v>0.39567684810315273</v>
      </c>
      <c r="O2855" s="2">
        <f ca="1"/>
        <v>1.7471118767096532</v>
      </c>
      <c r="X2855" s="2">
        <f ca="1"/>
        <v>61.78390248620326</v>
      </c>
      <c r="AG2855" s="2">
        <f ca="1"/>
        <v>0.39069843159238093</v>
      </c>
      <c r="AH2855" s="2" t="str">
        <f ca="1"/>
        <v>OK</v>
      </c>
    </row>
    <row r="2856" spans="2:34">
      <c r="B2856" s="2">
        <f ca="1"/>
        <v>0.45624027677993628</v>
      </c>
      <c r="O2856" s="2">
        <f ca="1"/>
        <v>-1.1367495330796495</v>
      </c>
      <c r="X2856" s="2">
        <f ca="1"/>
        <v>42.904528346165108</v>
      </c>
      <c r="AG2856" s="2">
        <f ca="1"/>
        <v>0.29069416003179382</v>
      </c>
      <c r="AH2856" s="2" t="str">
        <f ca="1"/>
        <v>OK</v>
      </c>
    </row>
    <row r="2857" spans="2:34">
      <c r="B2857" s="2">
        <f ca="1"/>
        <v>0.42402385106382634</v>
      </c>
      <c r="O2857" s="2">
        <f ca="1"/>
        <v>0.56754672821802987</v>
      </c>
      <c r="X2857" s="2">
        <f ca="1"/>
        <v>50.327624962505091</v>
      </c>
      <c r="AG2857" s="2">
        <f ca="1"/>
        <v>4.9689047050078816E-2</v>
      </c>
      <c r="AH2857" s="2" t="str">
        <f ca="1"/>
        <v>Good</v>
      </c>
    </row>
    <row r="2858" spans="2:34">
      <c r="B2858" s="2">
        <f ca="1"/>
        <v>0.42628577958414393</v>
      </c>
      <c r="O2858" s="2">
        <f ca="1"/>
        <v>0.67011562316667672</v>
      </c>
      <c r="X2858" s="2">
        <f ca="1"/>
        <v>35.892016344257094</v>
      </c>
      <c r="AG2858" s="2">
        <f ca="1"/>
        <v>0.9188200076169295</v>
      </c>
      <c r="AH2858" s="2" t="str">
        <f ca="1"/>
        <v>Bad</v>
      </c>
    </row>
    <row r="2859" spans="2:34">
      <c r="B2859" s="2">
        <f ca="1"/>
        <v>5.7244038243550399E-2</v>
      </c>
      <c r="O2859" s="2">
        <f ca="1"/>
        <v>0.49214001986900713</v>
      </c>
      <c r="X2859" s="2">
        <f ca="1"/>
        <v>45.00081429908964</v>
      </c>
      <c r="AG2859" s="2">
        <f ca="1"/>
        <v>0.26086702254257199</v>
      </c>
      <c r="AH2859" s="2" t="str">
        <f ca="1"/>
        <v>OK</v>
      </c>
    </row>
    <row r="2860" spans="2:34">
      <c r="B2860" s="2">
        <f ca="1"/>
        <v>0.79558673817378112</v>
      </c>
      <c r="O2860" s="2">
        <f ca="1"/>
        <v>-0.76471911705065765</v>
      </c>
      <c r="X2860" s="2">
        <f ca="1"/>
        <v>37.623830862817599</v>
      </c>
      <c r="AG2860" s="2">
        <f ca="1"/>
        <v>0.11619900598466804</v>
      </c>
      <c r="AH2860" s="2" t="str">
        <f ca="1"/>
        <v>OK</v>
      </c>
    </row>
    <row r="2861" spans="2:34">
      <c r="B2861" s="2">
        <f ca="1"/>
        <v>0.70732813653807391</v>
      </c>
      <c r="O2861" s="2">
        <f ca="1"/>
        <v>0.90574161859383218</v>
      </c>
      <c r="X2861" s="2">
        <f ca="1"/>
        <v>47.632163864424129</v>
      </c>
      <c r="AG2861" s="2">
        <f ca="1"/>
        <v>0.25789020304286758</v>
      </c>
      <c r="AH2861" s="2" t="str">
        <f ca="1"/>
        <v>OK</v>
      </c>
    </row>
    <row r="2862" spans="2:34">
      <c r="B2862" s="2">
        <f ca="1"/>
        <v>0.36297206147161676</v>
      </c>
      <c r="O2862" s="2">
        <f ca="1"/>
        <v>-1.020091400128438</v>
      </c>
      <c r="X2862" s="2">
        <f ca="1"/>
        <v>40.841400726648651</v>
      </c>
      <c r="AG2862" s="2">
        <f ca="1"/>
        <v>0.97945016141193175</v>
      </c>
      <c r="AH2862" s="2" t="str">
        <f ca="1"/>
        <v>Bad</v>
      </c>
    </row>
    <row r="2863" spans="2:34">
      <c r="B2863" s="2">
        <f ca="1"/>
        <v>0.56493692206940449</v>
      </c>
      <c r="O2863" s="2">
        <f ca="1"/>
        <v>0.60645729349865252</v>
      </c>
      <c r="X2863" s="2">
        <f ca="1"/>
        <v>30.004540734823962</v>
      </c>
      <c r="AG2863" s="2">
        <f ca="1"/>
        <v>7.3980566572899864E-3</v>
      </c>
      <c r="AH2863" s="2" t="str">
        <f ca="1"/>
        <v>Good</v>
      </c>
    </row>
    <row r="2864" spans="2:34">
      <c r="B2864" s="2">
        <f ca="1"/>
        <v>0.36922308898066603</v>
      </c>
      <c r="O2864" s="2">
        <f ca="1"/>
        <v>0.42207906876300494</v>
      </c>
      <c r="X2864" s="2">
        <f ca="1"/>
        <v>65.61522065641941</v>
      </c>
      <c r="AG2864" s="2">
        <f ca="1"/>
        <v>0.64006304647348711</v>
      </c>
      <c r="AH2864" s="2" t="str">
        <f ca="1"/>
        <v>Bad</v>
      </c>
    </row>
    <row r="2865" spans="2:34">
      <c r="B2865" s="2">
        <f ca="1"/>
        <v>0.48804387991733322</v>
      </c>
      <c r="O2865" s="2">
        <f ca="1"/>
        <v>2.0288404637966142</v>
      </c>
      <c r="X2865" s="2">
        <f ca="1"/>
        <v>52.883316853897064</v>
      </c>
      <c r="AG2865" s="2">
        <f ca="1"/>
        <v>0.65919839150842297</v>
      </c>
      <c r="AH2865" s="2" t="str">
        <f ca="1"/>
        <v>Bad</v>
      </c>
    </row>
    <row r="2866" spans="2:34">
      <c r="B2866" s="2">
        <f ca="1"/>
        <v>0.75089646386446862</v>
      </c>
      <c r="O2866" s="2">
        <f ca="1"/>
        <v>-1.1908642127774922</v>
      </c>
      <c r="X2866" s="2">
        <f ca="1"/>
        <v>47.049151875840508</v>
      </c>
      <c r="AG2866" s="2">
        <f ca="1"/>
        <v>0.96753989521675487</v>
      </c>
      <c r="AH2866" s="2" t="str">
        <f ca="1"/>
        <v>Bad</v>
      </c>
    </row>
    <row r="2867" spans="2:34">
      <c r="B2867" s="2">
        <f ca="1"/>
        <v>0.2425629423976976</v>
      </c>
      <c r="O2867" s="2">
        <f ca="1"/>
        <v>-0.88327740277085998</v>
      </c>
      <c r="X2867" s="2">
        <f ca="1"/>
        <v>37.726577695528327</v>
      </c>
      <c r="AG2867" s="2">
        <f ca="1"/>
        <v>0.61852469654803599</v>
      </c>
      <c r="AH2867" s="2" t="str">
        <f ca="1"/>
        <v>Bad</v>
      </c>
    </row>
    <row r="2868" spans="2:34">
      <c r="B2868" s="2">
        <f ca="1"/>
        <v>4.519349235210135E-2</v>
      </c>
      <c r="O2868" s="2">
        <f ca="1"/>
        <v>0.48528739910700869</v>
      </c>
      <c r="X2868" s="2">
        <f ca="1"/>
        <v>72.516522659260772</v>
      </c>
      <c r="AG2868" s="2">
        <f ca="1"/>
        <v>0.93304806505758431</v>
      </c>
      <c r="AH2868" s="2" t="str">
        <f ca="1"/>
        <v>Bad</v>
      </c>
    </row>
    <row r="2869" spans="2:34">
      <c r="B2869" s="2">
        <f ca="1"/>
        <v>0.82313818046530995</v>
      </c>
      <c r="O2869" s="2">
        <f ca="1"/>
        <v>-0.26957515339309263</v>
      </c>
      <c r="X2869" s="2">
        <f ca="1"/>
        <v>43.987936012006273</v>
      </c>
      <c r="AG2869" s="2">
        <f ca="1"/>
        <v>0.45411993702417708</v>
      </c>
      <c r="AH2869" s="2" t="str">
        <f ca="1"/>
        <v>Bad</v>
      </c>
    </row>
    <row r="2870" spans="2:34">
      <c r="B2870" s="2">
        <f ca="1"/>
        <v>0.29074467312998142</v>
      </c>
      <c r="O2870" s="2">
        <f ca="1"/>
        <v>0.39105875437020682</v>
      </c>
      <c r="X2870" s="2">
        <f ca="1"/>
        <v>41.004933117818105</v>
      </c>
      <c r="AG2870" s="2">
        <f ca="1"/>
        <v>0.75529425071200151</v>
      </c>
      <c r="AH2870" s="2" t="str">
        <f ca="1"/>
        <v>Bad</v>
      </c>
    </row>
    <row r="2871" spans="2:34">
      <c r="B2871" s="2">
        <f ca="1"/>
        <v>0.85159289392980497</v>
      </c>
      <c r="O2871" s="2">
        <f ca="1"/>
        <v>-1.9160727870128313</v>
      </c>
      <c r="X2871" s="2">
        <f ca="1"/>
        <v>57.904268539523819</v>
      </c>
      <c r="AG2871" s="2">
        <f ca="1"/>
        <v>0.28009713300205563</v>
      </c>
      <c r="AH2871" s="2" t="str">
        <f ca="1"/>
        <v>OK</v>
      </c>
    </row>
    <row r="2872" spans="2:34">
      <c r="B2872" s="2">
        <f ca="1"/>
        <v>0.46711329475528029</v>
      </c>
      <c r="O2872" s="2">
        <f ca="1"/>
        <v>-1.3113009129265731</v>
      </c>
      <c r="X2872" s="2">
        <f ca="1"/>
        <v>36.017472482346342</v>
      </c>
      <c r="AG2872" s="2">
        <f ca="1"/>
        <v>0.21160493972430383</v>
      </c>
      <c r="AH2872" s="2" t="str">
        <f ca="1"/>
        <v>OK</v>
      </c>
    </row>
    <row r="2873" spans="2:34">
      <c r="B2873" s="2">
        <f ca="1"/>
        <v>0.75631981928031289</v>
      </c>
      <c r="O2873" s="2">
        <f ca="1"/>
        <v>0.17727214127413657</v>
      </c>
      <c r="X2873" s="2">
        <f ca="1"/>
        <v>29.805577853057798</v>
      </c>
      <c r="AG2873" s="2">
        <f ca="1"/>
        <v>0.82801668933477468</v>
      </c>
      <c r="AH2873" s="2" t="str">
        <f ca="1"/>
        <v>Bad</v>
      </c>
    </row>
    <row r="2874" spans="2:34">
      <c r="B2874" s="2">
        <f ca="1"/>
        <v>7.5592933202693446E-2</v>
      </c>
      <c r="O2874" s="2">
        <f ca="1"/>
        <v>0.59979934372490207</v>
      </c>
      <c r="X2874" s="2">
        <f ca="1"/>
        <v>45.956539543301076</v>
      </c>
      <c r="AG2874" s="2">
        <f ca="1"/>
        <v>2.8812635130436304E-2</v>
      </c>
      <c r="AH2874" s="2" t="str">
        <f ca="1"/>
        <v>Good</v>
      </c>
    </row>
    <row r="2875" spans="2:34">
      <c r="B2875" s="2">
        <f ca="1"/>
        <v>4.100525277816236E-2</v>
      </c>
      <c r="O2875" s="2">
        <f ca="1"/>
        <v>-0.98514212626350317</v>
      </c>
      <c r="X2875" s="2">
        <f ca="1"/>
        <v>55.405215481378278</v>
      </c>
      <c r="AG2875" s="2">
        <f ca="1"/>
        <v>0.57567074540984153</v>
      </c>
      <c r="AH2875" s="2" t="str">
        <f ca="1"/>
        <v>Bad</v>
      </c>
    </row>
    <row r="2876" spans="2:34">
      <c r="B2876" s="2">
        <f ca="1"/>
        <v>0.73628612914807912</v>
      </c>
      <c r="O2876" s="2">
        <f ca="1"/>
        <v>4.8187448644236353E-2</v>
      </c>
      <c r="X2876" s="2">
        <f ca="1"/>
        <v>50.401107194362737</v>
      </c>
      <c r="AG2876" s="2">
        <f ca="1"/>
        <v>0.17970411098958139</v>
      </c>
      <c r="AH2876" s="2" t="str">
        <f ca="1"/>
        <v>OK</v>
      </c>
    </row>
    <row r="2877" spans="2:34">
      <c r="B2877" s="2">
        <f ca="1"/>
        <v>0.72887130834347413</v>
      </c>
      <c r="O2877" s="2">
        <f ca="1"/>
        <v>0.30587388011135935</v>
      </c>
      <c r="X2877" s="2">
        <f ca="1"/>
        <v>61.426627930513234</v>
      </c>
      <c r="AG2877" s="2">
        <f ca="1"/>
        <v>0.28143452672534508</v>
      </c>
      <c r="AH2877" s="2" t="str">
        <f ca="1"/>
        <v>OK</v>
      </c>
    </row>
    <row r="2878" spans="2:34">
      <c r="B2878" s="2">
        <f ca="1"/>
        <v>0.92739095972450691</v>
      </c>
      <c r="O2878" s="2">
        <f ca="1"/>
        <v>1.8492273494044826</v>
      </c>
      <c r="X2878" s="2">
        <f ca="1"/>
        <v>43.015086794424661</v>
      </c>
      <c r="AG2878" s="2">
        <f ca="1"/>
        <v>0.62184856336761296</v>
      </c>
      <c r="AH2878" s="2" t="str">
        <f ca="1"/>
        <v>Bad</v>
      </c>
    </row>
    <row r="2879" spans="2:34">
      <c r="B2879" s="2">
        <f ca="1"/>
        <v>0.86363356712823292</v>
      </c>
      <c r="O2879" s="2">
        <f ca="1"/>
        <v>0.11764605014258071</v>
      </c>
      <c r="X2879" s="2">
        <f ca="1"/>
        <v>67.276695615163646</v>
      </c>
      <c r="AG2879" s="2">
        <f ca="1"/>
        <v>0.83942420996603917</v>
      </c>
      <c r="AH2879" s="2" t="str">
        <f ca="1"/>
        <v>Bad</v>
      </c>
    </row>
    <row r="2880" spans="2:34">
      <c r="B2880" s="2">
        <f ca="1"/>
        <v>0.1955352096905203</v>
      </c>
      <c r="O2880" s="2">
        <f ca="1"/>
        <v>-0.49871145011352336</v>
      </c>
      <c r="X2880" s="2">
        <f ca="1"/>
        <v>55.413328420423838</v>
      </c>
      <c r="AG2880" s="2">
        <f ca="1"/>
        <v>0.16186042222776886</v>
      </c>
      <c r="AH2880" s="2" t="str">
        <f ca="1"/>
        <v>OK</v>
      </c>
    </row>
    <row r="2881" spans="2:34">
      <c r="B2881" s="2">
        <f ca="1"/>
        <v>5.0578499385047992E-2</v>
      </c>
      <c r="O2881" s="2">
        <f ca="1"/>
        <v>1.0235269330540944</v>
      </c>
      <c r="X2881" s="2">
        <f ca="1"/>
        <v>54.140792041936471</v>
      </c>
      <c r="AG2881" s="2">
        <f ca="1"/>
        <v>0.7072587113420723</v>
      </c>
      <c r="AH2881" s="2" t="str">
        <f ca="1"/>
        <v>Bad</v>
      </c>
    </row>
    <row r="2882" spans="2:34">
      <c r="B2882" s="2">
        <f ca="1"/>
        <v>0.7145872558669828</v>
      </c>
      <c r="O2882" s="2">
        <f ca="1"/>
        <v>-1.2173127851671828</v>
      </c>
      <c r="X2882" s="2">
        <f ca="1"/>
        <v>60.042498147992667</v>
      </c>
      <c r="AG2882" s="2">
        <f ca="1"/>
        <v>0.30787128068797132</v>
      </c>
      <c r="AH2882" s="2" t="str">
        <f ca="1"/>
        <v>OK</v>
      </c>
    </row>
    <row r="2883" spans="2:34">
      <c r="B2883" s="2">
        <f ca="1"/>
        <v>0.28904698142994345</v>
      </c>
      <c r="O2883" s="2">
        <f ca="1"/>
        <v>-1.0381005155525453</v>
      </c>
      <c r="X2883" s="2">
        <f ca="1"/>
        <v>51.707121042906479</v>
      </c>
      <c r="AG2883" s="2">
        <f ca="1"/>
        <v>0.98158766152425758</v>
      </c>
      <c r="AH2883" s="2" t="str">
        <f ca="1"/>
        <v>Bad</v>
      </c>
    </row>
    <row r="2884" spans="2:34">
      <c r="B2884" s="2">
        <f ca="1"/>
        <v>0.49900482967915005</v>
      </c>
      <c r="O2884" s="2">
        <f ca="1"/>
        <v>-0.73384201106387603</v>
      </c>
      <c r="X2884" s="2">
        <f ca="1"/>
        <v>41.35817952119509</v>
      </c>
      <c r="AG2884" s="2">
        <f ca="1"/>
        <v>0.25040312298140543</v>
      </c>
      <c r="AH2884" s="2" t="str">
        <f ca="1"/>
        <v>OK</v>
      </c>
    </row>
    <row r="2885" spans="2:34">
      <c r="B2885" s="2">
        <f ca="1"/>
        <v>0.14777763340184213</v>
      </c>
      <c r="O2885" s="2">
        <f ca="1"/>
        <v>-0.49501182261159343</v>
      </c>
      <c r="X2885" s="2">
        <f ca="1"/>
        <v>65.178512276933787</v>
      </c>
      <c r="AG2885" s="2">
        <f ca="1"/>
        <v>1.1284794885337845E-3</v>
      </c>
      <c r="AH2885" s="2" t="str">
        <f ca="1"/>
        <v>Good</v>
      </c>
    </row>
    <row r="2886" spans="2:34">
      <c r="B2886" s="2">
        <f ca="1"/>
        <v>0.61787949399045994</v>
      </c>
      <c r="O2886" s="2">
        <f ca="1"/>
        <v>1.15288305912019</v>
      </c>
      <c r="X2886" s="2">
        <f ca="1"/>
        <v>48.295626883879301</v>
      </c>
      <c r="AG2886" s="2">
        <f ca="1"/>
        <v>0.13138303212676083</v>
      </c>
      <c r="AH2886" s="2" t="str">
        <f ca="1"/>
        <v>OK</v>
      </c>
    </row>
    <row r="2887" spans="2:34">
      <c r="B2887" s="2">
        <f ca="1"/>
        <v>0.43068907768701226</v>
      </c>
      <c r="O2887" s="2">
        <f ca="1"/>
        <v>-0.22465176946402851</v>
      </c>
      <c r="X2887" s="2">
        <f ca="1"/>
        <v>68.671041055721872</v>
      </c>
      <c r="AG2887" s="2">
        <f ca="1"/>
        <v>0.42879353174500068</v>
      </c>
      <c r="AH2887" s="2" t="str">
        <f ca="1"/>
        <v>Bad</v>
      </c>
    </row>
    <row r="2888" spans="2:34">
      <c r="B2888" s="2">
        <f ca="1"/>
        <v>0.83041127306165174</v>
      </c>
      <c r="O2888" s="2">
        <f ca="1"/>
        <v>6.8003542424550554E-4</v>
      </c>
      <c r="X2888" s="2">
        <f ca="1"/>
        <v>31.94236401465098</v>
      </c>
      <c r="AG2888" s="2">
        <f ca="1"/>
        <v>0.50734015992167225</v>
      </c>
      <c r="AH2888" s="2" t="str">
        <f ca="1"/>
        <v>Bad</v>
      </c>
    </row>
    <row r="2889" spans="2:34">
      <c r="B2889" s="2">
        <f ca="1"/>
        <v>0.65642005103039613</v>
      </c>
      <c r="O2889" s="2">
        <f ca="1"/>
        <v>-2.3527937223534372</v>
      </c>
      <c r="X2889" s="2">
        <f ca="1"/>
        <v>60.294426231706126</v>
      </c>
      <c r="AG2889" s="2">
        <f ca="1"/>
        <v>0.77888982270957974</v>
      </c>
      <c r="AH2889" s="2" t="str">
        <f ca="1"/>
        <v>Bad</v>
      </c>
    </row>
    <row r="2890" spans="2:34">
      <c r="B2890" s="2">
        <f ca="1"/>
        <v>0.19783330669355603</v>
      </c>
      <c r="O2890" s="2">
        <f ca="1"/>
        <v>-0.55447868604237927</v>
      </c>
      <c r="X2890" s="2">
        <f ca="1"/>
        <v>28.74305753414032</v>
      </c>
      <c r="AG2890" s="2">
        <f ca="1"/>
        <v>0.99374913833060829</v>
      </c>
      <c r="AH2890" s="2" t="str">
        <f ca="1"/>
        <v>Bad</v>
      </c>
    </row>
    <row r="2891" spans="2:34">
      <c r="B2891" s="2">
        <f ca="1"/>
        <v>0.71339362000665618</v>
      </c>
      <c r="O2891" s="2">
        <f ca="1"/>
        <v>-1.719180911526941</v>
      </c>
      <c r="X2891" s="2">
        <f ca="1"/>
        <v>75.815431661595724</v>
      </c>
      <c r="AG2891" s="2">
        <f ca="1"/>
        <v>0.53405812642718131</v>
      </c>
      <c r="AH2891" s="2" t="str">
        <f ca="1"/>
        <v>Bad</v>
      </c>
    </row>
    <row r="2892" spans="2:34">
      <c r="B2892" s="2">
        <f ca="1"/>
        <v>0.13653990028263085</v>
      </c>
      <c r="O2892" s="2">
        <f ca="1"/>
        <v>-1.4951121735833957</v>
      </c>
      <c r="X2892" s="2">
        <f ca="1"/>
        <v>57.205492174280096</v>
      </c>
      <c r="AG2892" s="2">
        <f ca="1"/>
        <v>0.4185282776021495</v>
      </c>
      <c r="AH2892" s="2" t="str">
        <f ca="1"/>
        <v>Bad</v>
      </c>
    </row>
    <row r="2893" spans="2:34">
      <c r="B2893" s="2">
        <f ca="1"/>
        <v>0.92227474358539951</v>
      </c>
      <c r="O2893" s="2">
        <f ca="1"/>
        <v>7.7859568159056813E-2</v>
      </c>
      <c r="X2893" s="2">
        <f ca="1"/>
        <v>47.586788018375891</v>
      </c>
      <c r="AG2893" s="2">
        <f ca="1"/>
        <v>0.70706291812209687</v>
      </c>
      <c r="AH2893" s="2" t="str">
        <f ca="1"/>
        <v>Bad</v>
      </c>
    </row>
    <row r="2894" spans="2:34">
      <c r="B2894" s="2">
        <f ca="1"/>
        <v>0.21254104765671511</v>
      </c>
      <c r="O2894" s="2">
        <f ca="1"/>
        <v>0.98238527500703454</v>
      </c>
      <c r="X2894" s="2">
        <f ca="1"/>
        <v>55.142369314244476</v>
      </c>
      <c r="AG2894" s="2">
        <f ca="1"/>
        <v>0.22575595065118192</v>
      </c>
      <c r="AH2894" s="2" t="str">
        <f ca="1"/>
        <v>OK</v>
      </c>
    </row>
    <row r="2895" spans="2:34">
      <c r="B2895" s="2">
        <f ca="1"/>
        <v>0.4706066657052359</v>
      </c>
      <c r="O2895" s="2">
        <f ca="1"/>
        <v>-0.22333659516787954</v>
      </c>
      <c r="X2895" s="2">
        <f ca="1"/>
        <v>53.622448509291985</v>
      </c>
      <c r="AG2895" s="2">
        <f ca="1"/>
        <v>0.22983124826318746</v>
      </c>
      <c r="AH2895" s="2" t="str">
        <f ca="1"/>
        <v>OK</v>
      </c>
    </row>
    <row r="2896" spans="2:34">
      <c r="B2896" s="2">
        <f ca="1"/>
        <v>0.12854830604503742</v>
      </c>
      <c r="O2896" s="2">
        <f ca="1"/>
        <v>-1.6834125509100388</v>
      </c>
      <c r="X2896" s="2">
        <f ca="1"/>
        <v>75.386953318972317</v>
      </c>
      <c r="AG2896" s="2">
        <f ca="1"/>
        <v>0.45114257742613018</v>
      </c>
      <c r="AH2896" s="2" t="str">
        <f ca="1"/>
        <v>Bad</v>
      </c>
    </row>
    <row r="2897" spans="2:34">
      <c r="B2897" s="2">
        <f ca="1"/>
        <v>0.50534661839583217</v>
      </c>
      <c r="O2897" s="2">
        <f ca="1"/>
        <v>0.92301672481095542</v>
      </c>
      <c r="X2897" s="2">
        <f ca="1"/>
        <v>72.857281068483928</v>
      </c>
      <c r="AG2897" s="2">
        <f ca="1"/>
        <v>0.28327925818850708</v>
      </c>
      <c r="AH2897" s="2" t="str">
        <f ca="1"/>
        <v>OK</v>
      </c>
    </row>
    <row r="2898" spans="2:34">
      <c r="B2898" s="2">
        <f ca="1"/>
        <v>0.95558842626200113</v>
      </c>
      <c r="O2898" s="2">
        <f ca="1"/>
        <v>1.2164568310038124</v>
      </c>
      <c r="X2898" s="2">
        <f ca="1"/>
        <v>40.907819208971226</v>
      </c>
      <c r="AG2898" s="2">
        <f ca="1"/>
        <v>0.11175840356265021</v>
      </c>
      <c r="AH2898" s="2" t="str">
        <f ca="1"/>
        <v>OK</v>
      </c>
    </row>
    <row r="2899" spans="2:34">
      <c r="B2899" s="2">
        <f ca="1"/>
        <v>0.8612822807323457</v>
      </c>
      <c r="O2899" s="2">
        <f ca="1"/>
        <v>1.0514274712218485</v>
      </c>
      <c r="X2899" s="2">
        <f ca="1"/>
        <v>22.164719537454268</v>
      </c>
      <c r="AG2899" s="2">
        <f ca="1"/>
        <v>0.47775572023120882</v>
      </c>
      <c r="AH2899" s="2" t="str">
        <f ca="1"/>
        <v>Bad</v>
      </c>
    </row>
    <row r="2900" spans="2:34">
      <c r="B2900" s="2">
        <f ca="1"/>
        <v>0.90544684169865386</v>
      </c>
      <c r="O2900" s="2">
        <f ca="1"/>
        <v>-0.17409098825102926</v>
      </c>
      <c r="X2900" s="2">
        <f ca="1"/>
        <v>49.990976380724312</v>
      </c>
      <c r="AG2900" s="2">
        <f ca="1"/>
        <v>0.70259982517964015</v>
      </c>
      <c r="AH2900" s="2" t="str">
        <f ca="1"/>
        <v>Bad</v>
      </c>
    </row>
    <row r="2901" spans="2:34">
      <c r="B2901" s="2">
        <f ca="1"/>
        <v>0.45431255148548244</v>
      </c>
      <c r="O2901" s="2">
        <f ca="1"/>
        <v>-0.16693504320215249</v>
      </c>
      <c r="X2901" s="2">
        <f ca="1"/>
        <v>84.743546782306666</v>
      </c>
      <c r="AG2901" s="2">
        <f ca="1"/>
        <v>0.81848051111468356</v>
      </c>
      <c r="AH2901" s="2" t="str">
        <f ca="1"/>
        <v>Bad</v>
      </c>
    </row>
    <row r="2902" spans="2:34">
      <c r="B2902" s="2">
        <f ca="1"/>
        <v>0.98118962194888293</v>
      </c>
      <c r="O2902" s="2">
        <f ca="1"/>
        <v>1.6667537140681719</v>
      </c>
      <c r="X2902" s="2">
        <f ca="1"/>
        <v>50.557767985682304</v>
      </c>
      <c r="AG2902" s="2">
        <f ca="1"/>
        <v>0.91928647568169763</v>
      </c>
      <c r="AH2902" s="2" t="str">
        <f ca="1"/>
        <v>Bad</v>
      </c>
    </row>
    <row r="2903" spans="2:34">
      <c r="B2903" s="2">
        <f ca="1"/>
        <v>0.4063788028132671</v>
      </c>
      <c r="O2903" s="2">
        <f ca="1"/>
        <v>2.6965111318033079E-2</v>
      </c>
      <c r="X2903" s="2">
        <f ca="1"/>
        <v>48.010989108143278</v>
      </c>
      <c r="AG2903" s="2">
        <f ca="1"/>
        <v>0.89649768682078212</v>
      </c>
      <c r="AH2903" s="2" t="str">
        <f ca="1"/>
        <v>Bad</v>
      </c>
    </row>
    <row r="2904" spans="2:34">
      <c r="B2904" s="2">
        <f ca="1"/>
        <v>0.58685621948017341</v>
      </c>
      <c r="O2904" s="2">
        <f ca="1"/>
        <v>0.57650316997867945</v>
      </c>
      <c r="X2904" s="2">
        <f ca="1"/>
        <v>64.701784037027352</v>
      </c>
      <c r="AG2904" s="2">
        <f ca="1"/>
        <v>2.3306095526562265E-2</v>
      </c>
      <c r="AH2904" s="2" t="str">
        <f ca="1"/>
        <v>Good</v>
      </c>
    </row>
    <row r="2905" spans="2:34">
      <c r="B2905" s="2">
        <f ca="1"/>
        <v>0.74653888330584239</v>
      </c>
      <c r="O2905" s="2">
        <f ca="1"/>
        <v>-6.5068064309024398E-2</v>
      </c>
      <c r="X2905" s="2">
        <f ca="1"/>
        <v>54.097071314617359</v>
      </c>
      <c r="AG2905" s="2">
        <f ca="1"/>
        <v>0.84671947972720862</v>
      </c>
      <c r="AH2905" s="2" t="str">
        <f ca="1"/>
        <v>Bad</v>
      </c>
    </row>
    <row r="2906" spans="2:34">
      <c r="B2906" s="2">
        <f ca="1"/>
        <v>0.95905637235116981</v>
      </c>
      <c r="O2906" s="2">
        <f ca="1"/>
        <v>0.57905309551620765</v>
      </c>
      <c r="X2906" s="2">
        <f ca="1"/>
        <v>73.048199322891122</v>
      </c>
      <c r="AG2906" s="2">
        <f ca="1"/>
        <v>0.5578610633405392</v>
      </c>
      <c r="AH2906" s="2" t="str">
        <f ca="1"/>
        <v>Bad</v>
      </c>
    </row>
    <row r="2907" spans="2:34">
      <c r="B2907" s="2">
        <f ca="1"/>
        <v>1.3124624918383843E-2</v>
      </c>
      <c r="O2907" s="2">
        <f ca="1"/>
        <v>-2.009572013062018</v>
      </c>
      <c r="X2907" s="2">
        <f ca="1"/>
        <v>37.731679617013356</v>
      </c>
      <c r="AG2907" s="2">
        <f ca="1"/>
        <v>0.96746005885872233</v>
      </c>
      <c r="AH2907" s="2" t="str">
        <f ca="1"/>
        <v>Bad</v>
      </c>
    </row>
    <row r="2908" spans="2:34">
      <c r="B2908" s="2">
        <f ca="1"/>
        <v>0.28137585140391774</v>
      </c>
      <c r="O2908" s="2">
        <f ca="1"/>
        <v>2.4052114044194788</v>
      </c>
      <c r="X2908" s="2">
        <f ca="1"/>
        <v>42.040917855039545</v>
      </c>
      <c r="AG2908" s="2">
        <f ca="1"/>
        <v>0.8333706861715886</v>
      </c>
      <c r="AH2908" s="2" t="str">
        <f ca="1"/>
        <v>Bad</v>
      </c>
    </row>
    <row r="2909" spans="2:34">
      <c r="B2909" s="2">
        <f ca="1"/>
        <v>0.85000957920998199</v>
      </c>
      <c r="O2909" s="2">
        <f ca="1"/>
        <v>0.5771291124095681</v>
      </c>
      <c r="X2909" s="2">
        <f ca="1"/>
        <v>53.735660497168958</v>
      </c>
      <c r="AG2909" s="2">
        <f ca="1"/>
        <v>0.25639123904363981</v>
      </c>
      <c r="AH2909" s="2" t="str">
        <f ca="1"/>
        <v>OK</v>
      </c>
    </row>
    <row r="2910" spans="2:34">
      <c r="B2910" s="2">
        <f ca="1"/>
        <v>0.43027562962244792</v>
      </c>
      <c r="O2910" s="2">
        <f ca="1"/>
        <v>0.33045570905197391</v>
      </c>
      <c r="X2910" s="2">
        <f ca="1"/>
        <v>39.071639282281147</v>
      </c>
      <c r="AG2910" s="2">
        <f ca="1"/>
        <v>0.91406349420984312</v>
      </c>
      <c r="AH2910" s="2" t="str">
        <f ca="1"/>
        <v>Bad</v>
      </c>
    </row>
    <row r="2911" spans="2:34">
      <c r="B2911" s="2">
        <f ca="1"/>
        <v>0.66171234671428225</v>
      </c>
      <c r="O2911" s="2">
        <f ca="1"/>
        <v>0.76558666095616967</v>
      </c>
      <c r="X2911" s="2">
        <f ca="1"/>
        <v>36.701600234422187</v>
      </c>
      <c r="AG2911" s="2">
        <f ca="1"/>
        <v>0.60745167735017702</v>
      </c>
      <c r="AH2911" s="2" t="str">
        <f ca="1"/>
        <v>Bad</v>
      </c>
    </row>
    <row r="2912" spans="2:34">
      <c r="B2912" s="2">
        <f ca="1"/>
        <v>0.45999512033645584</v>
      </c>
      <c r="O2912" s="2">
        <f ca="1"/>
        <v>-1.1612740677638766</v>
      </c>
      <c r="X2912" s="2">
        <f ca="1"/>
        <v>29.060318182015191</v>
      </c>
      <c r="AG2912" s="2">
        <f ca="1"/>
        <v>0.34678016049187832</v>
      </c>
      <c r="AH2912" s="2" t="str">
        <f ca="1"/>
        <v>OK</v>
      </c>
    </row>
    <row r="2913" spans="2:34">
      <c r="B2913" s="2">
        <f ca="1"/>
        <v>3.9591345624003349E-2</v>
      </c>
      <c r="O2913" s="2">
        <f ca="1"/>
        <v>-0.99290974235605267</v>
      </c>
      <c r="X2913" s="2">
        <f ca="1"/>
        <v>27.417439775604254</v>
      </c>
      <c r="AG2913" s="2">
        <f ca="1"/>
        <v>0.18223555065507147</v>
      </c>
      <c r="AH2913" s="2" t="str">
        <f ca="1"/>
        <v>OK</v>
      </c>
    </row>
    <row r="2914" spans="2:34">
      <c r="B2914" s="2">
        <f ca="1"/>
        <v>0.60600051184567172</v>
      </c>
      <c r="O2914" s="2">
        <f ca="1"/>
        <v>0.12006126118029531</v>
      </c>
      <c r="X2914" s="2">
        <f ca="1"/>
        <v>77.510210873300863</v>
      </c>
      <c r="AG2914" s="2">
        <f ca="1"/>
        <v>0.35563267618859062</v>
      </c>
      <c r="AH2914" s="2" t="str">
        <f ca="1"/>
        <v>OK</v>
      </c>
    </row>
    <row r="2915" spans="2:34">
      <c r="B2915" s="2">
        <f ca="1"/>
        <v>0.85785688670079008</v>
      </c>
      <c r="O2915" s="2">
        <f ca="1"/>
        <v>0.50108699065293394</v>
      </c>
      <c r="X2915" s="2">
        <f ca="1"/>
        <v>71.570434149882416</v>
      </c>
      <c r="AG2915" s="2">
        <f ca="1"/>
        <v>0.29986510710108316</v>
      </c>
      <c r="AH2915" s="2" t="str">
        <f ca="1"/>
        <v>OK</v>
      </c>
    </row>
    <row r="2916" spans="2:34">
      <c r="B2916" s="2">
        <f ca="1"/>
        <v>0.94826461742753732</v>
      </c>
      <c r="O2916" s="2">
        <f ca="1"/>
        <v>-0.76519044110677226</v>
      </c>
      <c r="X2916" s="2">
        <f ca="1"/>
        <v>61.228132439434845</v>
      </c>
      <c r="AG2916" s="2">
        <f ca="1"/>
        <v>0.79942976101754537</v>
      </c>
      <c r="AH2916" s="2" t="str">
        <f ca="1"/>
        <v>Bad</v>
      </c>
    </row>
    <row r="2917" spans="2:34">
      <c r="B2917" s="2">
        <f ca="1"/>
        <v>0.80870742272004126</v>
      </c>
      <c r="O2917" s="2">
        <f ca="1"/>
        <v>-1.7933027413881699</v>
      </c>
      <c r="X2917" s="2">
        <f ca="1"/>
        <v>40.653287856119377</v>
      </c>
      <c r="AG2917" s="2">
        <f ca="1"/>
        <v>0.34602923401161756</v>
      </c>
      <c r="AH2917" s="2" t="str">
        <f ca="1"/>
        <v>OK</v>
      </c>
    </row>
    <row r="2918" spans="2:34">
      <c r="B2918" s="2">
        <f ca="1"/>
        <v>0.62728184737316472</v>
      </c>
      <c r="O2918" s="2">
        <f ca="1"/>
        <v>0.21669532801328609</v>
      </c>
      <c r="X2918" s="2">
        <f ca="1"/>
        <v>32.028485192339303</v>
      </c>
      <c r="AG2918" s="2">
        <f ca="1"/>
        <v>0.18229512898131306</v>
      </c>
      <c r="AH2918" s="2" t="str">
        <f ca="1"/>
        <v>OK</v>
      </c>
    </row>
    <row r="2919" spans="2:34">
      <c r="B2919" s="2">
        <f ca="1"/>
        <v>0.8328457537386369</v>
      </c>
      <c r="O2919" s="2">
        <f ca="1"/>
        <v>-0.16208114472600013</v>
      </c>
      <c r="X2919" s="2">
        <f ca="1"/>
        <v>48.924028555332342</v>
      </c>
      <c r="AG2919" s="2">
        <f ca="1"/>
        <v>0.90673881732020756</v>
      </c>
      <c r="AH2919" s="2" t="str">
        <f ca="1"/>
        <v>Bad</v>
      </c>
    </row>
    <row r="2920" spans="2:34">
      <c r="B2920" s="2">
        <f ca="1"/>
        <v>0.45060579892702624</v>
      </c>
      <c r="O2920" s="2">
        <f ca="1"/>
        <v>0.41064585721933666</v>
      </c>
      <c r="X2920" s="2">
        <f ca="1"/>
        <v>68.196190118546426</v>
      </c>
      <c r="AG2920" s="2">
        <f ca="1"/>
        <v>0.16458273521297673</v>
      </c>
      <c r="AH2920" s="2" t="str">
        <f ca="1"/>
        <v>OK</v>
      </c>
    </row>
    <row r="2921" spans="2:34">
      <c r="B2921" s="2">
        <f ca="1"/>
        <v>0.40963630776526871</v>
      </c>
      <c r="O2921" s="2">
        <f ca="1"/>
        <v>-1.6955818509606526</v>
      </c>
      <c r="X2921" s="2">
        <f ca="1"/>
        <v>31.955453687647264</v>
      </c>
      <c r="AG2921" s="2">
        <f ca="1"/>
        <v>0.32826947018435537</v>
      </c>
      <c r="AH2921" s="2" t="str">
        <f ca="1"/>
        <v>OK</v>
      </c>
    </row>
    <row r="2922" spans="2:34">
      <c r="B2922" s="2">
        <f ca="1"/>
        <v>0.99665649203792905</v>
      </c>
      <c r="O2922" s="2">
        <f ca="1"/>
        <v>-1.6180057500389686</v>
      </c>
      <c r="X2922" s="2">
        <f ca="1"/>
        <v>47.31670614035864</v>
      </c>
      <c r="AG2922" s="2">
        <f ca="1"/>
        <v>0.22651172855348523</v>
      </c>
      <c r="AH2922" s="2" t="str">
        <f ca="1"/>
        <v>OK</v>
      </c>
    </row>
    <row r="2923" spans="2:34">
      <c r="B2923" s="2">
        <f ca="1"/>
        <v>0.29788274866523357</v>
      </c>
      <c r="O2923" s="2">
        <f ca="1"/>
        <v>-6.7542259767429377E-2</v>
      </c>
      <c r="X2923" s="2">
        <f ca="1"/>
        <v>45.644039817003652</v>
      </c>
      <c r="AG2923" s="2">
        <f ca="1"/>
        <v>0.32314486942494214</v>
      </c>
      <c r="AH2923" s="2" t="str">
        <f ca="1"/>
        <v>OK</v>
      </c>
    </row>
    <row r="2924" spans="2:34">
      <c r="B2924" s="2">
        <f ca="1"/>
        <v>0.11712232068652795</v>
      </c>
      <c r="O2924" s="2">
        <f ca="1"/>
        <v>-4.2582999449641723E-2</v>
      </c>
      <c r="X2924" s="2">
        <f ca="1"/>
        <v>64.821861252227478</v>
      </c>
      <c r="AG2924" s="2">
        <f ca="1"/>
        <v>0.17639746795610711</v>
      </c>
      <c r="AH2924" s="2" t="str">
        <f ca="1"/>
        <v>OK</v>
      </c>
    </row>
    <row r="2925" spans="2:34">
      <c r="B2925" s="2">
        <f ca="1"/>
        <v>0.95840470116730025</v>
      </c>
      <c r="O2925" s="2">
        <f ca="1"/>
        <v>-0.76143709563951467</v>
      </c>
      <c r="X2925" s="2">
        <f ca="1"/>
        <v>51.31519742289715</v>
      </c>
      <c r="AG2925" s="2">
        <f ca="1"/>
        <v>0.15520965932545927</v>
      </c>
      <c r="AH2925" s="2" t="str">
        <f ca="1"/>
        <v>OK</v>
      </c>
    </row>
    <row r="2926" spans="2:34">
      <c r="B2926" s="2">
        <f ca="1"/>
        <v>0.39024766326454374</v>
      </c>
      <c r="O2926" s="2">
        <f ca="1"/>
        <v>-0.21830719030753978</v>
      </c>
      <c r="X2926" s="2">
        <f ca="1"/>
        <v>26.052882189965207</v>
      </c>
      <c r="AG2926" s="2">
        <f ca="1"/>
        <v>0.46315341672297894</v>
      </c>
      <c r="AH2926" s="2" t="str">
        <f ca="1"/>
        <v>Bad</v>
      </c>
    </row>
    <row r="2927" spans="2:34">
      <c r="B2927" s="2">
        <f ca="1"/>
        <v>0.76928494267732606</v>
      </c>
      <c r="O2927" s="2">
        <f ca="1"/>
        <v>-0.42871169905789575</v>
      </c>
      <c r="X2927" s="2">
        <f ca="1"/>
        <v>62.881194692491256</v>
      </c>
      <c r="AG2927" s="2">
        <f ca="1"/>
        <v>0.14496336412790001</v>
      </c>
      <c r="AH2927" s="2" t="str">
        <f ca="1"/>
        <v>OK</v>
      </c>
    </row>
    <row r="2928" spans="2:34">
      <c r="B2928" s="2">
        <f ca="1"/>
        <v>0.20818489003563223</v>
      </c>
      <c r="O2928" s="2">
        <f ca="1"/>
        <v>1.0701106193989414</v>
      </c>
      <c r="X2928" s="2">
        <f ca="1"/>
        <v>32.084168934056933</v>
      </c>
      <c r="AG2928" s="2">
        <f ca="1"/>
        <v>0.90233653599130892</v>
      </c>
      <c r="AH2928" s="2" t="str">
        <f ca="1"/>
        <v>Bad</v>
      </c>
    </row>
    <row r="2929" spans="2:34">
      <c r="B2929" s="2">
        <f ca="1"/>
        <v>0.43875045285610592</v>
      </c>
      <c r="O2929" s="2">
        <f ca="1"/>
        <v>0.91395959351339273</v>
      </c>
      <c r="X2929" s="2">
        <f ca="1"/>
        <v>84.881856467798897</v>
      </c>
      <c r="AG2929" s="2">
        <f ca="1"/>
        <v>0.1435423849664772</v>
      </c>
      <c r="AH2929" s="2" t="str">
        <f ca="1"/>
        <v>OK</v>
      </c>
    </row>
    <row r="2930" spans="2:34">
      <c r="B2930" s="2">
        <f ca="1"/>
        <v>0.51150339859001237</v>
      </c>
      <c r="O2930" s="2">
        <f ca="1"/>
        <v>0.37239230457327588</v>
      </c>
      <c r="X2930" s="2">
        <f ca="1"/>
        <v>63.480499635034668</v>
      </c>
      <c r="AG2930" s="2">
        <f ca="1"/>
        <v>0.28562629305856979</v>
      </c>
      <c r="AH2930" s="2" t="str">
        <f ca="1"/>
        <v>OK</v>
      </c>
    </row>
    <row r="2931" spans="2:34">
      <c r="B2931" s="2">
        <f ca="1"/>
        <v>0.66441005277652687</v>
      </c>
      <c r="O2931" s="2">
        <f ca="1"/>
        <v>0.4453026431258752</v>
      </c>
      <c r="X2931" s="2">
        <f ca="1"/>
        <v>42.91822359840662</v>
      </c>
      <c r="AG2931" s="2">
        <f ca="1"/>
        <v>8.5605951223501231E-2</v>
      </c>
      <c r="AH2931" s="2" t="str">
        <f ca="1"/>
        <v>OK</v>
      </c>
    </row>
    <row r="2932" spans="2:34">
      <c r="B2932" s="2">
        <f ca="1"/>
        <v>0.33438497778353105</v>
      </c>
      <c r="O2932" s="2">
        <f ca="1"/>
        <v>0.8343231531108759</v>
      </c>
      <c r="X2932" s="2">
        <f ca="1"/>
        <v>52.044820540227271</v>
      </c>
      <c r="AG2932" s="2">
        <f ca="1"/>
        <v>0.9986342386384468</v>
      </c>
      <c r="AH2932" s="2" t="str">
        <f ca="1"/>
        <v>Bad</v>
      </c>
    </row>
    <row r="2933" spans="2:34">
      <c r="B2933" s="2">
        <f ca="1"/>
        <v>0.11429381645431214</v>
      </c>
      <c r="O2933" s="2">
        <f ca="1"/>
        <v>0.11223814799121477</v>
      </c>
      <c r="X2933" s="2">
        <f ca="1"/>
        <v>50.332011832452608</v>
      </c>
      <c r="AG2933" s="2">
        <f ca="1"/>
        <v>0.4207606595167368</v>
      </c>
      <c r="AH2933" s="2" t="str">
        <f ca="1"/>
        <v>Bad</v>
      </c>
    </row>
    <row r="2934" spans="2:34">
      <c r="B2934" s="2">
        <f ca="1"/>
        <v>0.75497748047641466</v>
      </c>
      <c r="O2934" s="2">
        <f ca="1"/>
        <v>-1.018707044479702</v>
      </c>
      <c r="X2934" s="2">
        <f ca="1"/>
        <v>45.152488282539693</v>
      </c>
      <c r="AG2934" s="2">
        <f ca="1"/>
        <v>0.26257426937146566</v>
      </c>
      <c r="AH2934" s="2" t="str">
        <f ca="1"/>
        <v>OK</v>
      </c>
    </row>
    <row r="2935" spans="2:34">
      <c r="B2935" s="2">
        <f ca="1"/>
        <v>0.7335396822054423</v>
      </c>
      <c r="O2935" s="2">
        <f ca="1"/>
        <v>-0.91974726347700209</v>
      </c>
      <c r="X2935" s="2">
        <f ca="1"/>
        <v>76.890977351729177</v>
      </c>
      <c r="AG2935" s="2">
        <f ca="1"/>
        <v>0.69627589525228739</v>
      </c>
      <c r="AH2935" s="2" t="str">
        <f ca="1"/>
        <v>Bad</v>
      </c>
    </row>
    <row r="2936" spans="2:34">
      <c r="B2936" s="2">
        <f ca="1"/>
        <v>6.2880198135540688E-2</v>
      </c>
      <c r="O2936" s="2">
        <f ca="1"/>
        <v>2.5213952702484974</v>
      </c>
      <c r="X2936" s="2">
        <f ca="1"/>
        <v>44.327188194284091</v>
      </c>
      <c r="AG2936" s="2">
        <f ca="1"/>
        <v>0.25846229993393965</v>
      </c>
      <c r="AH2936" s="2" t="str">
        <f ca="1"/>
        <v>OK</v>
      </c>
    </row>
    <row r="2937" spans="2:34">
      <c r="B2937" s="2">
        <f ca="1"/>
        <v>0.80722766290421966</v>
      </c>
      <c r="O2937" s="2">
        <f ca="1"/>
        <v>-1.18767904746893</v>
      </c>
      <c r="X2937" s="2">
        <f ca="1"/>
        <v>30.050867138296976</v>
      </c>
      <c r="AG2937" s="2">
        <f ca="1"/>
        <v>0.64873109653137684</v>
      </c>
      <c r="AH2937" s="2" t="str">
        <f ca="1"/>
        <v>Bad</v>
      </c>
    </row>
    <row r="2938" spans="2:34">
      <c r="B2938" s="2">
        <f ca="1"/>
        <v>6.2154557701328272E-2</v>
      </c>
      <c r="O2938" s="2">
        <f ca="1"/>
        <v>0.87136380226735755</v>
      </c>
      <c r="X2938" s="2">
        <f ca="1"/>
        <v>44.658427683078997</v>
      </c>
      <c r="AG2938" s="2">
        <f ca="1"/>
        <v>0.16111352025159964</v>
      </c>
      <c r="AH2938" s="2" t="str">
        <f ca="1"/>
        <v>OK</v>
      </c>
    </row>
    <row r="2939" spans="2:34">
      <c r="B2939" s="2">
        <f ca="1"/>
        <v>0.59918181197355502</v>
      </c>
      <c r="O2939" s="2">
        <f ca="1"/>
        <v>0.8922017512908782</v>
      </c>
      <c r="X2939" s="2">
        <f ca="1"/>
        <v>36.929186530375951</v>
      </c>
      <c r="AG2939" s="2">
        <f ca="1"/>
        <v>0.72295012462501518</v>
      </c>
      <c r="AH2939" s="2" t="str">
        <f ca="1"/>
        <v>Bad</v>
      </c>
    </row>
    <row r="2940" spans="2:34">
      <c r="B2940" s="2">
        <f ca="1"/>
        <v>0.7463078777283163</v>
      </c>
      <c r="O2940" s="2">
        <f ca="1"/>
        <v>-0.56785562307096848</v>
      </c>
      <c r="X2940" s="2">
        <f ca="1"/>
        <v>37.943624979100278</v>
      </c>
      <c r="AG2940" s="2">
        <f ca="1"/>
        <v>0.14638184520966879</v>
      </c>
      <c r="AH2940" s="2" t="str">
        <f ca="1"/>
        <v>OK</v>
      </c>
    </row>
    <row r="2941" spans="2:34">
      <c r="B2941" s="2">
        <f ca="1"/>
        <v>0.20149393035748409</v>
      </c>
      <c r="O2941" s="2">
        <f ca="1"/>
        <v>0.69093559459692144</v>
      </c>
      <c r="X2941" s="2">
        <f ca="1"/>
        <v>57.496754401050786</v>
      </c>
      <c r="AG2941" s="2">
        <f ca="1"/>
        <v>0.46290360542646769</v>
      </c>
      <c r="AH2941" s="2" t="str">
        <f ca="1"/>
        <v>Bad</v>
      </c>
    </row>
    <row r="2942" spans="2:34">
      <c r="B2942" s="2">
        <f ca="1"/>
        <v>8.074879582832506E-2</v>
      </c>
      <c r="O2942" s="2">
        <f ca="1"/>
        <v>-0.81954002071473531</v>
      </c>
      <c r="X2942" s="2">
        <f ca="1"/>
        <v>35.139653041566504</v>
      </c>
      <c r="AG2942" s="2">
        <f ca="1"/>
        <v>0.74162652615296842</v>
      </c>
      <c r="AH2942" s="2" t="str">
        <f ca="1"/>
        <v>Bad</v>
      </c>
    </row>
    <row r="2943" spans="2:34">
      <c r="B2943" s="2">
        <f ca="1"/>
        <v>0.28262401356897326</v>
      </c>
      <c r="O2943" s="2">
        <f ca="1"/>
        <v>-0.10315697962827192</v>
      </c>
      <c r="X2943" s="2">
        <f ca="1"/>
        <v>38.689157495554497</v>
      </c>
      <c r="AG2943" s="2">
        <f ca="1"/>
        <v>0.50800930596684468</v>
      </c>
      <c r="AH2943" s="2" t="str">
        <f ca="1"/>
        <v>Bad</v>
      </c>
    </row>
    <row r="2944" spans="2:34">
      <c r="B2944" s="2">
        <f ca="1"/>
        <v>0.63703725768541264</v>
      </c>
      <c r="O2944" s="2">
        <f ca="1"/>
        <v>-1.5958795076328887</v>
      </c>
      <c r="X2944" s="2">
        <f ca="1"/>
        <v>49.88250276406103</v>
      </c>
      <c r="AG2944" s="2">
        <f ca="1"/>
        <v>0.75375113662368021</v>
      </c>
      <c r="AH2944" s="2" t="str">
        <f ca="1"/>
        <v>Bad</v>
      </c>
    </row>
    <row r="2945" spans="2:34">
      <c r="B2945" s="2">
        <f ca="1"/>
        <v>8.47330172377736E-2</v>
      </c>
      <c r="O2945" s="2">
        <f ca="1"/>
        <v>2.3619186967093704</v>
      </c>
      <c r="X2945" s="2">
        <f ca="1"/>
        <v>39.087682707302335</v>
      </c>
      <c r="AG2945" s="2">
        <f ca="1"/>
        <v>0.12342127708821304</v>
      </c>
      <c r="AH2945" s="2" t="str">
        <f ca="1"/>
        <v>OK</v>
      </c>
    </row>
    <row r="2946" spans="2:34">
      <c r="B2946" s="2">
        <f ca="1"/>
        <v>0.48378322230476134</v>
      </c>
      <c r="O2946" s="2">
        <f ca="1"/>
        <v>-2.2164520168911994</v>
      </c>
      <c r="X2946" s="2">
        <f ca="1"/>
        <v>66.996584499662816</v>
      </c>
      <c r="AG2946" s="2">
        <f ca="1"/>
        <v>0.93008161889087115</v>
      </c>
      <c r="AH2946" s="2" t="str">
        <f ca="1"/>
        <v>Bad</v>
      </c>
    </row>
    <row r="2947" spans="2:34">
      <c r="B2947" s="2">
        <f ca="1"/>
        <v>0.17309529371076349</v>
      </c>
      <c r="O2947" s="2">
        <f ca="1"/>
        <v>-0.75536076200120561</v>
      </c>
      <c r="X2947" s="2">
        <f ca="1"/>
        <v>28.397575988574332</v>
      </c>
      <c r="AG2947" s="2">
        <f ca="1"/>
        <v>0.35363490500936545</v>
      </c>
      <c r="AH2947" s="2" t="str">
        <f ca="1"/>
        <v>OK</v>
      </c>
    </row>
    <row r="2948" spans="2:34">
      <c r="B2948" s="2">
        <f ca="1"/>
        <v>0.28622779231844975</v>
      </c>
      <c r="O2948" s="2">
        <f ca="1"/>
        <v>-1.7691544249672406</v>
      </c>
      <c r="X2948" s="2">
        <f ca="1"/>
        <v>37.822622698685223</v>
      </c>
      <c r="AG2948" s="2">
        <f ca="1"/>
        <v>1.2777459300575833E-2</v>
      </c>
      <c r="AH2948" s="2" t="str">
        <f ca="1"/>
        <v>Good</v>
      </c>
    </row>
    <row r="2949" spans="2:34">
      <c r="B2949" s="2">
        <f ca="1"/>
        <v>4.1162209393823757E-2</v>
      </c>
      <c r="O2949" s="2">
        <f ca="1"/>
        <v>2.0638355593242257</v>
      </c>
      <c r="X2949" s="2">
        <f ca="1"/>
        <v>46.982858678044778</v>
      </c>
      <c r="AG2949" s="2">
        <f ca="1"/>
        <v>0.70883191624577879</v>
      </c>
      <c r="AH2949" s="2" t="str">
        <f ca="1"/>
        <v>Bad</v>
      </c>
    </row>
    <row r="2950" spans="2:34">
      <c r="B2950" s="2">
        <f ca="1"/>
        <v>0.80850837239480478</v>
      </c>
      <c r="O2950" s="2">
        <f ca="1"/>
        <v>-0.81541186733060744</v>
      </c>
      <c r="X2950" s="2">
        <f ca="1"/>
        <v>56.843925413678122</v>
      </c>
      <c r="AG2950" s="2">
        <f ca="1"/>
        <v>2.9763472686317627E-2</v>
      </c>
      <c r="AH2950" s="2" t="str">
        <f ca="1"/>
        <v>Good</v>
      </c>
    </row>
    <row r="2951" spans="2:34">
      <c r="B2951" s="2">
        <f ca="1"/>
        <v>0.22052227604091601</v>
      </c>
      <c r="O2951" s="2">
        <f ca="1"/>
        <v>-3.1875905801289228</v>
      </c>
      <c r="X2951" s="2">
        <f ca="1"/>
        <v>61.328467794978408</v>
      </c>
      <c r="AG2951" s="2">
        <f ca="1"/>
        <v>0.62139708163081497</v>
      </c>
      <c r="AH2951" s="2" t="str">
        <f ca="1"/>
        <v>Bad</v>
      </c>
    </row>
    <row r="2952" spans="2:34">
      <c r="B2952" s="2">
        <f ca="1"/>
        <v>0.5680182315236284</v>
      </c>
      <c r="O2952" s="2">
        <f ca="1"/>
        <v>2.5000185508935062E-2</v>
      </c>
      <c r="X2952" s="2">
        <f ca="1"/>
        <v>57.931597565732162</v>
      </c>
      <c r="AG2952" s="2">
        <f ca="1"/>
        <v>0.56055566451689276</v>
      </c>
      <c r="AH2952" s="2" t="str">
        <f ca="1"/>
        <v>Bad</v>
      </c>
    </row>
    <row r="2953" spans="2:34">
      <c r="B2953" s="2">
        <f ca="1"/>
        <v>0.46882064784839916</v>
      </c>
      <c r="O2953" s="2">
        <f ca="1"/>
        <v>0.35262464829174339</v>
      </c>
      <c r="X2953" s="2">
        <f ca="1"/>
        <v>43.79858216570134</v>
      </c>
      <c r="AG2953" s="2">
        <f ca="1"/>
        <v>0.65985466734592002</v>
      </c>
      <c r="AH2953" s="2" t="str">
        <f ca="1"/>
        <v>Bad</v>
      </c>
    </row>
    <row r="2954" spans="2:34">
      <c r="B2954" s="2">
        <f ca="1"/>
        <v>0.18146731920498871</v>
      </c>
      <c r="O2954" s="2">
        <f ca="1"/>
        <v>5.7537088679403076E-2</v>
      </c>
      <c r="X2954" s="2">
        <f ca="1"/>
        <v>72.59953804267505</v>
      </c>
      <c r="AG2954" s="2">
        <f ca="1"/>
        <v>0.36619331533321975</v>
      </c>
      <c r="AH2954" s="2" t="str">
        <f ca="1"/>
        <v>OK</v>
      </c>
    </row>
    <row r="2955" spans="2:34">
      <c r="B2955" s="2">
        <f ca="1"/>
        <v>0.45194805890675815</v>
      </c>
      <c r="O2955" s="2">
        <f ca="1"/>
        <v>0.31620941393369018</v>
      </c>
      <c r="X2955" s="2">
        <f ca="1"/>
        <v>44.540472983293036</v>
      </c>
      <c r="AG2955" s="2">
        <f ca="1"/>
        <v>0.41196312238424992</v>
      </c>
      <c r="AH2955" s="2" t="str">
        <f ca="1"/>
        <v>Bad</v>
      </c>
    </row>
    <row r="2956" spans="2:34">
      <c r="B2956" s="2">
        <f ca="1"/>
        <v>0.39971983669129085</v>
      </c>
      <c r="O2956" s="2">
        <f ca="1"/>
        <v>-0.80670085946583192</v>
      </c>
      <c r="X2956" s="2">
        <f ca="1"/>
        <v>51.064485837161257</v>
      </c>
      <c r="AG2956" s="2">
        <f ca="1"/>
        <v>0.6495485903039746</v>
      </c>
      <c r="AH2956" s="2" t="str">
        <f ca="1"/>
        <v>Bad</v>
      </c>
    </row>
    <row r="2957" spans="2:34">
      <c r="B2957" s="2">
        <f ca="1"/>
        <v>0.37457195121882303</v>
      </c>
      <c r="O2957" s="2">
        <f ca="1"/>
        <v>-0.12251933231897252</v>
      </c>
      <c r="X2957" s="2">
        <f ca="1"/>
        <v>48.280257169555611</v>
      </c>
      <c r="AG2957" s="2">
        <f ca="1"/>
        <v>0.21818829305212639</v>
      </c>
      <c r="AH2957" s="2" t="str">
        <f ca="1"/>
        <v>OK</v>
      </c>
    </row>
    <row r="2958" spans="2:34">
      <c r="B2958" s="2">
        <f ca="1"/>
        <v>0.12764804144740638</v>
      </c>
      <c r="O2958" s="2">
        <f ca="1"/>
        <v>-1.018660735698202</v>
      </c>
      <c r="X2958" s="2">
        <f ca="1"/>
        <v>44.588125378511251</v>
      </c>
      <c r="AG2958" s="2">
        <f ca="1"/>
        <v>0.60481234923757454</v>
      </c>
      <c r="AH2958" s="2" t="str">
        <f ca="1"/>
        <v>Bad</v>
      </c>
    </row>
    <row r="2959" spans="2:34">
      <c r="B2959" s="2">
        <f ca="1"/>
        <v>0.89405605375249131</v>
      </c>
      <c r="O2959" s="2">
        <f ca="1"/>
        <v>-0.72250775652507104</v>
      </c>
      <c r="X2959" s="2">
        <f ca="1"/>
        <v>31.699751525456286</v>
      </c>
      <c r="AG2959" s="2">
        <f ca="1"/>
        <v>5.4888243576970641E-2</v>
      </c>
      <c r="AH2959" s="2" t="str">
        <f ca="1"/>
        <v>OK</v>
      </c>
    </row>
    <row r="2960" spans="2:34">
      <c r="B2960" s="2">
        <f ca="1"/>
        <v>0.43819316982779744</v>
      </c>
      <c r="O2960" s="2">
        <f ca="1"/>
        <v>-2.1301129120280943E-2</v>
      </c>
      <c r="X2960" s="2">
        <f ca="1"/>
        <v>58.00443450627084</v>
      </c>
      <c r="AG2960" s="2">
        <f ca="1"/>
        <v>0.86885342585645398</v>
      </c>
      <c r="AH2960" s="2" t="str">
        <f ca="1"/>
        <v>Bad</v>
      </c>
    </row>
    <row r="2961" spans="2:34">
      <c r="B2961" s="2">
        <f ca="1"/>
        <v>0.78859936315073376</v>
      </c>
      <c r="O2961" s="2">
        <f ca="1"/>
        <v>0.9717364049118935</v>
      </c>
      <c r="X2961" s="2">
        <f ca="1"/>
        <v>53.818234771528793</v>
      </c>
      <c r="AG2961" s="2">
        <f ca="1"/>
        <v>0.28242963261928988</v>
      </c>
      <c r="AH2961" s="2" t="str">
        <f ca="1"/>
        <v>OK</v>
      </c>
    </row>
    <row r="2962" spans="2:34">
      <c r="B2962" s="2">
        <f ca="1"/>
        <v>0.97532035694777797</v>
      </c>
      <c r="O2962" s="2">
        <f ca="1"/>
        <v>0.31827242197307692</v>
      </c>
      <c r="X2962" s="2">
        <f ca="1"/>
        <v>67.980786815669944</v>
      </c>
      <c r="AG2962" s="2">
        <f ca="1"/>
        <v>0.61528683765467185</v>
      </c>
      <c r="AH2962" s="2" t="str">
        <f ca="1"/>
        <v>Bad</v>
      </c>
    </row>
    <row r="2963" spans="2:34">
      <c r="B2963" s="2">
        <f ca="1"/>
        <v>0.63463432575410228</v>
      </c>
      <c r="O2963" s="2">
        <f ca="1"/>
        <v>0.47350335189602777</v>
      </c>
      <c r="X2963" s="2">
        <f ca="1"/>
        <v>41.630039946590927</v>
      </c>
      <c r="AG2963" s="2">
        <f ca="1"/>
        <v>0.36936495352348664</v>
      </c>
      <c r="AH2963" s="2" t="str">
        <f ca="1"/>
        <v>OK</v>
      </c>
    </row>
    <row r="2964" spans="2:34">
      <c r="B2964" s="2">
        <f ca="1"/>
        <v>5.9186329479953947E-2</v>
      </c>
      <c r="O2964" s="2">
        <f ca="1"/>
        <v>0.36832959312386471</v>
      </c>
      <c r="X2964" s="2">
        <f ca="1"/>
        <v>65.848367807709224</v>
      </c>
      <c r="AG2964" s="2">
        <f ca="1"/>
        <v>0.7448286244764728</v>
      </c>
      <c r="AH2964" s="2" t="str">
        <f ca="1"/>
        <v>Bad</v>
      </c>
    </row>
    <row r="2965" spans="2:34">
      <c r="B2965" s="2">
        <f ca="1"/>
        <v>0.36633409880483314</v>
      </c>
      <c r="O2965" s="2">
        <f ca="1"/>
        <v>-0.64943639743029169</v>
      </c>
      <c r="X2965" s="2">
        <f ca="1"/>
        <v>35.014833498467148</v>
      </c>
      <c r="AG2965" s="2">
        <f ca="1"/>
        <v>0.31018373198980886</v>
      </c>
      <c r="AH2965" s="2" t="str">
        <f ca="1"/>
        <v>OK</v>
      </c>
    </row>
    <row r="2966" spans="2:34">
      <c r="B2966" s="2">
        <f ca="1"/>
        <v>1.3437680860440837E-2</v>
      </c>
      <c r="O2966" s="2">
        <f ca="1"/>
        <v>1.8193125848202141E-2</v>
      </c>
      <c r="X2966" s="2">
        <f ca="1"/>
        <v>55.632599643093485</v>
      </c>
      <c r="AG2966" s="2">
        <f ca="1"/>
        <v>0.50567078415158639</v>
      </c>
      <c r="AH2966" s="2" t="str">
        <f ca="1"/>
        <v>Bad</v>
      </c>
    </row>
    <row r="2967" spans="2:34">
      <c r="B2967" s="2">
        <f ca="1"/>
        <v>2.6718441901691925E-2</v>
      </c>
      <c r="O2967" s="2">
        <f ca="1"/>
        <v>0.9937742387715085</v>
      </c>
      <c r="X2967" s="2">
        <f ca="1"/>
        <v>26.397756673445677</v>
      </c>
      <c r="AG2967" s="2">
        <f ca="1"/>
        <v>0.54384765117150335</v>
      </c>
      <c r="AH2967" s="2" t="str">
        <f ca="1"/>
        <v>Bad</v>
      </c>
    </row>
    <row r="2968" spans="2:34">
      <c r="B2968" s="2">
        <f ca="1"/>
        <v>0.78179292731897276</v>
      </c>
      <c r="O2968" s="2">
        <f ca="1"/>
        <v>2.0082550624012496</v>
      </c>
      <c r="X2968" s="2">
        <f ca="1"/>
        <v>28.2497846867048</v>
      </c>
      <c r="AG2968" s="2">
        <f ca="1"/>
        <v>0.11000215132901903</v>
      </c>
      <c r="AH2968" s="2" t="str">
        <f ca="1"/>
        <v>OK</v>
      </c>
    </row>
    <row r="2969" spans="2:34">
      <c r="B2969" s="2">
        <f ca="1"/>
        <v>0.84481095679729612</v>
      </c>
      <c r="O2969" s="2">
        <f ca="1"/>
        <v>0.31946281725629722</v>
      </c>
      <c r="X2969" s="2">
        <f ca="1"/>
        <v>36.589147430762836</v>
      </c>
      <c r="AG2969" s="2">
        <f ca="1"/>
        <v>0.96421201922767152</v>
      </c>
      <c r="AH2969" s="2" t="str">
        <f ca="1"/>
        <v>Bad</v>
      </c>
    </row>
    <row r="2970" spans="2:34">
      <c r="B2970" s="2">
        <f ca="1"/>
        <v>0.47397052875875478</v>
      </c>
      <c r="O2970" s="2">
        <f ca="1"/>
        <v>-1.1412310463554025</v>
      </c>
      <c r="X2970" s="2">
        <f ca="1"/>
        <v>38.312890178826677</v>
      </c>
      <c r="AG2970" s="2">
        <f ca="1"/>
        <v>0.75329966759350198</v>
      </c>
      <c r="AH2970" s="2" t="str">
        <f ca="1"/>
        <v>Bad</v>
      </c>
    </row>
    <row r="2971" spans="2:34">
      <c r="B2971" s="2">
        <f ca="1"/>
        <v>0.5117868864734878</v>
      </c>
      <c r="O2971" s="2">
        <f ca="1"/>
        <v>0.64596293159445428</v>
      </c>
      <c r="X2971" s="2">
        <f ca="1"/>
        <v>43.638651672661368</v>
      </c>
      <c r="AG2971" s="2">
        <f ca="1"/>
        <v>6.4956726464050041E-2</v>
      </c>
      <c r="AH2971" s="2" t="str">
        <f ca="1"/>
        <v>OK</v>
      </c>
    </row>
    <row r="2972" spans="2:34">
      <c r="B2972" s="2">
        <f ca="1"/>
        <v>0.1353944547106114</v>
      </c>
      <c r="O2972" s="2">
        <f ca="1"/>
        <v>-1.3608536003483351</v>
      </c>
      <c r="X2972" s="2">
        <f ca="1"/>
        <v>33.735123008503194</v>
      </c>
      <c r="AG2972" s="2">
        <f ca="1"/>
        <v>0.48018561457099662</v>
      </c>
      <c r="AH2972" s="2" t="str">
        <f ca="1"/>
        <v>Bad</v>
      </c>
    </row>
    <row r="2973" spans="2:34">
      <c r="B2973" s="2">
        <f ca="1"/>
        <v>8.7363540820971641E-2</v>
      </c>
      <c r="O2973" s="2">
        <f ca="1"/>
        <v>-0.1771972655789005</v>
      </c>
      <c r="X2973" s="2">
        <f ca="1"/>
        <v>61.928599485501714</v>
      </c>
      <c r="AG2973" s="2">
        <f ca="1"/>
        <v>0.66131476901866515</v>
      </c>
      <c r="AH2973" s="2" t="str">
        <f ca="1"/>
        <v>Bad</v>
      </c>
    </row>
    <row r="2974" spans="2:34">
      <c r="B2974" s="2">
        <f ca="1"/>
        <v>0.83906003379488925</v>
      </c>
      <c r="O2974" s="2">
        <f ca="1"/>
        <v>5.0112147271575473E-2</v>
      </c>
      <c r="X2974" s="2">
        <f ca="1"/>
        <v>55.342264985286604</v>
      </c>
      <c r="AG2974" s="2">
        <f ca="1"/>
        <v>0.10710543143934848</v>
      </c>
      <c r="AH2974" s="2" t="str">
        <f ca="1"/>
        <v>OK</v>
      </c>
    </row>
    <row r="2975" spans="2:34">
      <c r="B2975" s="2">
        <f ca="1"/>
        <v>0.6444141768818783</v>
      </c>
      <c r="O2975" s="2">
        <f ca="1"/>
        <v>-0.16081195672538037</v>
      </c>
      <c r="X2975" s="2">
        <f ca="1"/>
        <v>59.615325299099389</v>
      </c>
      <c r="AG2975" s="2">
        <f ca="1"/>
        <v>0.71212486507011374</v>
      </c>
      <c r="AH2975" s="2" t="str">
        <f ca="1"/>
        <v>Bad</v>
      </c>
    </row>
    <row r="2976" spans="2:34">
      <c r="B2976" s="2">
        <f ca="1"/>
        <v>5.9883523559924656E-2</v>
      </c>
      <c r="O2976" s="2">
        <f ca="1"/>
        <v>0.94936137309704449</v>
      </c>
      <c r="X2976" s="2">
        <f ca="1"/>
        <v>36.421503342178084</v>
      </c>
      <c r="AG2976" s="2">
        <f ca="1"/>
        <v>0.26782604866957649</v>
      </c>
      <c r="AH2976" s="2" t="str">
        <f ca="1"/>
        <v>OK</v>
      </c>
    </row>
    <row r="2977" spans="2:34">
      <c r="B2977" s="2">
        <f ca="1"/>
        <v>0.4215784615769993</v>
      </c>
      <c r="O2977" s="2">
        <f ca="1"/>
        <v>0.67407662971472382</v>
      </c>
      <c r="X2977" s="2">
        <f ca="1"/>
        <v>62.53013729776228</v>
      </c>
      <c r="AG2977" s="2">
        <f ca="1"/>
        <v>0.856409713294501</v>
      </c>
      <c r="AH2977" s="2" t="str">
        <f ca="1"/>
        <v>Bad</v>
      </c>
    </row>
    <row r="2978" spans="2:34">
      <c r="B2978" s="2">
        <f ca="1"/>
        <v>0.57802510595627599</v>
      </c>
      <c r="O2978" s="2">
        <f ca="1"/>
        <v>-0.59698420198717428</v>
      </c>
      <c r="X2978" s="2">
        <f ca="1"/>
        <v>53.810223196710012</v>
      </c>
      <c r="AG2978" s="2">
        <f ca="1"/>
        <v>0.37998827266999791</v>
      </c>
      <c r="AH2978" s="2" t="str">
        <f ca="1"/>
        <v>OK</v>
      </c>
    </row>
    <row r="2979" spans="2:34">
      <c r="B2979" s="2">
        <f ca="1"/>
        <v>0.88349106787486975</v>
      </c>
      <c r="O2979" s="2">
        <f ca="1"/>
        <v>-0.62135987748233401</v>
      </c>
      <c r="X2979" s="2">
        <f ca="1"/>
        <v>54.213398062092971</v>
      </c>
      <c r="AG2979" s="2">
        <f ca="1"/>
        <v>0.20494272817317216</v>
      </c>
      <c r="AH2979" s="2" t="str">
        <f ca="1"/>
        <v>OK</v>
      </c>
    </row>
    <row r="2980" spans="2:34">
      <c r="B2980" s="2">
        <f ca="1"/>
        <v>0.44606454595929468</v>
      </c>
      <c r="O2980" s="2">
        <f ca="1"/>
        <v>0.41227181977562072</v>
      </c>
      <c r="X2980" s="2">
        <f ca="1"/>
        <v>24.141189999743304</v>
      </c>
      <c r="AG2980" s="2">
        <f ca="1"/>
        <v>0.84866051792791675</v>
      </c>
      <c r="AH2980" s="2" t="str">
        <f ca="1"/>
        <v>Bad</v>
      </c>
    </row>
    <row r="2981" spans="2:34">
      <c r="B2981" s="2">
        <f ca="1"/>
        <v>0.97347964684353805</v>
      </c>
      <c r="O2981" s="2">
        <f ca="1"/>
        <v>-0.10135550414054434</v>
      </c>
      <c r="X2981" s="2">
        <f ca="1"/>
        <v>38.162743867918408</v>
      </c>
      <c r="AG2981" s="2">
        <f ca="1"/>
        <v>0.380995099173151</v>
      </c>
      <c r="AH2981" s="2" t="str">
        <f ca="1"/>
        <v>OK</v>
      </c>
    </row>
    <row r="2982" spans="2:34">
      <c r="B2982" s="2">
        <f ca="1"/>
        <v>0.1205093631392582</v>
      </c>
      <c r="O2982" s="2">
        <f ca="1"/>
        <v>-0.27845282928014536</v>
      </c>
      <c r="X2982" s="2">
        <f ca="1"/>
        <v>49.335017245941117</v>
      </c>
      <c r="AG2982" s="2">
        <f ca="1"/>
        <v>0.81138960402121074</v>
      </c>
      <c r="AH2982" s="2" t="str">
        <f ca="1"/>
        <v>Bad</v>
      </c>
    </row>
    <row r="2983" spans="2:34">
      <c r="B2983" s="2">
        <f ca="1"/>
        <v>0.33193760644182468</v>
      </c>
      <c r="O2983" s="2">
        <f ca="1"/>
        <v>0.73920161287539288</v>
      </c>
      <c r="X2983" s="2">
        <f ca="1"/>
        <v>36.85902847316909</v>
      </c>
      <c r="AG2983" s="2">
        <f ca="1"/>
        <v>0.69271852686472313</v>
      </c>
      <c r="AH2983" s="2" t="str">
        <f ca="1"/>
        <v>Bad</v>
      </c>
    </row>
    <row r="2984" spans="2:34">
      <c r="B2984" s="2">
        <f ca="1"/>
        <v>0.24290447712127872</v>
      </c>
      <c r="O2984" s="2">
        <f ca="1"/>
        <v>-1.2894067459021286</v>
      </c>
      <c r="X2984" s="2">
        <f ca="1"/>
        <v>47.166817835113591</v>
      </c>
      <c r="AG2984" s="2">
        <f ca="1"/>
        <v>0.17082265849405442</v>
      </c>
      <c r="AH2984" s="2" t="str">
        <f ca="1"/>
        <v>OK</v>
      </c>
    </row>
    <row r="2985" spans="2:34">
      <c r="B2985" s="2">
        <f ca="1"/>
        <v>4.7702891486165466E-3</v>
      </c>
      <c r="O2985" s="2">
        <f ca="1"/>
        <v>0.73946401446380894</v>
      </c>
      <c r="X2985" s="2">
        <f ca="1"/>
        <v>76.254744833009042</v>
      </c>
      <c r="AG2985" s="2">
        <f ca="1"/>
        <v>0.29281276458508443</v>
      </c>
      <c r="AH2985" s="2" t="str">
        <f ca="1"/>
        <v>OK</v>
      </c>
    </row>
    <row r="2986" spans="2:34">
      <c r="B2986" s="2">
        <f ca="1"/>
        <v>0.35970558775233052</v>
      </c>
      <c r="O2986" s="2">
        <f ca="1"/>
        <v>1.1747890952228597</v>
      </c>
      <c r="X2986" s="2">
        <f ca="1"/>
        <v>59.902982417981328</v>
      </c>
      <c r="AG2986" s="2">
        <f ca="1"/>
        <v>0.4279572933931215</v>
      </c>
      <c r="AH2986" s="2" t="str">
        <f ca="1"/>
        <v>Bad</v>
      </c>
    </row>
    <row r="2987" spans="2:34">
      <c r="B2987" s="2">
        <f ca="1"/>
        <v>0.12885502141290939</v>
      </c>
      <c r="O2987" s="2">
        <f ca="1"/>
        <v>0.21732270432724235</v>
      </c>
      <c r="X2987" s="2">
        <f ca="1"/>
        <v>55.11173063741893</v>
      </c>
      <c r="AG2987" s="2">
        <f ca="1"/>
        <v>0.46350012750209002</v>
      </c>
      <c r="AH2987" s="2" t="str">
        <f ca="1"/>
        <v>Bad</v>
      </c>
    </row>
    <row r="2988" spans="2:34">
      <c r="B2988" s="2">
        <f ca="1"/>
        <v>0.70120800583014797</v>
      </c>
      <c r="O2988" s="2">
        <f ca="1"/>
        <v>-1.2275063019755406</v>
      </c>
      <c r="X2988" s="2">
        <f ca="1"/>
        <v>48.411350807916726</v>
      </c>
      <c r="AG2988" s="2">
        <f ca="1"/>
        <v>0.13890902508764325</v>
      </c>
      <c r="AH2988" s="2" t="str">
        <f ca="1"/>
        <v>OK</v>
      </c>
    </row>
    <row r="2989" spans="2:34">
      <c r="B2989" s="2">
        <f ca="1"/>
        <v>0.92608397348429383</v>
      </c>
      <c r="O2989" s="2">
        <f ca="1"/>
        <v>0.70381181317464891</v>
      </c>
      <c r="X2989" s="2">
        <f ca="1"/>
        <v>40.122017917451558</v>
      </c>
      <c r="AG2989" s="2">
        <f ca="1"/>
        <v>0.80450060753753738</v>
      </c>
      <c r="AH2989" s="2" t="str">
        <f ca="1"/>
        <v>Bad</v>
      </c>
    </row>
    <row r="2990" spans="2:34">
      <c r="B2990" s="2">
        <f ca="1"/>
        <v>0.85519938637072079</v>
      </c>
      <c r="O2990" s="2">
        <f ca="1"/>
        <v>0.40247082514088967</v>
      </c>
      <c r="X2990" s="2">
        <f ca="1"/>
        <v>44.071778467894411</v>
      </c>
      <c r="AG2990" s="2">
        <f ca="1"/>
        <v>0.84468293312195231</v>
      </c>
      <c r="AH2990" s="2" t="str">
        <f ca="1"/>
        <v>Bad</v>
      </c>
    </row>
    <row r="2991" spans="2:34">
      <c r="B2991" s="2">
        <f ca="1"/>
        <v>0.17991286907934012</v>
      </c>
      <c r="O2991" s="2">
        <f ca="1"/>
        <v>-1.125428034862767</v>
      </c>
      <c r="X2991" s="2">
        <f ca="1"/>
        <v>50.779266210493915</v>
      </c>
      <c r="AG2991" s="2">
        <f ca="1"/>
        <v>0.63838957687953912</v>
      </c>
      <c r="AH2991" s="2" t="str">
        <f ca="1"/>
        <v>Bad</v>
      </c>
    </row>
    <row r="2992" spans="2:34">
      <c r="B2992" s="2">
        <f ca="1"/>
        <v>0.61635872315309181</v>
      </c>
      <c r="O2992" s="2">
        <f ca="1"/>
        <v>-1.1573456192216269</v>
      </c>
      <c r="X2992" s="2">
        <f ca="1"/>
        <v>47.704567436707634</v>
      </c>
      <c r="AG2992" s="2">
        <f ca="1"/>
        <v>0.41778490163422033</v>
      </c>
      <c r="AH2992" s="2" t="str">
        <f ca="1"/>
        <v>Bad</v>
      </c>
    </row>
    <row r="2993" spans="2:34">
      <c r="B2993" s="2">
        <f ca="1"/>
        <v>0.46587921711268176</v>
      </c>
      <c r="O2993" s="2">
        <f ca="1"/>
        <v>-0.54618613933134963</v>
      </c>
      <c r="X2993" s="2">
        <f ca="1"/>
        <v>41.639923613919258</v>
      </c>
      <c r="AG2993" s="2">
        <f ca="1"/>
        <v>0.90338594357048563</v>
      </c>
      <c r="AH2993" s="2" t="str">
        <f ca="1"/>
        <v>Bad</v>
      </c>
    </row>
    <row r="2994" spans="2:34">
      <c r="B2994" s="2">
        <f ca="1"/>
        <v>3.978507417350241E-2</v>
      </c>
      <c r="O2994" s="2">
        <f ca="1"/>
        <v>-0.64201928338521586</v>
      </c>
      <c r="X2994" s="2">
        <f ca="1"/>
        <v>58.575224007916944</v>
      </c>
      <c r="AG2994" s="2">
        <f ca="1"/>
        <v>0.70110986686121368</v>
      </c>
      <c r="AH2994" s="2" t="str">
        <f ca="1"/>
        <v>Bad</v>
      </c>
    </row>
    <row r="2995" spans="2:34">
      <c r="B2995" s="2">
        <f ca="1"/>
        <v>6.6799823011755022E-2</v>
      </c>
      <c r="O2995" s="2">
        <f ca="1"/>
        <v>0.2974350108988062</v>
      </c>
      <c r="X2995" s="2">
        <f ca="1"/>
        <v>46.863874186580205</v>
      </c>
      <c r="AG2995" s="2">
        <f ca="1"/>
        <v>0.18640412838161291</v>
      </c>
      <c r="AH2995" s="2" t="str">
        <f ca="1"/>
        <v>OK</v>
      </c>
    </row>
    <row r="2996" spans="2:34">
      <c r="B2996" s="2">
        <f ca="1"/>
        <v>0.66331712416045918</v>
      </c>
      <c r="O2996" s="2">
        <f ca="1"/>
        <v>-0.90451170902412137</v>
      </c>
      <c r="X2996" s="2">
        <f ca="1"/>
        <v>50.795352231152449</v>
      </c>
      <c r="AG2996" s="2">
        <f ca="1"/>
        <v>0.76843970591998922</v>
      </c>
      <c r="AH2996" s="2" t="str">
        <f ca="1"/>
        <v>Bad</v>
      </c>
    </row>
    <row r="2997" spans="2:34">
      <c r="B2997" s="2">
        <f ca="1"/>
        <v>0.40203318299525814</v>
      </c>
      <c r="O2997" s="2">
        <f ca="1"/>
        <v>2.1104667882056201</v>
      </c>
      <c r="X2997" s="2">
        <f ca="1"/>
        <v>34.108735824158835</v>
      </c>
      <c r="AG2997" s="2">
        <f ca="1"/>
        <v>0.37929582494306824</v>
      </c>
      <c r="AH2997" s="2" t="str">
        <f ca="1"/>
        <v>OK</v>
      </c>
    </row>
    <row r="2998" spans="2:34">
      <c r="B2998" s="2">
        <f ca="1"/>
        <v>0.41836537590147782</v>
      </c>
      <c r="O2998" s="2">
        <f ca="1"/>
        <v>-0.2074127463812033</v>
      </c>
      <c r="X2998" s="2">
        <f ca="1"/>
        <v>59.985384386585466</v>
      </c>
      <c r="AG2998" s="2">
        <f ca="1"/>
        <v>0.70326472629741743</v>
      </c>
      <c r="AH2998" s="2" t="str">
        <f ca="1"/>
        <v>Bad</v>
      </c>
    </row>
    <row r="2999" spans="2:34">
      <c r="B2999" s="2">
        <f ca="1"/>
        <v>0.97090568227803353</v>
      </c>
      <c r="O2999" s="2">
        <f ca="1"/>
        <v>0.23073602106420624</v>
      </c>
      <c r="X2999" s="2">
        <f ca="1"/>
        <v>39.106211923816936</v>
      </c>
      <c r="AG2999" s="2">
        <f ca="1"/>
        <v>0.68688152985758677</v>
      </c>
      <c r="AH2999" s="2" t="str">
        <f ca="1"/>
        <v>Bad</v>
      </c>
    </row>
    <row r="3000" spans="2:34">
      <c r="B3000" s="2">
        <f ca="1"/>
        <v>0.72504044948760615</v>
      </c>
      <c r="O3000" s="2">
        <f ca="1"/>
        <v>1.315210350151002</v>
      </c>
      <c r="X3000" s="2">
        <f ca="1"/>
        <v>50.941106612217325</v>
      </c>
      <c r="AG3000" s="2">
        <f ca="1"/>
        <v>1.4693153696139216E-2</v>
      </c>
      <c r="AH3000" s="2" t="str">
        <f ca="1"/>
        <v>Good</v>
      </c>
    </row>
    <row r="3001" spans="2:34">
      <c r="B3001" s="2">
        <f ca="1"/>
        <v>5.3030747009719548E-2</v>
      </c>
      <c r="O3001" s="2">
        <f ca="1"/>
        <v>-0.74732957332267391</v>
      </c>
      <c r="X3001" s="2">
        <f ca="1"/>
        <v>59.877792533867058</v>
      </c>
      <c r="AG3001" s="2">
        <f ca="1"/>
        <v>0.29918345887285502</v>
      </c>
      <c r="AH3001" s="2" t="str">
        <f ca="1"/>
        <v>OK</v>
      </c>
    </row>
    <row r="3002" spans="2:34">
      <c r="B3002" s="2">
        <f ca="1"/>
        <v>0.32507210801501296</v>
      </c>
      <c r="O3002" s="2">
        <f ca="1"/>
        <v>0.65226681410677578</v>
      </c>
      <c r="X3002" s="2">
        <f ca="1"/>
        <v>43.025935753417514</v>
      </c>
      <c r="AG3002" s="2">
        <f ca="1"/>
        <v>0.80636453880990189</v>
      </c>
      <c r="AH3002" s="2" t="str">
        <f ca="1"/>
        <v>Bad</v>
      </c>
    </row>
    <row r="3003" spans="2:34">
      <c r="B3003" s="2">
        <f ca="1"/>
        <v>0.44530186207428324</v>
      </c>
      <c r="O3003" s="2">
        <f ca="1"/>
        <v>-0.76828081612709243</v>
      </c>
      <c r="X3003" s="2">
        <f ca="1"/>
        <v>43.893325032475573</v>
      </c>
      <c r="AG3003" s="2">
        <f ca="1"/>
        <v>0.92396118862769439</v>
      </c>
      <c r="AH3003" s="2" t="str">
        <f ca="1"/>
        <v>Bad</v>
      </c>
    </row>
    <row r="3004" spans="2:34">
      <c r="B3004" s="2">
        <f ca="1"/>
        <v>0.33040670909445935</v>
      </c>
      <c r="O3004" s="2">
        <f ca="1"/>
        <v>0.21734873475168154</v>
      </c>
      <c r="X3004" s="2">
        <f ca="1"/>
        <v>50.603072037120612</v>
      </c>
      <c r="AG3004" s="2">
        <f ca="1"/>
        <v>0.65402650778453997</v>
      </c>
      <c r="AH3004" s="2" t="str">
        <f ca="1"/>
        <v>Bad</v>
      </c>
    </row>
    <row r="3005" spans="2:34">
      <c r="B3005" s="2">
        <f ca="1"/>
        <v>0.32296817378352194</v>
      </c>
      <c r="O3005" s="2">
        <f ca="1"/>
        <v>-3.1358832004054111</v>
      </c>
      <c r="X3005" s="2">
        <f ca="1"/>
        <v>43.965248169135585</v>
      </c>
      <c r="AG3005" s="2">
        <f ca="1"/>
        <v>0.96783489260252109</v>
      </c>
      <c r="AH3005" s="2" t="str">
        <f ca="1"/>
        <v>Bad</v>
      </c>
    </row>
    <row r="3006" spans="2:34">
      <c r="B3006" s="2">
        <f ca="1"/>
        <v>0.99910916511081171</v>
      </c>
      <c r="O3006" s="2">
        <f ca="1"/>
        <v>0.72419884239034238</v>
      </c>
      <c r="X3006" s="2">
        <f ca="1"/>
        <v>51.404535352001702</v>
      </c>
      <c r="AG3006" s="2">
        <f ca="1"/>
        <v>0.66932409331666487</v>
      </c>
      <c r="AH3006" s="2" t="str">
        <f ca="1"/>
        <v>Bad</v>
      </c>
    </row>
    <row r="3007" spans="2:34">
      <c r="B3007" s="2">
        <f ca="1"/>
        <v>0.37466533672592539</v>
      </c>
      <c r="O3007" s="2">
        <f ca="1"/>
        <v>0.7520903965600505</v>
      </c>
      <c r="X3007" s="2">
        <f ca="1"/>
        <v>45.574531218402647</v>
      </c>
      <c r="AG3007" s="2">
        <f ca="1"/>
        <v>0.41336053504226666</v>
      </c>
      <c r="AH3007" s="2" t="str">
        <f ca="1"/>
        <v>Bad</v>
      </c>
    </row>
    <row r="3008" spans="2:34">
      <c r="B3008" s="2">
        <f ca="1"/>
        <v>0.26820448914436845</v>
      </c>
      <c r="O3008" s="2">
        <f ca="1"/>
        <v>-2.7885850060922365E-2</v>
      </c>
      <c r="X3008" s="2">
        <f ca="1"/>
        <v>53.450640728835523</v>
      </c>
      <c r="AG3008" s="2">
        <f ca="1"/>
        <v>0.12994243343844225</v>
      </c>
      <c r="AH3008" s="2" t="str">
        <f ca="1"/>
        <v>OK</v>
      </c>
    </row>
    <row r="3009" spans="2:34">
      <c r="B3009" s="2">
        <f ca="1"/>
        <v>0.49687778410424288</v>
      </c>
      <c r="O3009" s="2">
        <f ca="1"/>
        <v>1.0044413706845552</v>
      </c>
      <c r="X3009" s="2">
        <f ca="1"/>
        <v>41.527847568558165</v>
      </c>
      <c r="AG3009" s="2">
        <f ca="1"/>
        <v>0.28190547267829036</v>
      </c>
      <c r="AH3009" s="2" t="str">
        <f ca="1"/>
        <v>OK</v>
      </c>
    </row>
    <row r="3010" spans="2:34">
      <c r="B3010" s="2">
        <f ca="1"/>
        <v>0.49130933824819301</v>
      </c>
      <c r="O3010" s="2">
        <f ca="1"/>
        <v>-0.77117262469992343</v>
      </c>
      <c r="X3010" s="2">
        <f ca="1"/>
        <v>50.207562300927286</v>
      </c>
      <c r="AG3010" s="2">
        <f ca="1"/>
        <v>0.16996382933601684</v>
      </c>
      <c r="AH3010" s="2" t="str">
        <f ca="1"/>
        <v>OK</v>
      </c>
    </row>
    <row r="3011" spans="2:34">
      <c r="B3011" s="2">
        <f ca="1"/>
        <v>0.87512465343562518</v>
      </c>
      <c r="O3011" s="2">
        <f ca="1"/>
        <v>-0.24138216229917109</v>
      </c>
      <c r="X3011" s="2">
        <f ca="1"/>
        <v>73.163247514341748</v>
      </c>
      <c r="AG3011" s="2">
        <f ca="1"/>
        <v>0.12001736148858422</v>
      </c>
      <c r="AH3011" s="2" t="str">
        <f ca="1"/>
        <v>OK</v>
      </c>
    </row>
    <row r="3012" spans="2:34">
      <c r="B3012" s="2">
        <f ca="1"/>
        <v>0.18067929444098429</v>
      </c>
      <c r="O3012" s="2">
        <f ca="1"/>
        <v>0.81340090425696654</v>
      </c>
      <c r="X3012" s="2">
        <f ca="1"/>
        <v>39.596949475403207</v>
      </c>
      <c r="AG3012" s="2">
        <f ca="1"/>
        <v>0.45047837413030156</v>
      </c>
      <c r="AH3012" s="2" t="str">
        <f ca="1"/>
        <v>Bad</v>
      </c>
    </row>
    <row r="3013" spans="2:34">
      <c r="B3013" s="2">
        <f ca="1"/>
        <v>0.1133448866352349</v>
      </c>
      <c r="O3013" s="2">
        <f ca="1"/>
        <v>-2.3248880914450956</v>
      </c>
      <c r="X3013" s="2">
        <f ca="1"/>
        <v>49.503974327473031</v>
      </c>
      <c r="AG3013" s="2">
        <f ca="1"/>
        <v>0.19877742581583324</v>
      </c>
      <c r="AH3013" s="2" t="str">
        <f ca="1"/>
        <v>OK</v>
      </c>
    </row>
    <row r="3014" spans="2:34">
      <c r="B3014" s="2">
        <f ca="1"/>
        <v>0.4041395020203451</v>
      </c>
      <c r="O3014" s="2">
        <f ca="1"/>
        <v>-6.7534746521939637E-2</v>
      </c>
      <c r="X3014" s="2">
        <f ca="1"/>
        <v>56.40091333965205</v>
      </c>
      <c r="AG3014" s="2">
        <f ca="1"/>
        <v>0.32508570879629195</v>
      </c>
      <c r="AH3014" s="2" t="str">
        <f ca="1"/>
        <v>OK</v>
      </c>
    </row>
    <row r="3015" spans="2:34">
      <c r="B3015" s="2">
        <f ca="1"/>
        <v>0.48263931357208301</v>
      </c>
      <c r="O3015" s="2">
        <f ca="1"/>
        <v>-0.8463238539897161</v>
      </c>
      <c r="X3015" s="2">
        <f ca="1"/>
        <v>26.052625775064314</v>
      </c>
      <c r="AG3015" s="2">
        <f ca="1"/>
        <v>0.59238734650322389</v>
      </c>
      <c r="AH3015" s="2" t="str">
        <f ca="1"/>
        <v>Bad</v>
      </c>
    </row>
    <row r="3016" spans="2:34">
      <c r="B3016" s="2">
        <f ca="1"/>
        <v>0.4963716015163524</v>
      </c>
      <c r="O3016" s="2">
        <f ca="1"/>
        <v>-0.38197631942407839</v>
      </c>
      <c r="X3016" s="2">
        <f ca="1"/>
        <v>47.22674721804178</v>
      </c>
      <c r="AG3016" s="2">
        <f ca="1"/>
        <v>0.99867955551745347</v>
      </c>
      <c r="AH3016" s="2" t="str">
        <f ca="1"/>
        <v>Bad</v>
      </c>
    </row>
    <row r="3017" spans="2:34">
      <c r="B3017" s="2">
        <f ca="1"/>
        <v>0.33393874630157994</v>
      </c>
      <c r="O3017" s="2">
        <f ca="1"/>
        <v>-0.55489742010290433</v>
      </c>
      <c r="X3017" s="2">
        <f ca="1"/>
        <v>41.300489253210841</v>
      </c>
      <c r="AG3017" s="2">
        <f ca="1"/>
        <v>0.48757875050128141</v>
      </c>
      <c r="AH3017" s="2" t="str">
        <f ca="1"/>
        <v>Bad</v>
      </c>
    </row>
    <row r="3018" spans="2:34">
      <c r="B3018" s="2">
        <f ca="1"/>
        <v>0.12648828092855346</v>
      </c>
      <c r="O3018" s="2">
        <f ca="1"/>
        <v>0.26113996345574525</v>
      </c>
      <c r="X3018" s="2">
        <f ca="1"/>
        <v>46.264937869020031</v>
      </c>
      <c r="AG3018" s="2">
        <f ca="1"/>
        <v>0.757527629165343</v>
      </c>
      <c r="AH3018" s="2" t="str">
        <f ca="1"/>
        <v>Bad</v>
      </c>
    </row>
    <row r="3019" spans="2:34">
      <c r="B3019" s="2">
        <f ca="1"/>
        <v>0.38989615773112196</v>
      </c>
      <c r="O3019" s="2">
        <f ca="1"/>
        <v>-1.4340494699118946</v>
      </c>
      <c r="X3019" s="2">
        <f ca="1"/>
        <v>59.742665816760649</v>
      </c>
      <c r="AG3019" s="2">
        <f ca="1"/>
        <v>0.93293823995219616</v>
      </c>
      <c r="AH3019" s="2" t="str">
        <f ca="1"/>
        <v>Bad</v>
      </c>
    </row>
    <row r="3020" spans="2:34">
      <c r="B3020" s="2">
        <f ca="1"/>
        <v>0.96371023885854767</v>
      </c>
      <c r="O3020" s="2">
        <f ca="1"/>
        <v>1.7330123803790689</v>
      </c>
      <c r="X3020" s="2">
        <f ca="1"/>
        <v>74.524167688552183</v>
      </c>
      <c r="AG3020" s="2">
        <f ca="1"/>
        <v>0.91068152064007535</v>
      </c>
      <c r="AH3020" s="2" t="str">
        <f ca="1"/>
        <v>Bad</v>
      </c>
    </row>
    <row r="3021" spans="2:34">
      <c r="B3021" s="2">
        <f ca="1"/>
        <v>0.71387540317103371</v>
      </c>
      <c r="O3021" s="2">
        <f ca="1"/>
        <v>0.41515945510273194</v>
      </c>
      <c r="X3021" s="2">
        <f ca="1"/>
        <v>54.762230834285447</v>
      </c>
      <c r="AG3021" s="2">
        <f ca="1"/>
        <v>0.21295407715730619</v>
      </c>
      <c r="AH3021" s="2" t="str">
        <f ca="1"/>
        <v>OK</v>
      </c>
    </row>
    <row r="3022" spans="2:34">
      <c r="B3022" s="2">
        <f ca="1"/>
        <v>0.24384476614777784</v>
      </c>
      <c r="O3022" s="2">
        <f ca="1"/>
        <v>1.2323026696834436</v>
      </c>
      <c r="X3022" s="2">
        <f ca="1"/>
        <v>54.035655547058276</v>
      </c>
      <c r="AG3022" s="2">
        <f ca="1"/>
        <v>0.22429014208545262</v>
      </c>
      <c r="AH3022" s="2" t="str">
        <f ca="1"/>
        <v>OK</v>
      </c>
    </row>
    <row r="3023" spans="2:34">
      <c r="B3023" s="2">
        <f ca="1"/>
        <v>0.39058328660264774</v>
      </c>
      <c r="O3023" s="2">
        <f ca="1"/>
        <v>0.19229364978854827</v>
      </c>
      <c r="X3023" s="2">
        <f ca="1"/>
        <v>33.126777372508201</v>
      </c>
      <c r="AG3023" s="2">
        <f ca="1"/>
        <v>0.87324558387568851</v>
      </c>
      <c r="AH3023" s="2" t="str">
        <f ca="1"/>
        <v>Bad</v>
      </c>
    </row>
    <row r="3024" spans="2:34">
      <c r="B3024" s="2">
        <f ca="1"/>
        <v>0.58112959677691323</v>
      </c>
      <c r="O3024" s="2">
        <f ca="1"/>
        <v>-0.16178850771650133</v>
      </c>
      <c r="X3024" s="2">
        <f ca="1"/>
        <v>47.50082762808222</v>
      </c>
      <c r="AG3024" s="2">
        <f ca="1"/>
        <v>0.19092653004692717</v>
      </c>
      <c r="AH3024" s="2" t="str">
        <f ca="1"/>
        <v>OK</v>
      </c>
    </row>
    <row r="3025" spans="2:34">
      <c r="B3025" s="2">
        <f ca="1"/>
        <v>0.62451583043777226</v>
      </c>
      <c r="O3025" s="2">
        <f ca="1"/>
        <v>0.73185365486795873</v>
      </c>
      <c r="X3025" s="2">
        <f ca="1"/>
        <v>32.974167633021175</v>
      </c>
      <c r="AG3025" s="2">
        <f ca="1"/>
        <v>0.89159875838892666</v>
      </c>
      <c r="AH3025" s="2" t="str">
        <f ca="1"/>
        <v>Bad</v>
      </c>
    </row>
    <row r="3026" spans="2:34">
      <c r="B3026" s="2">
        <f ca="1"/>
        <v>0.56100209999095663</v>
      </c>
      <c r="O3026" s="2">
        <f ca="1"/>
        <v>1.2302981880141173</v>
      </c>
      <c r="X3026" s="2">
        <f ca="1"/>
        <v>42.987394307346101</v>
      </c>
      <c r="AG3026" s="2">
        <f ca="1"/>
        <v>0.52637456926288273</v>
      </c>
      <c r="AH3026" s="2" t="str">
        <f ca="1"/>
        <v>Bad</v>
      </c>
    </row>
    <row r="3027" spans="2:34">
      <c r="B3027" s="2">
        <f ca="1"/>
        <v>7.0335196286939183E-3</v>
      </c>
      <c r="O3027" s="2">
        <f ca="1"/>
        <v>-0.48030819895007609</v>
      </c>
      <c r="X3027" s="2">
        <f ca="1"/>
        <v>31.347439300589318</v>
      </c>
      <c r="AG3027" s="2">
        <f ca="1"/>
        <v>0.32942503133027135</v>
      </c>
      <c r="AH3027" s="2" t="str">
        <f ca="1"/>
        <v>OK</v>
      </c>
    </row>
    <row r="3028" spans="2:34">
      <c r="B3028" s="2">
        <f ca="1"/>
        <v>0.70843890360106654</v>
      </c>
      <c r="O3028" s="2">
        <f ca="1"/>
        <v>-0.35085109212985949</v>
      </c>
      <c r="X3028" s="2">
        <f ca="1"/>
        <v>54.938075336205152</v>
      </c>
      <c r="AG3028" s="2">
        <f ca="1"/>
        <v>0.39697762698628458</v>
      </c>
      <c r="AH3028" s="2" t="str">
        <f ca="1"/>
        <v>OK</v>
      </c>
    </row>
    <row r="3029" spans="2:34">
      <c r="B3029" s="2">
        <f ca="1"/>
        <v>0.27673498074742975</v>
      </c>
      <c r="O3029" s="2">
        <f ca="1"/>
        <v>0.80958549530005308</v>
      </c>
      <c r="X3029" s="2">
        <f ca="1"/>
        <v>48.71586942161904</v>
      </c>
      <c r="AG3029" s="2">
        <f ca="1"/>
        <v>0.43283045002904608</v>
      </c>
      <c r="AH3029" s="2" t="str">
        <f ca="1"/>
        <v>Bad</v>
      </c>
    </row>
    <row r="3030" spans="2:34">
      <c r="B3030" s="2">
        <f ca="1"/>
        <v>0.2510972012180579</v>
      </c>
      <c r="O3030" s="2">
        <f ca="1"/>
        <v>0.15753199772883769</v>
      </c>
      <c r="X3030" s="2">
        <f ca="1"/>
        <v>57.448675935570066</v>
      </c>
      <c r="AG3030" s="2">
        <f ca="1"/>
        <v>0.2517435811765274</v>
      </c>
      <c r="AH3030" s="2" t="str">
        <f ca="1"/>
        <v>OK</v>
      </c>
    </row>
    <row r="3031" spans="2:34">
      <c r="B3031" s="2">
        <f ca="1"/>
        <v>0.97705328115616763</v>
      </c>
      <c r="O3031" s="2">
        <f ca="1"/>
        <v>0.10439351239974429</v>
      </c>
      <c r="X3031" s="2">
        <f ca="1"/>
        <v>20.90807053714698</v>
      </c>
      <c r="AG3031" s="2">
        <f ca="1"/>
        <v>0.71857223413933236</v>
      </c>
      <c r="AH3031" s="2" t="str">
        <f ca="1"/>
        <v>Bad</v>
      </c>
    </row>
    <row r="3032" spans="2:34">
      <c r="B3032" s="2">
        <f ca="1"/>
        <v>0.11248076749693503</v>
      </c>
      <c r="O3032" s="2">
        <f ca="1"/>
        <v>-0.3747914579249958</v>
      </c>
      <c r="X3032" s="2">
        <f ca="1"/>
        <v>72.010742715574324</v>
      </c>
      <c r="AG3032" s="2">
        <f ca="1"/>
        <v>0.56053746107500069</v>
      </c>
      <c r="AH3032" s="2" t="str">
        <f ca="1"/>
        <v>Bad</v>
      </c>
    </row>
    <row r="3033" spans="2:34">
      <c r="B3033" s="2">
        <f ca="1"/>
        <v>0.28159131372924784</v>
      </c>
      <c r="O3033" s="2">
        <f ca="1"/>
        <v>0.31488763431837741</v>
      </c>
      <c r="X3033" s="2">
        <f ca="1"/>
        <v>21.680528432501266</v>
      </c>
      <c r="AG3033" s="2">
        <f ca="1"/>
        <v>7.0143779066075274E-2</v>
      </c>
      <c r="AH3033" s="2" t="str">
        <f ca="1"/>
        <v>OK</v>
      </c>
    </row>
    <row r="3034" spans="2:34">
      <c r="B3034" s="2">
        <f ca="1"/>
        <v>0.96892679788540992</v>
      </c>
      <c r="O3034" s="2">
        <f ca="1"/>
        <v>-2.0223359947086772</v>
      </c>
      <c r="X3034" s="2">
        <f ca="1"/>
        <v>53.106737668349368</v>
      </c>
      <c r="AG3034" s="2">
        <f ca="1"/>
        <v>1.0466324601124732E-2</v>
      </c>
      <c r="AH3034" s="2" t="str">
        <f ca="1"/>
        <v>Good</v>
      </c>
    </row>
    <row r="3035" spans="2:34">
      <c r="B3035" s="2">
        <f ca="1"/>
        <v>0.58336254809597121</v>
      </c>
      <c r="O3035" s="2">
        <f ca="1"/>
        <v>-0.17920755424802795</v>
      </c>
      <c r="X3035" s="2">
        <f ca="1"/>
        <v>41.247427331712828</v>
      </c>
      <c r="AG3035" s="2">
        <f ca="1"/>
        <v>0.52196276836316335</v>
      </c>
      <c r="AH3035" s="2" t="str">
        <f ca="1"/>
        <v>Bad</v>
      </c>
    </row>
    <row r="3036" spans="2:34">
      <c r="B3036" s="2">
        <f ca="1"/>
        <v>0.5311159746207601</v>
      </c>
      <c r="O3036" s="2">
        <f ca="1"/>
        <v>-0.57394548981836535</v>
      </c>
      <c r="X3036" s="2">
        <f ca="1"/>
        <v>56.460563302848144</v>
      </c>
      <c r="AG3036" s="2">
        <f ca="1"/>
        <v>0.8490411426613147</v>
      </c>
      <c r="AH3036" s="2" t="str">
        <f ca="1"/>
        <v>Bad</v>
      </c>
    </row>
    <row r="3037" spans="2:34">
      <c r="B3037" s="2">
        <f ca="1"/>
        <v>0.42110779447359037</v>
      </c>
      <c r="O3037" s="2">
        <f ca="1"/>
        <v>-0.80255587441277398</v>
      </c>
      <c r="X3037" s="2">
        <f ca="1"/>
        <v>43.475051394957461</v>
      </c>
      <c r="AG3037" s="2">
        <f ca="1"/>
        <v>2.5995249535584186E-3</v>
      </c>
      <c r="AH3037" s="2" t="str">
        <f ca="1"/>
        <v>Good</v>
      </c>
    </row>
    <row r="3038" spans="2:34">
      <c r="B3038" s="2">
        <f ca="1"/>
        <v>0.26408307987218249</v>
      </c>
      <c r="O3038" s="2">
        <f ca="1"/>
        <v>7.8205219295369818E-2</v>
      </c>
      <c r="X3038" s="2">
        <f ca="1"/>
        <v>51.5427533188182</v>
      </c>
      <c r="AG3038" s="2">
        <f ca="1"/>
        <v>0.53839332126831163</v>
      </c>
      <c r="AH3038" s="2" t="str">
        <f ca="1"/>
        <v>Bad</v>
      </c>
    </row>
    <row r="3039" spans="2:34">
      <c r="B3039" s="2">
        <f ca="1"/>
        <v>0.14097447466444102</v>
      </c>
      <c r="O3039" s="2">
        <f ca="1"/>
        <v>-0.24714115689627747</v>
      </c>
      <c r="X3039" s="2">
        <f ca="1"/>
        <v>55.151500138208675</v>
      </c>
      <c r="AG3039" s="2">
        <f ca="1"/>
        <v>0.74933620434259907</v>
      </c>
      <c r="AH3039" s="2" t="str">
        <f ca="1"/>
        <v>Bad</v>
      </c>
    </row>
    <row r="3040" spans="2:34">
      <c r="B3040" s="2">
        <f ca="1"/>
        <v>0.13025473632344409</v>
      </c>
      <c r="O3040" s="2">
        <f ca="1"/>
        <v>1.1726054686200105</v>
      </c>
      <c r="X3040" s="2">
        <f ca="1"/>
        <v>26.660022705478681</v>
      </c>
      <c r="AG3040" s="2">
        <f ca="1"/>
        <v>0.12879403116571209</v>
      </c>
      <c r="AH3040" s="2" t="str">
        <f ca="1"/>
        <v>OK</v>
      </c>
    </row>
    <row r="3041" spans="2:34">
      <c r="B3041" s="2">
        <f ca="1"/>
        <v>0.15575283150799901</v>
      </c>
      <c r="O3041" s="2">
        <f ca="1"/>
        <v>1.2208369526323894</v>
      </c>
      <c r="X3041" s="2">
        <f ca="1"/>
        <v>55.940703828048022</v>
      </c>
      <c r="AG3041" s="2">
        <f ca="1"/>
        <v>0.2405298411569381</v>
      </c>
      <c r="AH3041" s="2" t="str">
        <f ca="1"/>
        <v>OK</v>
      </c>
    </row>
    <row r="3042" spans="2:34">
      <c r="B3042" s="2">
        <f ca="1"/>
        <v>0.89619508403925385</v>
      </c>
      <c r="O3042" s="2">
        <f ca="1"/>
        <v>1.8648647147045456</v>
      </c>
      <c r="X3042" s="2">
        <f ca="1"/>
        <v>47.813827241610021</v>
      </c>
      <c r="AG3042" s="2">
        <f ca="1"/>
        <v>0.89620605580558732</v>
      </c>
      <c r="AH3042" s="2" t="str">
        <f ca="1"/>
        <v>Bad</v>
      </c>
    </row>
    <row r="3043" spans="2:34">
      <c r="B3043" s="2">
        <f ca="1"/>
        <v>5.6597267582123134E-2</v>
      </c>
      <c r="O3043" s="2">
        <f ca="1"/>
        <v>-1.3887401464581068</v>
      </c>
      <c r="X3043" s="2">
        <f ca="1"/>
        <v>32.010542846175646</v>
      </c>
      <c r="AG3043" s="2">
        <f ca="1"/>
        <v>0.95834059771861857</v>
      </c>
      <c r="AH3043" s="2" t="str">
        <f ca="1"/>
        <v>Bad</v>
      </c>
    </row>
    <row r="3044" spans="2:34">
      <c r="B3044" s="2">
        <f ca="1"/>
        <v>0.85953225033338887</v>
      </c>
      <c r="O3044" s="2">
        <f ca="1"/>
        <v>0.99780409999705155</v>
      </c>
      <c r="X3044" s="2">
        <f ca="1"/>
        <v>45.166165259380868</v>
      </c>
      <c r="AG3044" s="2">
        <f ca="1"/>
        <v>8.0907619164731548E-2</v>
      </c>
      <c r="AH3044" s="2" t="str">
        <f ca="1"/>
        <v>OK</v>
      </c>
    </row>
    <row r="3045" spans="2:34">
      <c r="B3045" s="2">
        <f ca="1"/>
        <v>0.76869552823020548</v>
      </c>
      <c r="O3045" s="2">
        <f ca="1"/>
        <v>-1.1762589283615386</v>
      </c>
      <c r="X3045" s="2">
        <f ca="1"/>
        <v>53.067767225988419</v>
      </c>
      <c r="AG3045" s="2">
        <f ca="1"/>
        <v>0.94536758312552505</v>
      </c>
      <c r="AH3045" s="2" t="str">
        <f ca="1"/>
        <v>Bad</v>
      </c>
    </row>
    <row r="3046" spans="2:34">
      <c r="B3046" s="2">
        <f ca="1"/>
        <v>0.19496585133610811</v>
      </c>
      <c r="O3046" s="2">
        <f ca="1"/>
        <v>1.5425758048800022</v>
      </c>
      <c r="X3046" s="2">
        <f ca="1"/>
        <v>52.687805906444247</v>
      </c>
      <c r="AG3046" s="2">
        <f ca="1"/>
        <v>1.2038028049106808E-2</v>
      </c>
      <c r="AH3046" s="2" t="str">
        <f ca="1"/>
        <v>Good</v>
      </c>
    </row>
    <row r="3047" spans="2:34">
      <c r="B3047" s="2">
        <f ca="1"/>
        <v>0.24465825225950644</v>
      </c>
      <c r="O3047" s="2">
        <f ca="1"/>
        <v>-1.752714618074626</v>
      </c>
      <c r="X3047" s="2">
        <f ca="1"/>
        <v>36.134331469222779</v>
      </c>
      <c r="AG3047" s="2">
        <f ca="1"/>
        <v>0.51117083201907376</v>
      </c>
      <c r="AH3047" s="2" t="str">
        <f ca="1"/>
        <v>Bad</v>
      </c>
    </row>
    <row r="3048" spans="2:34">
      <c r="B3048" s="2">
        <f ca="1"/>
        <v>0.90697369293594132</v>
      </c>
      <c r="O3048" s="2">
        <f ca="1"/>
        <v>0.93401977828349114</v>
      </c>
      <c r="X3048" s="2">
        <f ca="1"/>
        <v>51.481813946341092</v>
      </c>
      <c r="AG3048" s="2">
        <f ca="1"/>
        <v>0.34682308596989664</v>
      </c>
      <c r="AH3048" s="2" t="str">
        <f ca="1"/>
        <v>OK</v>
      </c>
    </row>
    <row r="3049" spans="2:34">
      <c r="B3049" s="2">
        <f ca="1"/>
        <v>0.37094246777886686</v>
      </c>
      <c r="O3049" s="2">
        <f ca="1"/>
        <v>3.4399504751479314E-2</v>
      </c>
      <c r="X3049" s="2">
        <f ca="1"/>
        <v>34.952132820825298</v>
      </c>
      <c r="AG3049" s="2">
        <f ca="1"/>
        <v>0.1444517217301613</v>
      </c>
      <c r="AH3049" s="2" t="str">
        <f ca="1"/>
        <v>OK</v>
      </c>
    </row>
    <row r="3050" spans="2:34">
      <c r="B3050" s="2">
        <f ca="1"/>
        <v>0.52282549911592779</v>
      </c>
      <c r="O3050" s="2">
        <f ca="1"/>
        <v>0.80700899632024825</v>
      </c>
      <c r="X3050" s="2">
        <f ca="1"/>
        <v>33.332178235064198</v>
      </c>
      <c r="AG3050" s="2">
        <f ca="1"/>
        <v>0.52077813093171188</v>
      </c>
      <c r="AH3050" s="2" t="str">
        <f ca="1"/>
        <v>Bad</v>
      </c>
    </row>
    <row r="3051" spans="2:34">
      <c r="B3051" s="2">
        <f ca="1"/>
        <v>0.26857734476893635</v>
      </c>
      <c r="O3051" s="2">
        <f ca="1"/>
        <v>-1.3931629893391568</v>
      </c>
      <c r="X3051" s="2">
        <f ca="1"/>
        <v>51.358493024669649</v>
      </c>
      <c r="AG3051" s="2">
        <f ca="1"/>
        <v>0.48252661654358797</v>
      </c>
      <c r="AH3051" s="2" t="str">
        <f ca="1"/>
        <v>Bad</v>
      </c>
    </row>
    <row r="3052" spans="2:34">
      <c r="B3052" s="2">
        <f ca="1"/>
        <v>0.19586052350122607</v>
      </c>
      <c r="O3052" s="2">
        <f ca="1"/>
        <v>-2.0071972865640371</v>
      </c>
      <c r="X3052" s="2">
        <f ca="1"/>
        <v>33.998668517430609</v>
      </c>
      <c r="AG3052" s="2">
        <f ca="1"/>
        <v>0.5746178569625886</v>
      </c>
      <c r="AH3052" s="2" t="str">
        <f ca="1"/>
        <v>Bad</v>
      </c>
    </row>
    <row r="3053" spans="2:34">
      <c r="B3053" s="2">
        <f ca="1"/>
        <v>0.99340128454201082</v>
      </c>
      <c r="O3053" s="2">
        <f ca="1"/>
        <v>0.37965619308850157</v>
      </c>
      <c r="X3053" s="2">
        <f ca="1"/>
        <v>36.704322634490218</v>
      </c>
      <c r="AG3053" s="2">
        <f ca="1"/>
        <v>0.62058711640680109</v>
      </c>
      <c r="AH3053" s="2" t="str">
        <f ca="1"/>
        <v>Bad</v>
      </c>
    </row>
    <row r="3054" spans="2:34">
      <c r="B3054" s="2">
        <f ca="1"/>
        <v>0.14360221532835959</v>
      </c>
      <c r="O3054" s="2">
        <f ca="1"/>
        <v>0.26202797602258687</v>
      </c>
      <c r="X3054" s="2">
        <f ca="1"/>
        <v>37.640483369042698</v>
      </c>
      <c r="AG3054" s="2">
        <f ca="1"/>
        <v>2.0739892270103866E-2</v>
      </c>
      <c r="AH3054" s="2" t="str">
        <f ca="1"/>
        <v>Good</v>
      </c>
    </row>
    <row r="3055" spans="2:34">
      <c r="B3055" s="2">
        <f ca="1"/>
        <v>0.14037948411030232</v>
      </c>
      <c r="O3055" s="2">
        <f ca="1"/>
        <v>-0.43054354114601706</v>
      </c>
      <c r="X3055" s="2">
        <f ca="1"/>
        <v>30.053301808636323</v>
      </c>
      <c r="AG3055" s="2">
        <f ca="1"/>
        <v>0.2425129891839084</v>
      </c>
      <c r="AH3055" s="2" t="str">
        <f ca="1"/>
        <v>OK</v>
      </c>
    </row>
    <row r="3056" spans="2:34">
      <c r="B3056" s="2">
        <f ca="1"/>
        <v>7.6485789901130641E-3</v>
      </c>
      <c r="O3056" s="2">
        <f ca="1"/>
        <v>-0.6091522257293388</v>
      </c>
      <c r="X3056" s="2">
        <f ca="1"/>
        <v>70.884314279703517</v>
      </c>
      <c r="AG3056" s="2">
        <f ca="1"/>
        <v>0.88926705489823044</v>
      </c>
      <c r="AH3056" s="2" t="str">
        <f ca="1"/>
        <v>Bad</v>
      </c>
    </row>
    <row r="3057" spans="2:34">
      <c r="B3057" s="2">
        <f ca="1"/>
        <v>0.78917454800023723</v>
      </c>
      <c r="O3057" s="2">
        <f ca="1"/>
        <v>-7.6552060093302066E-2</v>
      </c>
      <c r="X3057" s="2">
        <f ca="1"/>
        <v>38.336928052221012</v>
      </c>
      <c r="AG3057" s="2">
        <f ca="1"/>
        <v>0.21089761831989273</v>
      </c>
      <c r="AH3057" s="2" t="str">
        <f ca="1"/>
        <v>OK</v>
      </c>
    </row>
    <row r="3058" spans="2:34">
      <c r="B3058" s="2">
        <f ca="1"/>
        <v>0.69087079213631353</v>
      </c>
      <c r="O3058" s="2">
        <f ca="1"/>
        <v>0.28694684694495615</v>
      </c>
      <c r="X3058" s="2">
        <f ca="1"/>
        <v>51.111812371083133</v>
      </c>
      <c r="AG3058" s="2">
        <f ca="1"/>
        <v>0.623309917108825</v>
      </c>
      <c r="AH3058" s="2" t="str">
        <f ca="1"/>
        <v>Bad</v>
      </c>
    </row>
    <row r="3059" spans="2:34">
      <c r="B3059" s="2">
        <f ca="1"/>
        <v>0.36802475875607432</v>
      </c>
      <c r="O3059" s="2">
        <f ca="1"/>
        <v>1.1885484935749124</v>
      </c>
      <c r="X3059" s="2">
        <f ca="1"/>
        <v>49.053610299049154</v>
      </c>
      <c r="AG3059" s="2">
        <f ca="1"/>
        <v>0.18915346310364578</v>
      </c>
      <c r="AH3059" s="2" t="str">
        <f ca="1"/>
        <v>OK</v>
      </c>
    </row>
    <row r="3060" spans="2:34">
      <c r="B3060" s="2">
        <f ca="1"/>
        <v>0.59390342454136746</v>
      </c>
      <c r="O3060" s="2">
        <f ca="1"/>
        <v>-0.6825456732086449</v>
      </c>
      <c r="X3060" s="2">
        <f ca="1"/>
        <v>28.19742633661707</v>
      </c>
      <c r="AG3060" s="2">
        <f ca="1"/>
        <v>4.5504687361709317E-2</v>
      </c>
      <c r="AH3060" s="2" t="str">
        <f ca="1"/>
        <v>Good</v>
      </c>
    </row>
    <row r="3061" spans="2:34">
      <c r="B3061" s="2">
        <f ca="1"/>
        <v>0.60394835477542475</v>
      </c>
      <c r="O3061" s="2">
        <f ca="1"/>
        <v>0.40196008236118091</v>
      </c>
      <c r="X3061" s="2">
        <f ca="1"/>
        <v>51.482330326888942</v>
      </c>
      <c r="AG3061" s="2">
        <f ca="1"/>
        <v>0.90717552971772308</v>
      </c>
      <c r="AH3061" s="2" t="str">
        <f ca="1"/>
        <v>Bad</v>
      </c>
    </row>
    <row r="3062" spans="2:34">
      <c r="B3062" s="2">
        <f ca="1"/>
        <v>0.72989890091095999</v>
      </c>
      <c r="O3062" s="2">
        <f ca="1"/>
        <v>-0.87486291025108742</v>
      </c>
      <c r="X3062" s="2">
        <f ca="1"/>
        <v>57.581516126065878</v>
      </c>
      <c r="AG3062" s="2">
        <f ca="1"/>
        <v>0.43646828253381664</v>
      </c>
      <c r="AH3062" s="2" t="str">
        <f ca="1"/>
        <v>Bad</v>
      </c>
    </row>
    <row r="3063" spans="2:34">
      <c r="B3063" s="2">
        <f ca="1"/>
        <v>0.32946378512609686</v>
      </c>
      <c r="O3063" s="2">
        <f ca="1"/>
        <v>1.2259220598162528</v>
      </c>
      <c r="X3063" s="2">
        <f ca="1"/>
        <v>62.2411843913276</v>
      </c>
      <c r="AG3063" s="2">
        <f ca="1"/>
        <v>0.47038370898197734</v>
      </c>
      <c r="AH3063" s="2" t="str">
        <f ca="1"/>
        <v>Bad</v>
      </c>
    </row>
    <row r="3064" spans="2:34">
      <c r="B3064" s="2">
        <f ca="1"/>
        <v>5.1326809106428284E-2</v>
      </c>
      <c r="O3064" s="2">
        <f ca="1"/>
        <v>-0.63002128667871238</v>
      </c>
      <c r="X3064" s="2">
        <f ca="1"/>
        <v>72.480301990019711</v>
      </c>
      <c r="AG3064" s="2">
        <f ca="1"/>
        <v>0.34650608667099614</v>
      </c>
      <c r="AH3064" s="2" t="str">
        <f ca="1"/>
        <v>OK</v>
      </c>
    </row>
    <row r="3065" spans="2:34">
      <c r="B3065" s="2">
        <f ca="1"/>
        <v>0.22523747434860342</v>
      </c>
      <c r="O3065" s="2">
        <f ca="1"/>
        <v>0.97271277373583676</v>
      </c>
      <c r="X3065" s="2">
        <f ca="1"/>
        <v>37.496910229496507</v>
      </c>
      <c r="AG3065" s="2">
        <f ca="1"/>
        <v>0.54913754513300206</v>
      </c>
      <c r="AH3065" s="2" t="str">
        <f ca="1"/>
        <v>Bad</v>
      </c>
    </row>
    <row r="3066" spans="2:34">
      <c r="B3066" s="2">
        <f ca="1"/>
        <v>0.47095106032251555</v>
      </c>
      <c r="O3066" s="2">
        <f ca="1"/>
        <v>-0.42979626399673582</v>
      </c>
      <c r="X3066" s="2">
        <f ca="1"/>
        <v>33.31288278000131</v>
      </c>
      <c r="AG3066" s="2">
        <f ca="1"/>
        <v>9.3681354257743488E-2</v>
      </c>
      <c r="AH3066" s="2" t="str">
        <f ca="1"/>
        <v>OK</v>
      </c>
    </row>
    <row r="3067" spans="2:34">
      <c r="B3067" s="2">
        <f ca="1"/>
        <v>0.30563528861810707</v>
      </c>
      <c r="O3067" s="2">
        <f ca="1"/>
        <v>-2.3412460785628246</v>
      </c>
      <c r="X3067" s="2">
        <f ca="1"/>
        <v>34.537443422271338</v>
      </c>
      <c r="AG3067" s="2">
        <f ca="1"/>
        <v>0.26517924624056688</v>
      </c>
      <c r="AH3067" s="2" t="str">
        <f ca="1"/>
        <v>OK</v>
      </c>
    </row>
    <row r="3068" spans="2:34">
      <c r="B3068" s="2">
        <f ca="1"/>
        <v>0.7963337957341643</v>
      </c>
      <c r="O3068" s="2">
        <f ca="1"/>
        <v>-0.10188202648467956</v>
      </c>
      <c r="X3068" s="2">
        <f ca="1"/>
        <v>69.841463961278265</v>
      </c>
      <c r="AG3068" s="2">
        <f ca="1"/>
        <v>0.76055829223105631</v>
      </c>
      <c r="AH3068" s="2" t="str">
        <f ca="1"/>
        <v>Bad</v>
      </c>
    </row>
    <row r="3069" spans="2:34">
      <c r="B3069" s="2">
        <f ca="1"/>
        <v>0.6362513357060533</v>
      </c>
      <c r="O3069" s="2">
        <f ca="1"/>
        <v>1.7152432682331435</v>
      </c>
      <c r="X3069" s="2">
        <f ca="1"/>
        <v>41.323871307156466</v>
      </c>
      <c r="AG3069" s="2">
        <f ca="1"/>
        <v>0.79953680407034677</v>
      </c>
      <c r="AH3069" s="2" t="str">
        <f ca="1"/>
        <v>Bad</v>
      </c>
    </row>
    <row r="3070" spans="2:34">
      <c r="B3070" s="2">
        <f ca="1"/>
        <v>0.47600255348741949</v>
      </c>
      <c r="O3070" s="2">
        <f ca="1"/>
        <v>-0.54866139860222607</v>
      </c>
      <c r="X3070" s="2">
        <f ca="1"/>
        <v>67.050284374034689</v>
      </c>
      <c r="AG3070" s="2">
        <f ca="1"/>
        <v>0.94922826654253489</v>
      </c>
      <c r="AH3070" s="2" t="str">
        <f ca="1"/>
        <v>Bad</v>
      </c>
    </row>
    <row r="3071" spans="2:34">
      <c r="B3071" s="2">
        <f ca="1"/>
        <v>0.46364202311158431</v>
      </c>
      <c r="O3071" s="2">
        <f ca="1"/>
        <v>-1.0107167792721361</v>
      </c>
      <c r="X3071" s="2">
        <f ca="1"/>
        <v>48.546493790382314</v>
      </c>
      <c r="AG3071" s="2">
        <f ca="1"/>
        <v>0.21758669433873057</v>
      </c>
      <c r="AH3071" s="2" t="str">
        <f ca="1"/>
        <v>OK</v>
      </c>
    </row>
    <row r="3072" spans="2:34">
      <c r="B3072" s="2">
        <f ca="1"/>
        <v>0.43739404617904332</v>
      </c>
      <c r="O3072" s="2">
        <f ca="1"/>
        <v>0.57209162656056245</v>
      </c>
      <c r="X3072" s="2">
        <f ca="1"/>
        <v>22.627638209480374</v>
      </c>
      <c r="AG3072" s="2">
        <f ca="1"/>
        <v>0.72964421308135607</v>
      </c>
      <c r="AH3072" s="2" t="str">
        <f ca="1"/>
        <v>Bad</v>
      </c>
    </row>
    <row r="3073" spans="2:34">
      <c r="B3073" s="2">
        <f ca="1"/>
        <v>0.50861348202151779</v>
      </c>
      <c r="O3073" s="2">
        <f ca="1"/>
        <v>-7.9526493036748441E-2</v>
      </c>
      <c r="X3073" s="2">
        <f ca="1"/>
        <v>51.457369069729168</v>
      </c>
      <c r="AG3073" s="2">
        <f ca="1"/>
        <v>0.71538384678466005</v>
      </c>
      <c r="AH3073" s="2" t="str">
        <f ca="1"/>
        <v>Bad</v>
      </c>
    </row>
    <row r="3074" spans="2:34">
      <c r="B3074" s="2">
        <f ca="1"/>
        <v>0.28965139409412211</v>
      </c>
      <c r="O3074" s="2">
        <f ca="1"/>
        <v>-0.57413306155032628</v>
      </c>
      <c r="X3074" s="2">
        <f ca="1"/>
        <v>30.852170577833302</v>
      </c>
      <c r="AG3074" s="2">
        <f ca="1"/>
        <v>0.56879967811320142</v>
      </c>
      <c r="AH3074" s="2" t="str">
        <f ca="1"/>
        <v>Bad</v>
      </c>
    </row>
    <row r="3075" spans="2:34">
      <c r="B3075" s="2">
        <f ca="1"/>
        <v>0.66148793296332409</v>
      </c>
      <c r="O3075" s="2">
        <f ca="1"/>
        <v>0.30047878751403229</v>
      </c>
      <c r="X3075" s="2">
        <f ca="1"/>
        <v>35.35027679272342</v>
      </c>
      <c r="AG3075" s="2">
        <f ca="1"/>
        <v>0.46889255754543413</v>
      </c>
      <c r="AH3075" s="2" t="str">
        <f ca="1"/>
        <v>Bad</v>
      </c>
    </row>
    <row r="3076" spans="2:34">
      <c r="B3076" s="2">
        <f ca="1"/>
        <v>0.79335336782137378</v>
      </c>
      <c r="O3076" s="2">
        <f ca="1"/>
        <v>-0.58714088598336256</v>
      </c>
      <c r="X3076" s="2">
        <f ca="1"/>
        <v>64.071218940447793</v>
      </c>
      <c r="AG3076" s="2">
        <f ca="1"/>
        <v>0.86311587099499598</v>
      </c>
      <c r="AH3076" s="2" t="str">
        <f ca="1"/>
        <v>Bad</v>
      </c>
    </row>
    <row r="3077" spans="2:34">
      <c r="B3077" s="2">
        <f ca="1"/>
        <v>0.22779186825925013</v>
      </c>
      <c r="O3077" s="2">
        <f ca="1"/>
        <v>-1.5828872981124091</v>
      </c>
      <c r="X3077" s="2">
        <f ca="1"/>
        <v>48.730531915421729</v>
      </c>
      <c r="AG3077" s="2">
        <f ca="1"/>
        <v>0.95486689520063606</v>
      </c>
      <c r="AH3077" s="2" t="str">
        <f ca="1"/>
        <v>Bad</v>
      </c>
    </row>
    <row r="3078" spans="2:34">
      <c r="B3078" s="2">
        <f ca="1"/>
        <v>0.47487893153953831</v>
      </c>
      <c r="O3078" s="2">
        <f ca="1"/>
        <v>0.25402210624451804</v>
      </c>
      <c r="X3078" s="2">
        <f ca="1"/>
        <v>37.89048134985363</v>
      </c>
      <c r="AG3078" s="2">
        <f ca="1"/>
        <v>0.73108234518293158</v>
      </c>
      <c r="AH3078" s="2" t="str">
        <f ca="1"/>
        <v>Bad</v>
      </c>
    </row>
    <row r="3079" spans="2:34">
      <c r="B3079" s="2">
        <f ca="1"/>
        <v>0.35540613892470718</v>
      </c>
      <c r="O3079" s="2">
        <f ca="1"/>
        <v>0.39051573634652792</v>
      </c>
      <c r="X3079" s="2">
        <f ca="1"/>
        <v>35.018373171617753</v>
      </c>
      <c r="AG3079" s="2">
        <f ca="1"/>
        <v>0.78866861108083985</v>
      </c>
      <c r="AH3079" s="2" t="str">
        <f ca="1"/>
        <v>Bad</v>
      </c>
    </row>
    <row r="3080" spans="2:34">
      <c r="B3080" s="2">
        <f ca="1"/>
        <v>0.23725617531511412</v>
      </c>
      <c r="O3080" s="2">
        <f ca="1"/>
        <v>1.1433127826047478</v>
      </c>
      <c r="X3080" s="2">
        <f ca="1"/>
        <v>71.561195211592434</v>
      </c>
      <c r="AG3080" s="2">
        <f ca="1"/>
        <v>9.5567685611417375E-3</v>
      </c>
      <c r="AH3080" s="2" t="str">
        <f ca="1"/>
        <v>Good</v>
      </c>
    </row>
    <row r="3081" spans="2:34">
      <c r="B3081" s="2">
        <f ca="1"/>
        <v>0.1619012014883765</v>
      </c>
      <c r="O3081" s="2">
        <f ca="1"/>
        <v>-0.4228683368332406</v>
      </c>
      <c r="X3081" s="2">
        <f ca="1"/>
        <v>40.938521417321567</v>
      </c>
      <c r="AG3081" s="2">
        <f ca="1"/>
        <v>3.6898787565908364E-2</v>
      </c>
      <c r="AH3081" s="2" t="str">
        <f ca="1"/>
        <v>Good</v>
      </c>
    </row>
    <row r="3082" spans="2:34">
      <c r="B3082" s="2">
        <f ca="1"/>
        <v>0.23597770326074707</v>
      </c>
      <c r="O3082" s="2">
        <f ca="1"/>
        <v>0.6565411146528366</v>
      </c>
      <c r="X3082" s="2">
        <f ca="1"/>
        <v>71.697092188777376</v>
      </c>
      <c r="AG3082" s="2">
        <f ca="1"/>
        <v>2.7618999848188608E-2</v>
      </c>
      <c r="AH3082" s="2" t="str">
        <f ca="1"/>
        <v>Good</v>
      </c>
    </row>
    <row r="3083" spans="2:34">
      <c r="B3083" s="2">
        <f ca="1"/>
        <v>0.82817127683996872</v>
      </c>
      <c r="O3083" s="2">
        <f ca="1"/>
        <v>0.91010981630407561</v>
      </c>
      <c r="X3083" s="2">
        <f ca="1"/>
        <v>38.577193772434327</v>
      </c>
      <c r="AG3083" s="2">
        <f ca="1"/>
        <v>0.55121855546184806</v>
      </c>
      <c r="AH3083" s="2" t="str">
        <f ca="1"/>
        <v>Bad</v>
      </c>
    </row>
    <row r="3084" spans="2:34">
      <c r="B3084" s="2">
        <f ca="1"/>
        <v>0.53620300547315991</v>
      </c>
      <c r="O3084" s="2">
        <f ca="1"/>
        <v>-0.16919389160623044</v>
      </c>
      <c r="X3084" s="2">
        <f ca="1"/>
        <v>41.808169688492825</v>
      </c>
      <c r="AG3084" s="2">
        <f ca="1"/>
        <v>0.89604471675852704</v>
      </c>
      <c r="AH3084" s="2" t="str">
        <f ca="1"/>
        <v>Bad</v>
      </c>
    </row>
    <row r="3085" spans="2:34">
      <c r="B3085" s="2">
        <f ca="1"/>
        <v>0.80802347126509266</v>
      </c>
      <c r="O3085" s="2">
        <f ca="1"/>
        <v>0.17663422245746302</v>
      </c>
      <c r="X3085" s="2">
        <f ca="1"/>
        <v>71.105448184900425</v>
      </c>
      <c r="AG3085" s="2">
        <f ca="1"/>
        <v>3.5294635748400971E-2</v>
      </c>
      <c r="AH3085" s="2" t="str">
        <f ca="1"/>
        <v>Good</v>
      </c>
    </row>
    <row r="3086" spans="2:34">
      <c r="B3086" s="2">
        <f ca="1"/>
        <v>0.29619815005722483</v>
      </c>
      <c r="O3086" s="2">
        <f ca="1"/>
        <v>-1.3478332909832746</v>
      </c>
      <c r="X3086" s="2">
        <f ca="1"/>
        <v>29.01480085988581</v>
      </c>
      <c r="AG3086" s="2">
        <f ca="1"/>
        <v>0.85477908657914869</v>
      </c>
      <c r="AH3086" s="2" t="str">
        <f ca="1"/>
        <v>Bad</v>
      </c>
    </row>
    <row r="3087" spans="2:34">
      <c r="B3087" s="2">
        <f ca="1"/>
        <v>0.38750944694611134</v>
      </c>
      <c r="O3087" s="2">
        <f ca="1"/>
        <v>1.4578782462193047</v>
      </c>
      <c r="X3087" s="2">
        <f ca="1"/>
        <v>28.146016799061101</v>
      </c>
      <c r="AG3087" s="2">
        <f ca="1"/>
        <v>0.11581640898019518</v>
      </c>
      <c r="AH3087" s="2" t="str">
        <f ca="1"/>
        <v>OK</v>
      </c>
    </row>
    <row r="3088" spans="2:34">
      <c r="B3088" s="2">
        <f ca="1"/>
        <v>0.30448253715158402</v>
      </c>
      <c r="O3088" s="2">
        <f ca="1"/>
        <v>0.24694591209565769</v>
      </c>
      <c r="X3088" s="2">
        <f ca="1"/>
        <v>64.107037340448386</v>
      </c>
      <c r="AG3088" s="2">
        <f ca="1"/>
        <v>0.34084499762300657</v>
      </c>
      <c r="AH3088" s="2" t="str">
        <f ca="1"/>
        <v>OK</v>
      </c>
    </row>
    <row r="3089" spans="2:34">
      <c r="B3089" s="2">
        <f ca="1"/>
        <v>0.10903218001919157</v>
      </c>
      <c r="O3089" s="2">
        <f ca="1"/>
        <v>5.5156089829440438E-2</v>
      </c>
      <c r="X3089" s="2">
        <f ca="1"/>
        <v>46.34379343468423</v>
      </c>
      <c r="AG3089" s="2">
        <f ca="1"/>
        <v>0.47672549185484603</v>
      </c>
      <c r="AH3089" s="2" t="str">
        <f ca="1"/>
        <v>Bad</v>
      </c>
    </row>
    <row r="3090" spans="2:34">
      <c r="B3090" s="2">
        <f ca="1"/>
        <v>0.72554569238339894</v>
      </c>
      <c r="O3090" s="2">
        <f ca="1"/>
        <v>1.4045849317401096</v>
      </c>
      <c r="X3090" s="2">
        <f ca="1"/>
        <v>66.82865868124388</v>
      </c>
      <c r="AG3090" s="2">
        <f ca="1"/>
        <v>0.14477939629866277</v>
      </c>
      <c r="AH3090" s="2" t="str">
        <f ca="1"/>
        <v>OK</v>
      </c>
    </row>
    <row r="3091" spans="2:34">
      <c r="B3091" s="2">
        <f ca="1"/>
        <v>0.83766240668891889</v>
      </c>
      <c r="O3091" s="2">
        <f ca="1"/>
        <v>-0.66719469356233896</v>
      </c>
      <c r="X3091" s="2">
        <f ca="1"/>
        <v>17.679155035664344</v>
      </c>
      <c r="AG3091" s="2">
        <f ca="1"/>
        <v>0.81334028027793392</v>
      </c>
      <c r="AH3091" s="2" t="str">
        <f ca="1"/>
        <v>Bad</v>
      </c>
    </row>
    <row r="3092" spans="2:34">
      <c r="B3092" s="2">
        <f ca="1"/>
        <v>0.23115561295913611</v>
      </c>
      <c r="O3092" s="2">
        <f ca="1"/>
        <v>0.20297288236578578</v>
      </c>
      <c r="X3092" s="2">
        <f ca="1"/>
        <v>40.789997460315071</v>
      </c>
      <c r="AG3092" s="2">
        <f ca="1"/>
        <v>0.66118543706686395</v>
      </c>
      <c r="AH3092" s="2" t="str">
        <f ca="1"/>
        <v>Bad</v>
      </c>
    </row>
    <row r="3093" spans="2:34">
      <c r="B3093" s="2">
        <f ca="1"/>
        <v>0.79139392958283383</v>
      </c>
      <c r="O3093" s="2">
        <f ca="1"/>
        <v>-2.2341639525268224</v>
      </c>
      <c r="X3093" s="2">
        <f ca="1"/>
        <v>14.690410742607531</v>
      </c>
      <c r="AG3093" s="2">
        <f ca="1"/>
        <v>0.53817735729737115</v>
      </c>
      <c r="AH3093" s="2" t="str">
        <f ca="1"/>
        <v>Bad</v>
      </c>
    </row>
    <row r="3094" spans="2:34">
      <c r="B3094" s="2">
        <f ca="1"/>
        <v>0.37499387593961497</v>
      </c>
      <c r="O3094" s="2">
        <f ca="1"/>
        <v>1.4848846853592321</v>
      </c>
      <c r="X3094" s="2">
        <f ca="1"/>
        <v>42.83228588099707</v>
      </c>
      <c r="AG3094" s="2">
        <f ca="1"/>
        <v>3.1272969857813138E-2</v>
      </c>
      <c r="AH3094" s="2" t="str">
        <f ca="1"/>
        <v>Good</v>
      </c>
    </row>
    <row r="3095" spans="2:34">
      <c r="B3095" s="2">
        <f ca="1"/>
        <v>0.55362222276768369</v>
      </c>
      <c r="O3095" s="2">
        <f ca="1"/>
        <v>0.83707730250282308</v>
      </c>
      <c r="X3095" s="2">
        <f ca="1"/>
        <v>33.572446245120801</v>
      </c>
      <c r="AG3095" s="2">
        <f ca="1"/>
        <v>8.7736298262563128E-2</v>
      </c>
      <c r="AH3095" s="2" t="str">
        <f ca="1"/>
        <v>OK</v>
      </c>
    </row>
    <row r="3096" spans="2:34">
      <c r="B3096" s="2">
        <f ca="1"/>
        <v>0.77627647461640925</v>
      </c>
      <c r="O3096" s="2">
        <f ca="1"/>
        <v>9.0627356596824967E-3</v>
      </c>
      <c r="X3096" s="2">
        <f ca="1"/>
        <v>24.210781531066694</v>
      </c>
      <c r="AG3096" s="2">
        <f ca="1"/>
        <v>0.42613258053870062</v>
      </c>
      <c r="AH3096" s="2" t="str">
        <f ca="1"/>
        <v>Bad</v>
      </c>
    </row>
    <row r="3097" spans="2:34">
      <c r="B3097" s="2">
        <f ca="1"/>
        <v>0.91172812461775954</v>
      </c>
      <c r="O3097" s="2">
        <f ca="1"/>
        <v>-1.493268632393645</v>
      </c>
      <c r="X3097" s="2">
        <f ca="1"/>
        <v>56.231472196246379</v>
      </c>
      <c r="AG3097" s="2">
        <f ca="1"/>
        <v>0.89986408470308188</v>
      </c>
      <c r="AH3097" s="2" t="str">
        <f ca="1"/>
        <v>Bad</v>
      </c>
    </row>
    <row r="3098" spans="2:34">
      <c r="B3098" s="2">
        <f ca="1"/>
        <v>0.63343182801385622</v>
      </c>
      <c r="O3098" s="2">
        <f ca="1"/>
        <v>1.2540314343770265</v>
      </c>
      <c r="X3098" s="2">
        <f ca="1"/>
        <v>46.690454431472368</v>
      </c>
      <c r="AG3098" s="2">
        <f ca="1"/>
        <v>0.99261955755149001</v>
      </c>
      <c r="AH3098" s="2" t="str">
        <f ca="1"/>
        <v>Bad</v>
      </c>
    </row>
    <row r="3099" spans="2:34">
      <c r="B3099" s="2">
        <f ca="1"/>
        <v>0.70863066357445437</v>
      </c>
      <c r="O3099" s="2">
        <f ca="1"/>
        <v>0.53657276187427549</v>
      </c>
      <c r="X3099" s="2">
        <f ca="1"/>
        <v>40.239714325823705</v>
      </c>
      <c r="AG3099" s="2">
        <f ca="1"/>
        <v>0.3826187351666015</v>
      </c>
      <c r="AH3099" s="2" t="str">
        <f ca="1"/>
        <v>OK</v>
      </c>
    </row>
    <row r="3100" spans="2:34">
      <c r="B3100" s="2">
        <f ca="1"/>
        <v>0.87514133989090181</v>
      </c>
      <c r="O3100" s="2">
        <f ca="1"/>
        <v>9.1207344609503971E-2</v>
      </c>
      <c r="X3100" s="2">
        <f ca="1"/>
        <v>37.350916681135153</v>
      </c>
      <c r="AG3100" s="2">
        <f ca="1"/>
        <v>0.46774286717586677</v>
      </c>
      <c r="AH3100" s="2" t="str">
        <f ca="1"/>
        <v>Bad</v>
      </c>
    </row>
    <row r="3101" spans="2:34">
      <c r="B3101" s="2">
        <f ca="1"/>
        <v>0.85019475847013481</v>
      </c>
      <c r="O3101" s="2">
        <f ca="1"/>
        <v>-0.24078954724285653</v>
      </c>
      <c r="X3101" s="2">
        <f ca="1"/>
        <v>49.512862494924299</v>
      </c>
      <c r="AG3101" s="2">
        <f ca="1"/>
        <v>0.3250527013796296</v>
      </c>
      <c r="AH3101" s="2" t="str">
        <f ca="1"/>
        <v>OK</v>
      </c>
    </row>
    <row r="3102" spans="2:34">
      <c r="B3102" s="2">
        <f ca="1"/>
        <v>0.11108025416335288</v>
      </c>
      <c r="O3102" s="2">
        <f ca="1"/>
        <v>-0.92469429030685824</v>
      </c>
      <c r="X3102" s="2">
        <f ca="1"/>
        <v>44.997349840749862</v>
      </c>
      <c r="AG3102" s="2">
        <f ca="1"/>
        <v>0.70620815144787197</v>
      </c>
      <c r="AH3102" s="2" t="str">
        <f ca="1"/>
        <v>Bad</v>
      </c>
    </row>
    <row r="3103" spans="2:34">
      <c r="B3103" s="2">
        <f ca="1"/>
        <v>0.71157769010452854</v>
      </c>
      <c r="O3103" s="2">
        <f ca="1"/>
        <v>-1.1743945044218103</v>
      </c>
      <c r="X3103" s="2">
        <f ca="1"/>
        <v>133.02925090564767</v>
      </c>
      <c r="AG3103" s="2">
        <f ca="1"/>
        <v>0.49428098496209372</v>
      </c>
      <c r="AH3103" s="2" t="str">
        <f ca="1"/>
        <v>Bad</v>
      </c>
    </row>
    <row r="3104" spans="2:34">
      <c r="B3104" s="2">
        <f ca="1"/>
        <v>0.21516692180579122</v>
      </c>
      <c r="O3104" s="2">
        <f ca="1"/>
        <v>0.51922702971961665</v>
      </c>
      <c r="X3104" s="2">
        <f ca="1"/>
        <v>50.484680363896459</v>
      </c>
      <c r="AG3104" s="2">
        <f ca="1"/>
        <v>0.8173306191380163</v>
      </c>
      <c r="AH3104" s="2" t="str">
        <f ca="1"/>
        <v>Bad</v>
      </c>
    </row>
    <row r="3105" spans="2:34">
      <c r="B3105" s="2">
        <f ca="1"/>
        <v>6.5769564514154721E-2</v>
      </c>
      <c r="O3105" s="2">
        <f ca="1"/>
        <v>1.176756360214062</v>
      </c>
      <c r="X3105" s="2">
        <f ca="1"/>
        <v>67.770389678556782</v>
      </c>
      <c r="AG3105" s="2">
        <f ca="1"/>
        <v>0.55024503965196758</v>
      </c>
      <c r="AH3105" s="2" t="str">
        <f ca="1"/>
        <v>Bad</v>
      </c>
    </row>
    <row r="3106" spans="2:34">
      <c r="B3106" s="2">
        <f ca="1"/>
        <v>0.86748463334061188</v>
      </c>
      <c r="O3106" s="2">
        <f ca="1"/>
        <v>1.100639680127292</v>
      </c>
      <c r="X3106" s="2">
        <f ca="1"/>
        <v>77.042621399432306</v>
      </c>
      <c r="AG3106" s="2">
        <f ca="1"/>
        <v>9.7185668159869287E-2</v>
      </c>
      <c r="AH3106" s="2" t="str">
        <f ca="1"/>
        <v>OK</v>
      </c>
    </row>
    <row r="3107" spans="2:34">
      <c r="B3107" s="2">
        <f ca="1"/>
        <v>0.12605142728940977</v>
      </c>
      <c r="O3107" s="2">
        <f ca="1"/>
        <v>-1.3940391803133123</v>
      </c>
      <c r="X3107" s="2">
        <f ca="1"/>
        <v>58.120386259047109</v>
      </c>
      <c r="AG3107" s="2">
        <f ca="1"/>
        <v>0.52524409446232356</v>
      </c>
      <c r="AH3107" s="2" t="str">
        <f ca="1"/>
        <v>Bad</v>
      </c>
    </row>
    <row r="3108" spans="2:34">
      <c r="B3108" s="2">
        <f ca="1"/>
        <v>0.97260211979391609</v>
      </c>
      <c r="O3108" s="2">
        <f ca="1"/>
        <v>-0.26403819911872956</v>
      </c>
      <c r="X3108" s="2">
        <f ca="1"/>
        <v>65.466064098444377</v>
      </c>
      <c r="AG3108" s="2">
        <f ca="1"/>
        <v>0.53981924525808367</v>
      </c>
      <c r="AH3108" s="2" t="str">
        <f ca="1"/>
        <v>Bad</v>
      </c>
    </row>
    <row r="3109" spans="2:34">
      <c r="B3109" s="2">
        <f ca="1"/>
        <v>1.4072996877810162E-2</v>
      </c>
      <c r="O3109" s="2">
        <f ca="1"/>
        <v>-0.43260897362831524</v>
      </c>
      <c r="X3109" s="2">
        <f ca="1"/>
        <v>51.075024711921927</v>
      </c>
      <c r="AG3109" s="2">
        <f ca="1"/>
        <v>0.64234142899350632</v>
      </c>
      <c r="AH3109" s="2" t="str">
        <f ca="1"/>
        <v>Bad</v>
      </c>
    </row>
    <row r="3110" spans="2:34">
      <c r="B3110" s="2">
        <f ca="1"/>
        <v>0.59867765579727172</v>
      </c>
      <c r="O3110" s="2">
        <f ca="1"/>
        <v>0.94398192842650264</v>
      </c>
      <c r="X3110" s="2">
        <f ca="1"/>
        <v>64.331164983992366</v>
      </c>
      <c r="AG3110" s="2">
        <f ca="1"/>
        <v>0.59624261816089064</v>
      </c>
      <c r="AH3110" s="2" t="str">
        <f ca="1"/>
        <v>Bad</v>
      </c>
    </row>
    <row r="3111" spans="2:34">
      <c r="B3111" s="2">
        <f ca="1"/>
        <v>0.72280931068689358</v>
      </c>
      <c r="O3111" s="2">
        <f ca="1"/>
        <v>-3.4921161739108926E-2</v>
      </c>
      <c r="X3111" s="2">
        <f ca="1"/>
        <v>81.514442813449421</v>
      </c>
      <c r="AG3111" s="2">
        <f ca="1"/>
        <v>0.71585316749348205</v>
      </c>
      <c r="AH3111" s="2" t="str">
        <f ca="1"/>
        <v>Bad</v>
      </c>
    </row>
    <row r="3112" spans="2:34">
      <c r="B3112" s="2">
        <f ca="1"/>
        <v>0.70576080511503614</v>
      </c>
      <c r="O3112" s="2">
        <f ca="1"/>
        <v>0.54682651650841185</v>
      </c>
      <c r="X3112" s="2">
        <f ca="1"/>
        <v>49.223955422263501</v>
      </c>
      <c r="AG3112" s="2">
        <f ca="1"/>
        <v>0.97509291184905433</v>
      </c>
      <c r="AH3112" s="2" t="str">
        <f ca="1"/>
        <v>Bad</v>
      </c>
    </row>
    <row r="3113" spans="2:34">
      <c r="B3113" s="2">
        <f ca="1"/>
        <v>0.69471395477320841</v>
      </c>
      <c r="O3113" s="2">
        <f ca="1"/>
        <v>-1.2556248046661056E-2</v>
      </c>
      <c r="X3113" s="2">
        <f ca="1"/>
        <v>57.692182207325622</v>
      </c>
      <c r="AG3113" s="2">
        <f ca="1"/>
        <v>0.27002012064601311</v>
      </c>
      <c r="AH3113" s="2" t="str">
        <f ca="1"/>
        <v>OK</v>
      </c>
    </row>
    <row r="3114" spans="2:34">
      <c r="B3114" s="2">
        <f ca="1"/>
        <v>0.68266541632519084</v>
      </c>
      <c r="O3114" s="2">
        <f ca="1"/>
        <v>-0.15604684149705284</v>
      </c>
      <c r="X3114" s="2">
        <f ca="1"/>
        <v>55.855178805061819</v>
      </c>
      <c r="AG3114" s="2">
        <f ca="1"/>
        <v>0.83859380371060133</v>
      </c>
      <c r="AH3114" s="2" t="str">
        <f ca="1"/>
        <v>Bad</v>
      </c>
    </row>
    <row r="3115" spans="2:34">
      <c r="B3115" s="2">
        <f ca="1"/>
        <v>0.59029390936717996</v>
      </c>
      <c r="O3115" s="2">
        <f ca="1"/>
        <v>-1.3914206461396588</v>
      </c>
      <c r="X3115" s="2">
        <f ca="1"/>
        <v>40.078547345717404</v>
      </c>
      <c r="AG3115" s="2">
        <f ca="1"/>
        <v>0.443296348102173</v>
      </c>
      <c r="AH3115" s="2" t="str">
        <f ca="1"/>
        <v>Bad</v>
      </c>
    </row>
    <row r="3116" spans="2:34">
      <c r="B3116" s="2">
        <f ca="1"/>
        <v>0.44691380707693229</v>
      </c>
      <c r="O3116" s="2">
        <f ca="1"/>
        <v>-0.14734724009660435</v>
      </c>
      <c r="X3116" s="2">
        <f ca="1"/>
        <v>35.612654921170929</v>
      </c>
      <c r="AG3116" s="2">
        <f ca="1"/>
        <v>0.35276520634385067</v>
      </c>
      <c r="AH3116" s="2" t="str">
        <f ca="1"/>
        <v>OK</v>
      </c>
    </row>
    <row r="3117" spans="2:34">
      <c r="B3117" s="2">
        <f ca="1"/>
        <v>0.23558519130719047</v>
      </c>
      <c r="O3117" s="2">
        <f ca="1"/>
        <v>0.16043626954643367</v>
      </c>
      <c r="X3117" s="2">
        <f ca="1"/>
        <v>61.034860748127322</v>
      </c>
      <c r="AG3117" s="2">
        <f ca="1"/>
        <v>0.95969813562745765</v>
      </c>
      <c r="AH3117" s="2" t="str">
        <f ca="1"/>
        <v>Bad</v>
      </c>
    </row>
    <row r="3118" spans="2:34">
      <c r="B3118" s="2">
        <f ca="1"/>
        <v>0.19109400576309743</v>
      </c>
      <c r="O3118" s="2">
        <f ca="1"/>
        <v>-1.5019283001436601</v>
      </c>
      <c r="X3118" s="2">
        <f ca="1"/>
        <v>50.169917698920415</v>
      </c>
      <c r="AG3118" s="2">
        <f ca="1"/>
        <v>0.25353353023756475</v>
      </c>
      <c r="AH3118" s="2" t="str">
        <f ca="1"/>
        <v>OK</v>
      </c>
    </row>
    <row r="3119" spans="2:34">
      <c r="B3119" s="2">
        <f ca="1"/>
        <v>0.45571083932918621</v>
      </c>
      <c r="O3119" s="2">
        <f ca="1"/>
        <v>1.3504957264866633</v>
      </c>
      <c r="X3119" s="2">
        <f ca="1"/>
        <v>51.550076461964771</v>
      </c>
      <c r="AG3119" s="2">
        <f ca="1"/>
        <v>7.0861551824021429E-2</v>
      </c>
      <c r="AH3119" s="2" t="str">
        <f ca="1"/>
        <v>OK</v>
      </c>
    </row>
    <row r="3120" spans="2:34">
      <c r="B3120" s="2">
        <f ca="1"/>
        <v>0.4311599243484272</v>
      </c>
      <c r="O3120" s="2">
        <f ca="1"/>
        <v>0.54612057513640067</v>
      </c>
      <c r="X3120" s="2">
        <f ca="1"/>
        <v>59.890142726966204</v>
      </c>
      <c r="AG3120" s="2">
        <f ca="1"/>
        <v>0.14258637406406849</v>
      </c>
      <c r="AH3120" s="2" t="str">
        <f ca="1"/>
        <v>OK</v>
      </c>
    </row>
    <row r="3121" spans="2:34">
      <c r="B3121" s="2">
        <f ca="1"/>
        <v>0.41428990127641052</v>
      </c>
      <c r="O3121" s="2">
        <f ca="1"/>
        <v>0.87248387514515546</v>
      </c>
      <c r="X3121" s="2">
        <f ca="1"/>
        <v>46.221529752577524</v>
      </c>
      <c r="AG3121" s="2">
        <f ca="1"/>
        <v>0.25042010304615125</v>
      </c>
      <c r="AH3121" s="2" t="str">
        <f ca="1"/>
        <v>OK</v>
      </c>
    </row>
    <row r="3122" spans="2:34">
      <c r="B3122" s="2">
        <f ca="1"/>
        <v>1.81413438291953E-2</v>
      </c>
      <c r="O3122" s="2">
        <f ca="1"/>
        <v>-2.5847641196748181E-2</v>
      </c>
      <c r="X3122" s="2">
        <f ca="1"/>
        <v>85.359645821265445</v>
      </c>
      <c r="AG3122" s="2">
        <f ca="1"/>
        <v>0.37565052447953384</v>
      </c>
      <c r="AH3122" s="2" t="str">
        <f ca="1"/>
        <v>OK</v>
      </c>
    </row>
    <row r="3123" spans="2:34">
      <c r="B3123" s="2">
        <f ca="1"/>
        <v>0.80290282007404357</v>
      </c>
      <c r="O3123" s="2">
        <f ca="1"/>
        <v>0.81753338862538449</v>
      </c>
      <c r="X3123" s="2">
        <f ca="1"/>
        <v>33.789576748060654</v>
      </c>
      <c r="AG3123" s="2">
        <f ca="1"/>
        <v>0.22801090195722074</v>
      </c>
      <c r="AH3123" s="2" t="str">
        <f ca="1"/>
        <v>OK</v>
      </c>
    </row>
    <row r="3124" spans="2:34">
      <c r="B3124" s="2">
        <f ca="1"/>
        <v>0.11951066652515197</v>
      </c>
      <c r="O3124" s="2">
        <f ca="1"/>
        <v>0.8280649659680096</v>
      </c>
      <c r="X3124" s="2">
        <f ca="1"/>
        <v>104.68220158423483</v>
      </c>
      <c r="AG3124" s="2">
        <f ca="1"/>
        <v>4.240553897658228E-2</v>
      </c>
      <c r="AH3124" s="2" t="str">
        <f ca="1"/>
        <v>Good</v>
      </c>
    </row>
    <row r="3125" spans="2:34">
      <c r="B3125" s="2">
        <f ca="1"/>
        <v>0.27463300356421594</v>
      </c>
      <c r="O3125" s="2">
        <f ca="1"/>
        <v>0.15594909893545322</v>
      </c>
      <c r="X3125" s="2">
        <f ca="1"/>
        <v>87.661913451170363</v>
      </c>
      <c r="AG3125" s="2">
        <f ca="1"/>
        <v>0.36232352245825505</v>
      </c>
      <c r="AH3125" s="2" t="str">
        <f ca="1"/>
        <v>OK</v>
      </c>
    </row>
    <row r="3126" spans="2:34">
      <c r="B3126" s="2">
        <f ca="1"/>
        <v>0.44292844613631122</v>
      </c>
      <c r="O3126" s="2">
        <f ca="1"/>
        <v>-0.29676198550839622</v>
      </c>
      <c r="X3126" s="2">
        <f ca="1"/>
        <v>38.771877726771812</v>
      </c>
      <c r="AG3126" s="2">
        <f ca="1"/>
        <v>0.41098606772941459</v>
      </c>
      <c r="AH3126" s="2" t="str">
        <f ca="1"/>
        <v>Bad</v>
      </c>
    </row>
    <row r="3127" spans="2:34">
      <c r="B3127" s="2">
        <f ca="1"/>
        <v>0.74360627409406677</v>
      </c>
      <c r="O3127" s="2">
        <f ca="1"/>
        <v>0.97596018258108808</v>
      </c>
      <c r="X3127" s="2">
        <f ca="1"/>
        <v>54.836678967376251</v>
      </c>
      <c r="AG3127" s="2">
        <f ca="1"/>
        <v>0.8251951465091889</v>
      </c>
      <c r="AH3127" s="2" t="str">
        <f ca="1"/>
        <v>Bad</v>
      </c>
    </row>
    <row r="3128" spans="2:34">
      <c r="B3128" s="2">
        <f ca="1"/>
        <v>0.41985250745448099</v>
      </c>
      <c r="O3128" s="2">
        <f ca="1"/>
        <v>0.20426600032116335</v>
      </c>
      <c r="X3128" s="2">
        <f ca="1"/>
        <v>47.97502430948154</v>
      </c>
      <c r="AG3128" s="2">
        <f ca="1"/>
        <v>0.29023169443389518</v>
      </c>
      <c r="AH3128" s="2" t="str">
        <f ca="1"/>
        <v>OK</v>
      </c>
    </row>
    <row r="3129" spans="2:34">
      <c r="B3129" s="2">
        <f ca="1"/>
        <v>0.2217727698273122</v>
      </c>
      <c r="O3129" s="2">
        <f ca="1"/>
        <v>0.80399448300277887</v>
      </c>
      <c r="X3129" s="2">
        <f ca="1"/>
        <v>52.464143949422734</v>
      </c>
      <c r="AG3129" s="2">
        <f ca="1"/>
        <v>0.2933676118800117</v>
      </c>
      <c r="AH3129" s="2" t="str">
        <f ca="1"/>
        <v>OK</v>
      </c>
    </row>
    <row r="3130" spans="2:34">
      <c r="B3130" s="2">
        <f ca="1"/>
        <v>0.42130545729971924</v>
      </c>
      <c r="O3130" s="2">
        <f ca="1"/>
        <v>1.7483890382973586</v>
      </c>
      <c r="X3130" s="2">
        <f ca="1"/>
        <v>56.86134677096733</v>
      </c>
      <c r="AG3130" s="2">
        <f ca="1"/>
        <v>4.5145963251271626E-2</v>
      </c>
      <c r="AH3130" s="2" t="str">
        <f ca="1"/>
        <v>Good</v>
      </c>
    </row>
    <row r="3131" spans="2:34">
      <c r="B3131" s="2">
        <f ca="1"/>
        <v>0.58466449225414419</v>
      </c>
      <c r="O3131" s="2">
        <f ca="1"/>
        <v>0.66481227734134529</v>
      </c>
      <c r="X3131" s="2">
        <f ca="1"/>
        <v>32.572369056831548</v>
      </c>
      <c r="AG3131" s="2">
        <f ca="1"/>
        <v>0.94631296361969053</v>
      </c>
      <c r="AH3131" s="2" t="str">
        <f ca="1"/>
        <v>Bad</v>
      </c>
    </row>
    <row r="3132" spans="2:34">
      <c r="B3132" s="2">
        <f ca="1"/>
        <v>0.79327903649433607</v>
      </c>
      <c r="O3132" s="2">
        <f ca="1"/>
        <v>-6.2579264658167211E-2</v>
      </c>
      <c r="X3132" s="2">
        <f ca="1"/>
        <v>75.410505329740005</v>
      </c>
      <c r="AG3132" s="2">
        <f ca="1"/>
        <v>0.87108405266210864</v>
      </c>
      <c r="AH3132" s="2" t="str">
        <f ca="1"/>
        <v>Bad</v>
      </c>
    </row>
    <row r="3133" spans="2:34">
      <c r="B3133" s="2">
        <f ca="1"/>
        <v>0.82108702388146493</v>
      </c>
      <c r="O3133" s="2">
        <f ca="1"/>
        <v>-0.5961380972358955</v>
      </c>
      <c r="X3133" s="2">
        <f ca="1"/>
        <v>31.268939888972078</v>
      </c>
      <c r="AG3133" s="2">
        <f ca="1"/>
        <v>0.54650227667997608</v>
      </c>
      <c r="AH3133" s="2" t="str">
        <f ca="1"/>
        <v>Bad</v>
      </c>
    </row>
    <row r="3134" spans="2:34">
      <c r="B3134" s="2">
        <f ca="1"/>
        <v>0.99823865481677521</v>
      </c>
      <c r="O3134" s="2">
        <f ca="1"/>
        <v>0.54126944395793364</v>
      </c>
      <c r="X3134" s="2">
        <f ca="1"/>
        <v>48.1185463184461</v>
      </c>
      <c r="AG3134" s="2">
        <f ca="1"/>
        <v>0.51553301534050733</v>
      </c>
      <c r="AH3134" s="2" t="str">
        <f ca="1"/>
        <v>Bad</v>
      </c>
    </row>
    <row r="3135" spans="2:34">
      <c r="B3135" s="2">
        <f ca="1"/>
        <v>0.96287515918252842</v>
      </c>
      <c r="O3135" s="2">
        <f ca="1"/>
        <v>-0.71949588728696501</v>
      </c>
      <c r="X3135" s="2">
        <f ca="1"/>
        <v>38.646523774813851</v>
      </c>
      <c r="AG3135" s="2">
        <f ca="1"/>
        <v>0.39229282086161188</v>
      </c>
      <c r="AH3135" s="2" t="str">
        <f ca="1"/>
        <v>OK</v>
      </c>
    </row>
    <row r="3136" spans="2:34">
      <c r="B3136" s="2">
        <f ca="1"/>
        <v>0.40428690962646341</v>
      </c>
      <c r="O3136" s="2">
        <f ca="1"/>
        <v>-0.41471006608057082</v>
      </c>
      <c r="X3136" s="2">
        <f ca="1"/>
        <v>25.057181340166249</v>
      </c>
      <c r="AG3136" s="2">
        <f ca="1"/>
        <v>0.55320220259256248</v>
      </c>
      <c r="AH3136" s="2" t="str">
        <f ca="1"/>
        <v>Bad</v>
      </c>
    </row>
    <row r="3137" spans="2:34">
      <c r="B3137" s="2">
        <f ca="1"/>
        <v>0.21997411744188233</v>
      </c>
      <c r="O3137" s="2">
        <f ca="1"/>
        <v>-0.3456799230879451</v>
      </c>
      <c r="X3137" s="2">
        <f ca="1"/>
        <v>30.433151332593432</v>
      </c>
      <c r="AG3137" s="2">
        <f ca="1"/>
        <v>0.4423241930898596</v>
      </c>
      <c r="AH3137" s="2" t="str">
        <f ca="1"/>
        <v>Bad</v>
      </c>
    </row>
    <row r="3138" spans="2:34">
      <c r="B3138" s="2">
        <f ca="1"/>
        <v>0.79259685328265772</v>
      </c>
      <c r="O3138" s="2">
        <f ca="1"/>
        <v>-0.35488190824279459</v>
      </c>
      <c r="X3138" s="2">
        <f ca="1"/>
        <v>61.567353406539418</v>
      </c>
      <c r="AG3138" s="2">
        <f ca="1"/>
        <v>0.79867362069941561</v>
      </c>
      <c r="AH3138" s="2" t="str">
        <f ca="1"/>
        <v>Bad</v>
      </c>
    </row>
    <row r="3139" spans="2:34">
      <c r="B3139" s="2">
        <f ca="1"/>
        <v>0.8976231321557413</v>
      </c>
      <c r="O3139" s="2">
        <f ca="1"/>
        <v>-0.99676150565176758</v>
      </c>
      <c r="X3139" s="2">
        <f ca="1"/>
        <v>62.590541528510272</v>
      </c>
      <c r="AG3139" s="2">
        <f ca="1"/>
        <v>0.33575867082662469</v>
      </c>
      <c r="AH3139" s="2" t="str">
        <f ca="1"/>
        <v>OK</v>
      </c>
    </row>
    <row r="3140" spans="2:34">
      <c r="B3140" s="2">
        <f ca="1"/>
        <v>0.89946580787322739</v>
      </c>
      <c r="O3140" s="2">
        <f ca="1"/>
        <v>-0.72149984318017613</v>
      </c>
      <c r="X3140" s="2">
        <f ca="1"/>
        <v>60.286715871376046</v>
      </c>
      <c r="AG3140" s="2">
        <f ca="1"/>
        <v>3.5686597315743862E-2</v>
      </c>
      <c r="AH3140" s="2" t="str">
        <f ca="1"/>
        <v>Good</v>
      </c>
    </row>
    <row r="3141" spans="2:34">
      <c r="B3141" s="2">
        <f ca="1"/>
        <v>0.25092583255206002</v>
      </c>
      <c r="O3141" s="2">
        <f ca="1"/>
        <v>1.1220066989804793</v>
      </c>
      <c r="X3141" s="2">
        <f ca="1"/>
        <v>92.003534263745792</v>
      </c>
      <c r="AG3141" s="2">
        <f ca="1"/>
        <v>0.69814632547380384</v>
      </c>
      <c r="AH3141" s="2" t="str">
        <f ca="1"/>
        <v>Bad</v>
      </c>
    </row>
    <row r="3142" spans="2:34">
      <c r="B3142" s="2">
        <f ca="1"/>
        <v>0.9735012195188415</v>
      </c>
      <c r="O3142" s="2">
        <f ca="1"/>
        <v>1.0325129999248599</v>
      </c>
      <c r="X3142" s="2">
        <f ca="1"/>
        <v>25.551765555240497</v>
      </c>
      <c r="AG3142" s="2">
        <f ca="1"/>
        <v>0.1136674403474327</v>
      </c>
      <c r="AH3142" s="2" t="str">
        <f ca="1"/>
        <v>OK</v>
      </c>
    </row>
    <row r="3143" spans="2:34">
      <c r="B3143" s="2">
        <f ca="1"/>
        <v>1.6698710071681333E-2</v>
      </c>
      <c r="O3143" s="2">
        <f ca="1"/>
        <v>1.3915938450678886</v>
      </c>
      <c r="X3143" s="2">
        <f ca="1"/>
        <v>40.755677373992718</v>
      </c>
      <c r="AG3143" s="2">
        <f ca="1"/>
        <v>0.54359131689909668</v>
      </c>
      <c r="AH3143" s="2" t="str">
        <f ca="1"/>
        <v>Bad</v>
      </c>
    </row>
    <row r="3144" spans="2:34">
      <c r="B3144" s="2">
        <f ca="1"/>
        <v>1.2433119949212701E-2</v>
      </c>
      <c r="O3144" s="2">
        <f ca="1"/>
        <v>-1.1710854180043941</v>
      </c>
      <c r="X3144" s="2">
        <f ca="1"/>
        <v>75.12725750894154</v>
      </c>
      <c r="AG3144" s="2">
        <f ca="1"/>
        <v>0.34057535125174643</v>
      </c>
      <c r="AH3144" s="2" t="str">
        <f ca="1"/>
        <v>OK</v>
      </c>
    </row>
    <row r="3145" spans="2:34">
      <c r="B3145" s="2">
        <f ca="1"/>
        <v>0.27216096387712296</v>
      </c>
      <c r="O3145" s="2">
        <f ca="1"/>
        <v>-0.10186134451297611</v>
      </c>
      <c r="X3145" s="2">
        <f ca="1"/>
        <v>45.031190178916923</v>
      </c>
      <c r="AG3145" s="2">
        <f ca="1"/>
        <v>0.64510927828216413</v>
      </c>
      <c r="AH3145" s="2" t="str">
        <f ca="1"/>
        <v>Bad</v>
      </c>
    </row>
    <row r="3146" spans="2:34">
      <c r="B3146" s="2">
        <f ca="1"/>
        <v>0.64795216729041427</v>
      </c>
      <c r="O3146" s="2">
        <f ca="1"/>
        <v>0.24739800947768226</v>
      </c>
      <c r="X3146" s="2">
        <f ca="1"/>
        <v>46.088462848903433</v>
      </c>
      <c r="AG3146" s="2">
        <f ca="1"/>
        <v>0.43456247920578828</v>
      </c>
      <c r="AH3146" s="2" t="str">
        <f ca="1"/>
        <v>Bad</v>
      </c>
    </row>
    <row r="3147" spans="2:34">
      <c r="B3147" s="2">
        <f ca="1"/>
        <v>0.66907972081964018</v>
      </c>
      <c r="O3147" s="2">
        <f ca="1"/>
        <v>0.85343544039915498</v>
      </c>
      <c r="X3147" s="2">
        <f ca="1"/>
        <v>54.418776866059623</v>
      </c>
      <c r="AG3147" s="2">
        <f ca="1"/>
        <v>0.72853216655534392</v>
      </c>
      <c r="AH3147" s="2" t="str">
        <f ca="1"/>
        <v>Bad</v>
      </c>
    </row>
    <row r="3148" spans="2:34">
      <c r="B3148" s="2">
        <f ca="1"/>
        <v>0.70478290530484222</v>
      </c>
      <c r="O3148" s="2">
        <f ca="1"/>
        <v>1.8859342842764211</v>
      </c>
      <c r="X3148" s="2">
        <f ca="1"/>
        <v>70.775191438042441</v>
      </c>
      <c r="AG3148" s="2">
        <f ca="1"/>
        <v>7.9008622578202292E-2</v>
      </c>
      <c r="AH3148" s="2" t="str">
        <f ca="1"/>
        <v>OK</v>
      </c>
    </row>
    <row r="3149" spans="2:34">
      <c r="B3149" s="2">
        <f ca="1"/>
        <v>0.54864906242578382</v>
      </c>
      <c r="O3149" s="2">
        <f ca="1"/>
        <v>-0.20836543745463357</v>
      </c>
      <c r="X3149" s="2">
        <f ca="1"/>
        <v>66.457502786006714</v>
      </c>
      <c r="AG3149" s="2">
        <f ca="1"/>
        <v>0.67519802933478901</v>
      </c>
      <c r="AH3149" s="2" t="str">
        <f ca="1"/>
        <v>Bad</v>
      </c>
    </row>
    <row r="3150" spans="2:34">
      <c r="B3150" s="2">
        <f ca="1"/>
        <v>0.54179180578221153</v>
      </c>
      <c r="O3150" s="2">
        <f ca="1"/>
        <v>7.1588801936587135E-2</v>
      </c>
      <c r="X3150" s="2">
        <f ca="1"/>
        <v>46.723318465368578</v>
      </c>
      <c r="AG3150" s="2">
        <f ca="1"/>
        <v>0.2889709862793739</v>
      </c>
      <c r="AH3150" s="2" t="str">
        <f ca="1"/>
        <v>OK</v>
      </c>
    </row>
    <row r="3151" spans="2:34">
      <c r="B3151" s="2">
        <f ca="1"/>
        <v>0.8694864627473069</v>
      </c>
      <c r="O3151" s="2">
        <f ca="1"/>
        <v>0.98675113569084727</v>
      </c>
      <c r="X3151" s="2">
        <f ca="1"/>
        <v>43.681976119689601</v>
      </c>
      <c r="AG3151" s="2">
        <f ca="1"/>
        <v>0.44734956072729104</v>
      </c>
      <c r="AH3151" s="2" t="str">
        <f ca="1"/>
        <v>Bad</v>
      </c>
    </row>
    <row r="3152" spans="2:34">
      <c r="B3152" s="2">
        <f ca="1"/>
        <v>0.72222374528536681</v>
      </c>
      <c r="O3152" s="2">
        <f ca="1"/>
        <v>-0.1837769170310849</v>
      </c>
      <c r="X3152" s="2">
        <f ca="1"/>
        <v>27.714937630358577</v>
      </c>
      <c r="AG3152" s="2">
        <f ca="1"/>
        <v>0.60345332359739112</v>
      </c>
      <c r="AH3152" s="2" t="str">
        <f ca="1"/>
        <v>Bad</v>
      </c>
    </row>
    <row r="3153" spans="2:34">
      <c r="B3153" s="2">
        <f ca="1"/>
        <v>0.398671871850802</v>
      </c>
      <c r="O3153" s="2">
        <f ca="1"/>
        <v>0.21373379776954343</v>
      </c>
      <c r="X3153" s="2">
        <f ca="1"/>
        <v>71.835826576379247</v>
      </c>
      <c r="AG3153" s="2">
        <f ca="1"/>
        <v>0.6199010937887639</v>
      </c>
      <c r="AH3153" s="2" t="str">
        <f ca="1"/>
        <v>Bad</v>
      </c>
    </row>
    <row r="3154" spans="2:34">
      <c r="B3154" s="2">
        <f ca="1"/>
        <v>2.7069116668415827E-2</v>
      </c>
      <c r="O3154" s="2">
        <f ca="1"/>
        <v>-0.41221230285371907</v>
      </c>
      <c r="X3154" s="2">
        <f ca="1"/>
        <v>71.834461356746374</v>
      </c>
      <c r="AG3154" s="2">
        <f ca="1"/>
        <v>0.25097336283622806</v>
      </c>
      <c r="AH3154" s="2" t="str">
        <f ca="1"/>
        <v>OK</v>
      </c>
    </row>
    <row r="3155" spans="2:34">
      <c r="B3155" s="2">
        <f ca="1"/>
        <v>2.1651839190307998E-2</v>
      </c>
      <c r="O3155" s="2">
        <f ca="1"/>
        <v>0.73895994161752221</v>
      </c>
      <c r="X3155" s="2">
        <f ca="1"/>
        <v>43.773259975857869</v>
      </c>
      <c r="AG3155" s="2">
        <f ca="1"/>
        <v>0.90334311531460521</v>
      </c>
      <c r="AH3155" s="2" t="str">
        <f ca="1"/>
        <v>Bad</v>
      </c>
    </row>
    <row r="3156" spans="2:34">
      <c r="B3156" s="2">
        <f ca="1"/>
        <v>0.334869904129655</v>
      </c>
      <c r="O3156" s="2">
        <f ca="1"/>
        <v>-1.5251819383639629</v>
      </c>
      <c r="X3156" s="2">
        <f ca="1"/>
        <v>54.542550177742086</v>
      </c>
      <c r="AG3156" s="2">
        <f ca="1"/>
        <v>0.31215310050147482</v>
      </c>
      <c r="AH3156" s="2" t="str">
        <f ca="1"/>
        <v>OK</v>
      </c>
    </row>
    <row r="3157" spans="2:34">
      <c r="B3157" s="2">
        <f ca="1"/>
        <v>0.16181866990799931</v>
      </c>
      <c r="O3157" s="2">
        <f ca="1"/>
        <v>0.65796804866812675</v>
      </c>
      <c r="X3157" s="2">
        <f ca="1"/>
        <v>71.670630721681405</v>
      </c>
      <c r="AG3157" s="2">
        <f ca="1"/>
        <v>2.0268850572346064E-2</v>
      </c>
      <c r="AH3157" s="2" t="str">
        <f ca="1"/>
        <v>Good</v>
      </c>
    </row>
    <row r="3158" spans="2:34">
      <c r="B3158" s="2">
        <f ca="1"/>
        <v>0.31224821150670357</v>
      </c>
      <c r="O3158" s="2">
        <f ca="1"/>
        <v>-1.0964316012851445</v>
      </c>
      <c r="X3158" s="2">
        <f ca="1"/>
        <v>60.228870301708099</v>
      </c>
      <c r="AG3158" s="2">
        <f ca="1"/>
        <v>0.43670503351729306</v>
      </c>
      <c r="AH3158" s="2" t="str">
        <f ca="1"/>
        <v>Bad</v>
      </c>
    </row>
    <row r="3159" spans="2:34">
      <c r="B3159" s="2">
        <f ca="1"/>
        <v>0.79926883884186695</v>
      </c>
      <c r="O3159" s="2">
        <f ca="1"/>
        <v>-0.60774619255983608</v>
      </c>
      <c r="X3159" s="2">
        <f ca="1"/>
        <v>48.922124672376277</v>
      </c>
      <c r="AG3159" s="2">
        <f ca="1"/>
        <v>0.86169054521924404</v>
      </c>
      <c r="AH3159" s="2" t="str">
        <f ca="1"/>
        <v>Bad</v>
      </c>
    </row>
    <row r="3160" spans="2:34">
      <c r="B3160" s="2">
        <f ca="1"/>
        <v>0.71334775306674958</v>
      </c>
      <c r="O3160" s="2">
        <f ca="1"/>
        <v>-2.0815793576299852</v>
      </c>
      <c r="X3160" s="2">
        <f ca="1"/>
        <v>40.849147781980577</v>
      </c>
      <c r="AG3160" s="2">
        <f ca="1"/>
        <v>0.13915537906387043</v>
      </c>
      <c r="AH3160" s="2" t="str">
        <f ca="1"/>
        <v>OK</v>
      </c>
    </row>
    <row r="3161" spans="2:34">
      <c r="B3161" s="2">
        <f ca="1"/>
        <v>0.33580795489166593</v>
      </c>
      <c r="O3161" s="2">
        <f ca="1"/>
        <v>-0.64465362564526751</v>
      </c>
      <c r="X3161" s="2">
        <f ca="1"/>
        <v>60.915291838867702</v>
      </c>
      <c r="AG3161" s="2">
        <f ca="1"/>
        <v>0.25140750806807555</v>
      </c>
      <c r="AH3161" s="2" t="str">
        <f ca="1"/>
        <v>OK</v>
      </c>
    </row>
    <row r="3162" spans="2:34">
      <c r="B3162" s="2">
        <f ca="1"/>
        <v>0.13098022778566976</v>
      </c>
      <c r="O3162" s="2">
        <f ca="1"/>
        <v>0.28023538804354153</v>
      </c>
      <c r="X3162" s="2">
        <f ca="1"/>
        <v>47.052085445951128</v>
      </c>
      <c r="AG3162" s="2">
        <f ca="1"/>
        <v>0.36024854926807781</v>
      </c>
      <c r="AH3162" s="2" t="str">
        <f ca="1"/>
        <v>OK</v>
      </c>
    </row>
    <row r="3163" spans="2:34">
      <c r="B3163" s="2">
        <f ca="1"/>
        <v>6.8792793918223127E-2</v>
      </c>
      <c r="O3163" s="2">
        <f ca="1"/>
        <v>-0.38974601987245872</v>
      </c>
      <c r="X3163" s="2">
        <f ca="1"/>
        <v>66.017854604233989</v>
      </c>
      <c r="AG3163" s="2">
        <f ca="1"/>
        <v>0.29442615128546223</v>
      </c>
      <c r="AH3163" s="2" t="str">
        <f ca="1"/>
        <v>OK</v>
      </c>
    </row>
    <row r="3164" spans="2:34">
      <c r="B3164" s="2">
        <f ca="1"/>
        <v>3.6173402827240908E-2</v>
      </c>
      <c r="O3164" s="2">
        <f ca="1"/>
        <v>0.45391112545456858</v>
      </c>
      <c r="X3164" s="2">
        <f ca="1"/>
        <v>46.245136686687978</v>
      </c>
      <c r="AG3164" s="2">
        <f ca="1"/>
        <v>0.36767837242894297</v>
      </c>
      <c r="AH3164" s="2" t="str">
        <f ca="1"/>
        <v>OK</v>
      </c>
    </row>
    <row r="3165" spans="2:34">
      <c r="B3165" s="2">
        <f ca="1"/>
        <v>0.98026530294584924</v>
      </c>
      <c r="O3165" s="2">
        <f ca="1"/>
        <v>-6.58816301046663E-2</v>
      </c>
      <c r="X3165" s="2">
        <f ca="1"/>
        <v>61.096877488161155</v>
      </c>
      <c r="AG3165" s="2">
        <f ca="1"/>
        <v>0.15785020144553497</v>
      </c>
      <c r="AH3165" s="2" t="str">
        <f ca="1"/>
        <v>OK</v>
      </c>
    </row>
    <row r="3166" spans="2:34">
      <c r="B3166" s="2">
        <f ca="1"/>
        <v>3.3519906516454867E-4</v>
      </c>
      <c r="O3166" s="2">
        <f ca="1"/>
        <v>-0.15276583433645</v>
      </c>
      <c r="X3166" s="2">
        <f ca="1"/>
        <v>49.153107773607957</v>
      </c>
      <c r="AG3166" s="2">
        <f ca="1"/>
        <v>0.28110059188731173</v>
      </c>
      <c r="AH3166" s="2" t="str">
        <f ca="1"/>
        <v>OK</v>
      </c>
    </row>
    <row r="3167" spans="2:34">
      <c r="B3167" s="2">
        <f ca="1"/>
        <v>0.22983464113060315</v>
      </c>
      <c r="O3167" s="2">
        <f ca="1"/>
        <v>0.56840641090622124</v>
      </c>
      <c r="X3167" s="2">
        <f ca="1"/>
        <v>49.40438623233878</v>
      </c>
      <c r="AG3167" s="2">
        <f ca="1"/>
        <v>0.9066545738724674</v>
      </c>
      <c r="AH3167" s="2" t="str">
        <f ca="1"/>
        <v>Bad</v>
      </c>
    </row>
    <row r="3168" spans="2:34">
      <c r="B3168" s="2">
        <f ca="1"/>
        <v>1.4083467678563499E-2</v>
      </c>
      <c r="O3168" s="2">
        <f ca="1"/>
        <v>-0.1306896985724538</v>
      </c>
      <c r="X3168" s="2">
        <f ca="1"/>
        <v>52.519372110584762</v>
      </c>
      <c r="AG3168" s="2">
        <f ca="1"/>
        <v>0.64068764399794143</v>
      </c>
      <c r="AH3168" s="2" t="str">
        <f ca="1"/>
        <v>Bad</v>
      </c>
    </row>
    <row r="3169" spans="2:34">
      <c r="B3169" s="2">
        <f ca="1"/>
        <v>0.51194568126660123</v>
      </c>
      <c r="O3169" s="2">
        <f ca="1"/>
        <v>3.437023147211362E-2</v>
      </c>
      <c r="X3169" s="2">
        <f ca="1"/>
        <v>33.85585470855704</v>
      </c>
      <c r="AG3169" s="2">
        <f ca="1"/>
        <v>0.44555954705880785</v>
      </c>
      <c r="AH3169" s="2" t="str">
        <f ca="1"/>
        <v>Bad</v>
      </c>
    </row>
    <row r="3170" spans="2:34">
      <c r="B3170" s="2">
        <f ca="1"/>
        <v>0.24589089976414069</v>
      </c>
      <c r="O3170" s="2">
        <f ca="1"/>
        <v>-0.51233726516661604</v>
      </c>
      <c r="X3170" s="2">
        <f ca="1"/>
        <v>63.251644135725257</v>
      </c>
      <c r="AG3170" s="2">
        <f ca="1"/>
        <v>0.208735484914363</v>
      </c>
      <c r="AH3170" s="2" t="str">
        <f ca="1"/>
        <v>OK</v>
      </c>
    </row>
    <row r="3171" spans="2:34">
      <c r="B3171" s="2">
        <f ca="1"/>
        <v>0.42412489168722334</v>
      </c>
      <c r="O3171" s="2">
        <f ca="1"/>
        <v>-1.070983956896334</v>
      </c>
      <c r="X3171" s="2">
        <f ca="1"/>
        <v>69.975187800866067</v>
      </c>
      <c r="AG3171" s="2">
        <f ca="1"/>
        <v>0.45076435332362808</v>
      </c>
      <c r="AH3171" s="2" t="str">
        <f ca="1"/>
        <v>Bad</v>
      </c>
    </row>
    <row r="3172" spans="2:34">
      <c r="B3172" s="2">
        <f ca="1"/>
        <v>0.46359703904581684</v>
      </c>
      <c r="O3172" s="2">
        <f ca="1"/>
        <v>-0.18459672540278105</v>
      </c>
      <c r="X3172" s="2">
        <f ca="1"/>
        <v>54.757278569061107</v>
      </c>
      <c r="AG3172" s="2">
        <f ca="1"/>
        <v>0.6714194023335307</v>
      </c>
      <c r="AH3172" s="2" t="str">
        <f ca="1"/>
        <v>Bad</v>
      </c>
    </row>
    <row r="3173" spans="2:34">
      <c r="B3173" s="2">
        <f ca="1"/>
        <v>0.85545019904782849</v>
      </c>
      <c r="O3173" s="2">
        <f ca="1"/>
        <v>-1.5539768900107636</v>
      </c>
      <c r="X3173" s="2">
        <f ca="1"/>
        <v>46.963525291402838</v>
      </c>
      <c r="AG3173" s="2">
        <f ca="1"/>
        <v>0.26271512703747013</v>
      </c>
      <c r="AH3173" s="2" t="str">
        <f ca="1"/>
        <v>OK</v>
      </c>
    </row>
    <row r="3174" spans="2:34">
      <c r="B3174" s="2">
        <f ca="1"/>
        <v>0.60408326435464987</v>
      </c>
      <c r="O3174" s="2">
        <f ca="1"/>
        <v>-0.28669549208864747</v>
      </c>
      <c r="X3174" s="2">
        <f ca="1"/>
        <v>50.850461354916106</v>
      </c>
      <c r="AG3174" s="2">
        <f ca="1"/>
        <v>0.91592669895163303</v>
      </c>
      <c r="AH3174" s="2" t="str">
        <f ca="1"/>
        <v>Bad</v>
      </c>
    </row>
    <row r="3175" spans="2:34">
      <c r="B3175" s="2">
        <f ca="1"/>
        <v>0.66932026615218998</v>
      </c>
      <c r="O3175" s="2">
        <f ca="1"/>
        <v>0.162995620201275</v>
      </c>
      <c r="X3175" s="2">
        <f ca="1"/>
        <v>26.995131717798447</v>
      </c>
      <c r="AG3175" s="2">
        <f ca="1"/>
        <v>0.39928237722144755</v>
      </c>
      <c r="AH3175" s="2" t="str">
        <f ca="1"/>
        <v>OK</v>
      </c>
    </row>
    <row r="3176" spans="2:34">
      <c r="B3176" s="2">
        <f ca="1"/>
        <v>0.60529698996176284</v>
      </c>
      <c r="O3176" s="2">
        <f ca="1"/>
        <v>1.0890997243389036</v>
      </c>
      <c r="X3176" s="2">
        <f ca="1"/>
        <v>66.545975484586307</v>
      </c>
      <c r="AG3176" s="2">
        <f ca="1"/>
        <v>0.9602526997865648</v>
      </c>
      <c r="AH3176" s="2" t="str">
        <f ca="1"/>
        <v>Bad</v>
      </c>
    </row>
    <row r="3177" spans="2:34">
      <c r="B3177" s="2">
        <f ca="1"/>
        <v>5.8676506425323183E-2</v>
      </c>
      <c r="O3177" s="2">
        <f ca="1"/>
        <v>0.48948128585369921</v>
      </c>
      <c r="X3177" s="2">
        <f ca="1"/>
        <v>34.538157078901463</v>
      </c>
      <c r="AG3177" s="2">
        <f ca="1"/>
        <v>0.81918650362975698</v>
      </c>
      <c r="AH3177" s="2" t="str">
        <f ca="1"/>
        <v>Bad</v>
      </c>
    </row>
    <row r="3178" spans="2:34">
      <c r="B3178" s="2">
        <f ca="1"/>
        <v>0.75626543228414467</v>
      </c>
      <c r="O3178" s="2">
        <f ca="1"/>
        <v>-0.34747364196819114</v>
      </c>
      <c r="X3178" s="2">
        <f ca="1"/>
        <v>38.544034563425676</v>
      </c>
      <c r="AG3178" s="2">
        <f ca="1"/>
        <v>6.3844978140119579E-2</v>
      </c>
      <c r="AH3178" s="2" t="str">
        <f ca="1"/>
        <v>OK</v>
      </c>
    </row>
    <row r="3179" spans="2:34">
      <c r="B3179" s="2">
        <f ca="1"/>
        <v>0.57944698248645188</v>
      </c>
      <c r="O3179" s="2">
        <f ca="1"/>
        <v>-1.0572172413634968</v>
      </c>
      <c r="X3179" s="2">
        <f ca="1"/>
        <v>54.653679129633929</v>
      </c>
      <c r="AG3179" s="2">
        <f ca="1"/>
        <v>0.72833251418504585</v>
      </c>
      <c r="AH3179" s="2" t="str">
        <f ca="1"/>
        <v>Bad</v>
      </c>
    </row>
    <row r="3180" spans="2:34">
      <c r="B3180" s="2">
        <f ca="1"/>
        <v>0.30311765752577702</v>
      </c>
      <c r="O3180" s="2">
        <f ca="1"/>
        <v>6.7324107878196329E-2</v>
      </c>
      <c r="X3180" s="2">
        <f ca="1"/>
        <v>36.323293899795196</v>
      </c>
      <c r="AG3180" s="2">
        <f ca="1"/>
        <v>0.81212025877305516</v>
      </c>
      <c r="AH3180" s="2" t="str">
        <f ca="1"/>
        <v>Bad</v>
      </c>
    </row>
    <row r="3181" spans="2:34">
      <c r="B3181" s="2">
        <f ca="1"/>
        <v>0.63033545804826052</v>
      </c>
      <c r="O3181" s="2">
        <f ca="1"/>
        <v>0.32698364012657993</v>
      </c>
      <c r="X3181" s="2">
        <f ca="1"/>
        <v>54.501160445039019</v>
      </c>
      <c r="AG3181" s="2">
        <f ca="1"/>
        <v>5.827635978019341E-2</v>
      </c>
      <c r="AH3181" s="2" t="str">
        <f ca="1"/>
        <v>OK</v>
      </c>
    </row>
    <row r="3182" spans="2:34">
      <c r="B3182" s="2">
        <f ca="1"/>
        <v>0.32294634434794345</v>
      </c>
      <c r="O3182" s="2">
        <f ca="1"/>
        <v>-0.19614023146132989</v>
      </c>
      <c r="X3182" s="2">
        <f ca="1"/>
        <v>49.974383020811317</v>
      </c>
      <c r="AG3182" s="2">
        <f ca="1"/>
        <v>0.62159672641949215</v>
      </c>
      <c r="AH3182" s="2" t="str">
        <f ca="1"/>
        <v>Bad</v>
      </c>
    </row>
    <row r="3183" spans="2:34">
      <c r="B3183" s="2">
        <f ca="1"/>
        <v>0.37572188128421802</v>
      </c>
      <c r="O3183" s="2">
        <f ca="1"/>
        <v>-5.472147044817325E-2</v>
      </c>
      <c r="X3183" s="2">
        <f ca="1"/>
        <v>72.949006774991901</v>
      </c>
      <c r="AG3183" s="2">
        <f ca="1"/>
        <v>0.16204513713610824</v>
      </c>
      <c r="AH3183" s="2" t="str">
        <f ca="1"/>
        <v>OK</v>
      </c>
    </row>
    <row r="3184" spans="2:34">
      <c r="B3184" s="2">
        <f ca="1"/>
        <v>0.91524398247205774</v>
      </c>
      <c r="O3184" s="2">
        <f ca="1"/>
        <v>-0.72790974944924491</v>
      </c>
      <c r="X3184" s="2">
        <f ca="1"/>
        <v>36.144629543210769</v>
      </c>
      <c r="AG3184" s="2">
        <f ca="1"/>
        <v>0.43123444201995764</v>
      </c>
      <c r="AH3184" s="2" t="str">
        <f ca="1"/>
        <v>Bad</v>
      </c>
    </row>
    <row r="3185" spans="2:34">
      <c r="B3185" s="2">
        <f ca="1"/>
        <v>0.36623233421238566</v>
      </c>
      <c r="O3185" s="2">
        <f ca="1"/>
        <v>1.1974858642275472</v>
      </c>
      <c r="X3185" s="2">
        <f ca="1"/>
        <v>39.196738818652335</v>
      </c>
      <c r="AG3185" s="2">
        <f ca="1"/>
        <v>0.51558368738244198</v>
      </c>
      <c r="AH3185" s="2" t="str">
        <f ca="1"/>
        <v>Bad</v>
      </c>
    </row>
    <row r="3186" spans="2:34">
      <c r="B3186" s="2">
        <f ca="1"/>
        <v>0.97034411423626987</v>
      </c>
      <c r="O3186" s="2">
        <f ca="1"/>
        <v>0.28183582366938692</v>
      </c>
      <c r="X3186" s="2">
        <f ca="1"/>
        <v>46.11423130671767</v>
      </c>
      <c r="AG3186" s="2">
        <f ca="1"/>
        <v>5.9162332030571196E-3</v>
      </c>
      <c r="AH3186" s="2" t="str">
        <f ca="1"/>
        <v>Good</v>
      </c>
    </row>
    <row r="3187" spans="2:34">
      <c r="B3187" s="2">
        <f ca="1"/>
        <v>0.53955796244684628</v>
      </c>
      <c r="O3187" s="2">
        <f ca="1"/>
        <v>1.6518961983847975</v>
      </c>
      <c r="X3187" s="2">
        <f ca="1"/>
        <v>49.558205322482571</v>
      </c>
      <c r="AG3187" s="2">
        <f ca="1"/>
        <v>0.60421444565910365</v>
      </c>
      <c r="AH3187" s="2" t="str">
        <f ca="1"/>
        <v>Bad</v>
      </c>
    </row>
    <row r="3188" spans="2:34">
      <c r="B3188" s="2">
        <f ca="1"/>
        <v>0.99269580563169235</v>
      </c>
      <c r="O3188" s="2">
        <f ca="1"/>
        <v>-0.74344645244116658</v>
      </c>
      <c r="X3188" s="2">
        <f ca="1"/>
        <v>50.80928098596204</v>
      </c>
      <c r="AG3188" s="2">
        <f ca="1"/>
        <v>0.73051219479640683</v>
      </c>
      <c r="AH3188" s="2" t="str">
        <f ca="1"/>
        <v>Bad</v>
      </c>
    </row>
    <row r="3189" spans="2:34">
      <c r="B3189" s="2">
        <f ca="1"/>
        <v>0.10676302590285491</v>
      </c>
      <c r="O3189" s="2">
        <f ca="1"/>
        <v>0.99554425935374069</v>
      </c>
      <c r="X3189" s="2">
        <f ca="1"/>
        <v>34.825906374354261</v>
      </c>
      <c r="AG3189" s="2">
        <f ca="1"/>
        <v>0.7531376467292048</v>
      </c>
      <c r="AH3189" s="2" t="str">
        <f ca="1"/>
        <v>Bad</v>
      </c>
    </row>
    <row r="3190" spans="2:34">
      <c r="B3190" s="2">
        <f ca="1"/>
        <v>0.33584248978286091</v>
      </c>
      <c r="O3190" s="2">
        <f ca="1"/>
        <v>0.86779207032383932</v>
      </c>
      <c r="X3190" s="2">
        <f ca="1"/>
        <v>41.431258107305297</v>
      </c>
      <c r="AG3190" s="2">
        <f ca="1"/>
        <v>0.10690245882850413</v>
      </c>
      <c r="AH3190" s="2" t="str">
        <f ca="1"/>
        <v>OK</v>
      </c>
    </row>
    <row r="3191" spans="2:34">
      <c r="B3191" s="2">
        <f ca="1"/>
        <v>0.4876186459997629</v>
      </c>
      <c r="O3191" s="2">
        <f ca="1"/>
        <v>-0.38933110169782764</v>
      </c>
      <c r="X3191" s="2">
        <f ca="1"/>
        <v>32.011297761653054</v>
      </c>
      <c r="AG3191" s="2">
        <f ca="1"/>
        <v>0.45840909088768989</v>
      </c>
      <c r="AH3191" s="2" t="str">
        <f ca="1"/>
        <v>Bad</v>
      </c>
    </row>
    <row r="3192" spans="2:34">
      <c r="B3192" s="2">
        <f ca="1"/>
        <v>0.41657310715678109</v>
      </c>
      <c r="O3192" s="2">
        <f ca="1"/>
        <v>-0.5529069137080872</v>
      </c>
      <c r="X3192" s="2">
        <f ca="1"/>
        <v>28.201677311149535</v>
      </c>
      <c r="AG3192" s="2">
        <f ca="1"/>
        <v>0.99494180995367465</v>
      </c>
      <c r="AH3192" s="2" t="str">
        <f ca="1"/>
        <v>Bad</v>
      </c>
    </row>
    <row r="3193" spans="2:34">
      <c r="B3193" s="2">
        <f ca="1"/>
        <v>0.53845691488734726</v>
      </c>
      <c r="O3193" s="2">
        <f ca="1"/>
        <v>-6.4023046446545662E-2</v>
      </c>
      <c r="X3193" s="2">
        <f ca="1"/>
        <v>38.835220577051288</v>
      </c>
      <c r="AG3193" s="2">
        <f ca="1"/>
        <v>0.45407387277862599</v>
      </c>
      <c r="AH3193" s="2" t="str">
        <f ca="1"/>
        <v>Bad</v>
      </c>
    </row>
    <row r="3194" spans="2:34">
      <c r="B3194" s="2">
        <f ca="1"/>
        <v>0.36421713198812444</v>
      </c>
      <c r="O3194" s="2">
        <f ca="1"/>
        <v>-0.51131870876719809</v>
      </c>
      <c r="X3194" s="2">
        <f ca="1"/>
        <v>41.906395542992321</v>
      </c>
      <c r="AG3194" s="2">
        <f ca="1"/>
        <v>0.68580659538606725</v>
      </c>
      <c r="AH3194" s="2" t="str">
        <f ca="1"/>
        <v>Bad</v>
      </c>
    </row>
    <row r="3195" spans="2:34">
      <c r="B3195" s="2">
        <f ca="1"/>
        <v>0.16416072069864085</v>
      </c>
      <c r="O3195" s="2">
        <f ca="1"/>
        <v>0.93012611139327506</v>
      </c>
      <c r="X3195" s="2">
        <f ca="1"/>
        <v>68.661735453432982</v>
      </c>
      <c r="AG3195" s="2">
        <f ca="1"/>
        <v>0.21942692328269331</v>
      </c>
      <c r="AH3195" s="2" t="str">
        <f ca="1"/>
        <v>OK</v>
      </c>
    </row>
    <row r="3196" spans="2:34">
      <c r="B3196" s="2">
        <f ca="1"/>
        <v>0.55662936206866265</v>
      </c>
      <c r="O3196" s="2">
        <f ca="1"/>
        <v>-7.2745464766653389E-2</v>
      </c>
      <c r="X3196" s="2">
        <f ca="1"/>
        <v>77.581324960615902</v>
      </c>
      <c r="AG3196" s="2">
        <f ca="1"/>
        <v>0.57262321051367748</v>
      </c>
      <c r="AH3196" s="2" t="str">
        <f ca="1"/>
        <v>Bad</v>
      </c>
    </row>
    <row r="3197" spans="2:34">
      <c r="B3197" s="2">
        <f ca="1"/>
        <v>0.54579214302909307</v>
      </c>
      <c r="O3197" s="2">
        <f ca="1"/>
        <v>1.0480427330186608</v>
      </c>
      <c r="X3197" s="2">
        <f ca="1"/>
        <v>29.52263030103471</v>
      </c>
      <c r="AG3197" s="2">
        <f ca="1"/>
        <v>0.67294371660503938</v>
      </c>
      <c r="AH3197" s="2" t="str">
        <f ca="1"/>
        <v>Bad</v>
      </c>
    </row>
    <row r="3198" spans="2:34">
      <c r="B3198" s="2">
        <f ca="1"/>
        <v>0.15336345265656859</v>
      </c>
      <c r="O3198" s="2">
        <f ca="1"/>
        <v>2.0586370580877814E-2</v>
      </c>
      <c r="X3198" s="2">
        <f ca="1"/>
        <v>58.571591074526722</v>
      </c>
      <c r="AG3198" s="2">
        <f ca="1"/>
        <v>0.73144218204506628</v>
      </c>
      <c r="AH3198" s="2" t="str">
        <f ca="1"/>
        <v>Bad</v>
      </c>
    </row>
    <row r="3199" spans="2:34">
      <c r="B3199" s="2">
        <f ca="1"/>
        <v>0.22364624671460809</v>
      </c>
      <c r="O3199" s="2">
        <f ca="1"/>
        <v>0.23572970701612705</v>
      </c>
      <c r="X3199" s="2">
        <f ca="1"/>
        <v>40.387986916740182</v>
      </c>
      <c r="AG3199" s="2">
        <f ca="1"/>
        <v>0.5559663847308256</v>
      </c>
      <c r="AH3199" s="2" t="str">
        <f ca="1"/>
        <v>Bad</v>
      </c>
    </row>
    <row r="3200" spans="2:34">
      <c r="B3200" s="2">
        <f ca="1"/>
        <v>0.78932507608518021</v>
      </c>
      <c r="O3200" s="2">
        <f ca="1"/>
        <v>0.24346745566927291</v>
      </c>
      <c r="X3200" s="2">
        <f ca="1"/>
        <v>26.083588764864576</v>
      </c>
      <c r="AG3200" s="2">
        <f ca="1"/>
        <v>0.54438102024101798</v>
      </c>
      <c r="AH3200" s="2" t="str">
        <f ca="1"/>
        <v>Bad</v>
      </c>
    </row>
    <row r="3201" spans="2:34">
      <c r="B3201" s="2">
        <f ca="1"/>
        <v>0.41573556101329268</v>
      </c>
      <c r="O3201" s="2">
        <f ca="1"/>
        <v>-0.37084639863279667</v>
      </c>
      <c r="X3201" s="2">
        <f ca="1"/>
        <v>22.87440153582569</v>
      </c>
      <c r="AG3201" s="2">
        <f ca="1"/>
        <v>4.5808692765155534E-2</v>
      </c>
      <c r="AH3201" s="2" t="str">
        <f ca="1"/>
        <v>Good</v>
      </c>
    </row>
    <row r="3202" spans="2:34">
      <c r="B3202" s="2">
        <f ca="1"/>
        <v>1.3576500131383895E-2</v>
      </c>
      <c r="O3202" s="2">
        <f ca="1"/>
        <v>-8.6319475001682341E-2</v>
      </c>
      <c r="X3202" s="2">
        <f ca="1"/>
        <v>40.218885672900946</v>
      </c>
      <c r="AG3202" s="2">
        <f ca="1"/>
        <v>0.36371955674893064</v>
      </c>
      <c r="AH3202" s="2" t="str">
        <f ca="1"/>
        <v>OK</v>
      </c>
    </row>
    <row r="3203" spans="2:34">
      <c r="B3203" s="2">
        <f ca="1"/>
        <v>0.65711178588814478</v>
      </c>
      <c r="O3203" s="2">
        <f ca="1"/>
        <v>-0.35595701427430815</v>
      </c>
      <c r="X3203" s="2">
        <f ca="1"/>
        <v>27.408659079682963</v>
      </c>
      <c r="AG3203" s="2">
        <f ca="1"/>
        <v>0.65520257155961259</v>
      </c>
      <c r="AH3203" s="2" t="str">
        <f ca="1"/>
        <v>Bad</v>
      </c>
    </row>
    <row r="3204" spans="2:34">
      <c r="B3204" s="2">
        <f ca="1"/>
        <v>0.55593062904240576</v>
      </c>
      <c r="O3204" s="2">
        <f ca="1"/>
        <v>1.219925643621897</v>
      </c>
      <c r="X3204" s="2">
        <f ca="1"/>
        <v>60.539648330326997</v>
      </c>
      <c r="AG3204" s="2">
        <f ca="1"/>
        <v>0.64388252488250641</v>
      </c>
      <c r="AH3204" s="2" t="str">
        <f ca="1"/>
        <v>Bad</v>
      </c>
    </row>
    <row r="3205" spans="2:34">
      <c r="B3205" s="2">
        <f ca="1"/>
        <v>0.61782658486716002</v>
      </c>
      <c r="O3205" s="2">
        <f ca="1"/>
        <v>2.273480841062689</v>
      </c>
      <c r="X3205" s="2">
        <f ca="1"/>
        <v>66.608285311237012</v>
      </c>
      <c r="AG3205" s="2">
        <f ca="1"/>
        <v>0.81059009581063823</v>
      </c>
      <c r="AH3205" s="2" t="str">
        <f ca="1"/>
        <v>Bad</v>
      </c>
    </row>
    <row r="3206" spans="2:34">
      <c r="B3206" s="2">
        <f ca="1"/>
        <v>0.48957643910365634</v>
      </c>
      <c r="O3206" s="2">
        <f ca="1"/>
        <v>1.7274539069465922</v>
      </c>
      <c r="X3206" s="2">
        <f ca="1"/>
        <v>42.609462794866076</v>
      </c>
      <c r="AG3206" s="2">
        <f ca="1"/>
        <v>0.63771129346289124</v>
      </c>
      <c r="AH3206" s="2" t="str">
        <f ca="1"/>
        <v>Bad</v>
      </c>
    </row>
    <row r="3207" spans="2:34">
      <c r="B3207" s="2">
        <f ca="1"/>
        <v>0.95364641269589523</v>
      </c>
      <c r="O3207" s="2">
        <f ca="1"/>
        <v>0.51370037365844834</v>
      </c>
      <c r="X3207" s="2">
        <f ca="1"/>
        <v>37.67160500693155</v>
      </c>
      <c r="AG3207" s="2">
        <f ca="1"/>
        <v>0.60523278019028459</v>
      </c>
      <c r="AH3207" s="2" t="str">
        <f ca="1"/>
        <v>Bad</v>
      </c>
    </row>
    <row r="3208" spans="2:34">
      <c r="B3208" s="2">
        <f ca="1"/>
        <v>0.62730725083443062</v>
      </c>
      <c r="O3208" s="2">
        <f ca="1"/>
        <v>3.2554593761546589E-2</v>
      </c>
      <c r="X3208" s="2">
        <f ca="1"/>
        <v>31.611221151016004</v>
      </c>
      <c r="AG3208" s="2">
        <f ca="1"/>
        <v>0.96332522385991237</v>
      </c>
      <c r="AH3208" s="2" t="str">
        <f ca="1"/>
        <v>Bad</v>
      </c>
    </row>
    <row r="3209" spans="2:34">
      <c r="B3209" s="2">
        <f ca="1"/>
        <v>0.18320510641138532</v>
      </c>
      <c r="O3209" s="2">
        <f ca="1"/>
        <v>-1.1868178724662601</v>
      </c>
      <c r="X3209" s="2">
        <f ca="1"/>
        <v>39.871869367873842</v>
      </c>
      <c r="AG3209" s="2">
        <f ca="1"/>
        <v>0.73664422980520805</v>
      </c>
      <c r="AH3209" s="2" t="str">
        <f ca="1"/>
        <v>Bad</v>
      </c>
    </row>
    <row r="3210" spans="2:34">
      <c r="B3210" s="2">
        <f ca="1"/>
        <v>0.27838390293417414</v>
      </c>
      <c r="O3210" s="2">
        <f ca="1"/>
        <v>-1.1736558712971761</v>
      </c>
      <c r="X3210" s="2">
        <f ca="1"/>
        <v>46.961924244191735</v>
      </c>
      <c r="AG3210" s="2">
        <f ca="1"/>
        <v>0.15603827533803516</v>
      </c>
      <c r="AH3210" s="2" t="str">
        <f ca="1"/>
        <v>OK</v>
      </c>
    </row>
    <row r="3211" spans="2:34">
      <c r="B3211" s="2">
        <f ca="1"/>
        <v>0.45825095576601038</v>
      </c>
      <c r="O3211" s="2">
        <f ca="1"/>
        <v>-0.65909308240363074</v>
      </c>
      <c r="X3211" s="2">
        <f ca="1"/>
        <v>40.502058368154614</v>
      </c>
      <c r="AG3211" s="2">
        <f ca="1"/>
        <v>3.7715520883885523E-2</v>
      </c>
      <c r="AH3211" s="2" t="str">
        <f ca="1"/>
        <v>Good</v>
      </c>
    </row>
    <row r="3212" spans="2:34">
      <c r="B3212" s="2">
        <f ca="1"/>
        <v>0.21163643412276167</v>
      </c>
      <c r="O3212" s="2">
        <f ca="1"/>
        <v>-0.93615742072176389</v>
      </c>
      <c r="X3212" s="2">
        <f ca="1"/>
        <v>70.215372401637495</v>
      </c>
      <c r="AG3212" s="2">
        <f ca="1"/>
        <v>0.66569439305886302</v>
      </c>
      <c r="AH3212" s="2" t="str">
        <f ca="1"/>
        <v>Bad</v>
      </c>
    </row>
    <row r="3213" spans="2:34">
      <c r="B3213" s="2">
        <f ca="1"/>
        <v>0.36333103403759393</v>
      </c>
      <c r="O3213" s="2">
        <f ca="1"/>
        <v>-1.8345738155314453</v>
      </c>
      <c r="X3213" s="2">
        <f ca="1"/>
        <v>70.523684466979816</v>
      </c>
      <c r="AG3213" s="2">
        <f ca="1"/>
        <v>0.13094646859998904</v>
      </c>
      <c r="AH3213" s="2" t="str">
        <f ca="1"/>
        <v>OK</v>
      </c>
    </row>
    <row r="3214" spans="2:34">
      <c r="B3214" s="2">
        <f ca="1"/>
        <v>0.48165683863637709</v>
      </c>
      <c r="O3214" s="2">
        <f ca="1"/>
        <v>-0.89830762625156102</v>
      </c>
      <c r="X3214" s="2">
        <f ca="1"/>
        <v>53.206846647578388</v>
      </c>
      <c r="AG3214" s="2">
        <f ca="1"/>
        <v>0.63921339874088368</v>
      </c>
      <c r="AH3214" s="2" t="str">
        <f ca="1"/>
        <v>Bad</v>
      </c>
    </row>
    <row r="3215" spans="2:34">
      <c r="B3215" s="2">
        <f ca="1"/>
        <v>0.22086429815021047</v>
      </c>
      <c r="O3215" s="2">
        <f ca="1"/>
        <v>-1.5735172117343688</v>
      </c>
      <c r="X3215" s="2">
        <f ca="1"/>
        <v>40.240325360968711</v>
      </c>
      <c r="AG3215" s="2">
        <f ca="1"/>
        <v>0.25426740841546325</v>
      </c>
      <c r="AH3215" s="2" t="str">
        <f ca="1"/>
        <v>OK</v>
      </c>
    </row>
    <row r="3216" spans="2:34">
      <c r="B3216" s="2">
        <f ca="1"/>
        <v>0.42562407548270853</v>
      </c>
      <c r="O3216" s="2">
        <f ca="1"/>
        <v>2.1342083949669437</v>
      </c>
      <c r="X3216" s="2">
        <f ca="1"/>
        <v>30.32303769197847</v>
      </c>
      <c r="AG3216" s="2">
        <f ca="1"/>
        <v>0.78979800595613203</v>
      </c>
      <c r="AH3216" s="2" t="str">
        <f ca="1"/>
        <v>Bad</v>
      </c>
    </row>
    <row r="3217" spans="2:34">
      <c r="B3217" s="2">
        <f ca="1"/>
        <v>0.13158549860808799</v>
      </c>
      <c r="O3217" s="2">
        <f ca="1"/>
        <v>-0.18918935427307138</v>
      </c>
      <c r="X3217" s="2">
        <f ca="1"/>
        <v>99.084472330582528</v>
      </c>
      <c r="AG3217" s="2">
        <f ca="1"/>
        <v>0.29230020026251369</v>
      </c>
      <c r="AH3217" s="2" t="str">
        <f ca="1"/>
        <v>OK</v>
      </c>
    </row>
    <row r="3218" spans="2:34">
      <c r="B3218" s="2">
        <f ca="1"/>
        <v>0.209076347892448</v>
      </c>
      <c r="O3218" s="2">
        <f ca="1"/>
        <v>1.786943097983785</v>
      </c>
      <c r="X3218" s="2">
        <f ca="1"/>
        <v>56.066382036355023</v>
      </c>
      <c r="AG3218" s="2">
        <f ca="1"/>
        <v>0.63037656553441579</v>
      </c>
      <c r="AH3218" s="2" t="str">
        <f ca="1"/>
        <v>Bad</v>
      </c>
    </row>
    <row r="3219" spans="2:34">
      <c r="B3219" s="2">
        <f ca="1"/>
        <v>0.56824701242807163</v>
      </c>
      <c r="O3219" s="2">
        <f ca="1"/>
        <v>-1.3208595113788864</v>
      </c>
      <c r="X3219" s="2">
        <f ca="1"/>
        <v>59.358507289507891</v>
      </c>
      <c r="AG3219" s="2">
        <f ca="1"/>
        <v>4.9960861072945839E-2</v>
      </c>
      <c r="AH3219" s="2" t="str">
        <f ca="1"/>
        <v>Good</v>
      </c>
    </row>
    <row r="3220" spans="2:34">
      <c r="B3220" s="2">
        <f ca="1"/>
        <v>0.13417533972336648</v>
      </c>
      <c r="O3220" s="2">
        <f ca="1"/>
        <v>-1.5859557243764124</v>
      </c>
      <c r="X3220" s="2">
        <f ca="1"/>
        <v>32.657173589350357</v>
      </c>
      <c r="AG3220" s="2">
        <f ca="1"/>
        <v>0.77013276926884022</v>
      </c>
      <c r="AH3220" s="2" t="str">
        <f ca="1"/>
        <v>Bad</v>
      </c>
    </row>
    <row r="3221" spans="2:34">
      <c r="B3221" s="2">
        <f ca="1"/>
        <v>0.79272673319348064</v>
      </c>
      <c r="O3221" s="2">
        <f ca="1"/>
        <v>0.11441638443053219</v>
      </c>
      <c r="X3221" s="2">
        <f ca="1"/>
        <v>64.199538619144292</v>
      </c>
      <c r="AG3221" s="2">
        <f ca="1"/>
        <v>0.49467322110914269</v>
      </c>
      <c r="AH3221" s="2" t="str">
        <f ca="1"/>
        <v>Bad</v>
      </c>
    </row>
    <row r="3222" spans="2:34">
      <c r="B3222" s="2">
        <f ca="1"/>
        <v>0.76232126567453529</v>
      </c>
      <c r="O3222" s="2">
        <f ca="1"/>
        <v>0.41776288844085474</v>
      </c>
      <c r="X3222" s="2">
        <f ca="1"/>
        <v>47.96344344418938</v>
      </c>
      <c r="AG3222" s="2">
        <f ca="1"/>
        <v>0.78246447870431535</v>
      </c>
      <c r="AH3222" s="2" t="str">
        <f ca="1"/>
        <v>Bad</v>
      </c>
    </row>
    <row r="3223" spans="2:34">
      <c r="B3223" s="2">
        <f ca="1"/>
        <v>0.50366902368883726</v>
      </c>
      <c r="O3223" s="2">
        <f ca="1"/>
        <v>1.8164625847542146</v>
      </c>
      <c r="X3223" s="2">
        <f ca="1"/>
        <v>55.172152025458708</v>
      </c>
      <c r="AG3223" s="2">
        <f ca="1"/>
        <v>0.97847736415302355</v>
      </c>
      <c r="AH3223" s="2" t="str">
        <f ca="1"/>
        <v>Bad</v>
      </c>
    </row>
    <row r="3224" spans="2:34">
      <c r="B3224" s="2">
        <f ca="1"/>
        <v>0.76516391459283484</v>
      </c>
      <c r="O3224" s="2">
        <f ca="1"/>
        <v>0.65836453925451888</v>
      </c>
      <c r="X3224" s="2">
        <f ca="1"/>
        <v>54.984155347679142</v>
      </c>
      <c r="AG3224" s="2">
        <f ca="1"/>
        <v>0.17666328844661439</v>
      </c>
      <c r="AH3224" s="2" t="str">
        <f ca="1"/>
        <v>OK</v>
      </c>
    </row>
    <row r="3225" spans="2:34">
      <c r="B3225" s="2">
        <f ca="1"/>
        <v>0.31546238487034683</v>
      </c>
      <c r="O3225" s="2">
        <f ca="1"/>
        <v>-2.1747708817753231E-2</v>
      </c>
      <c r="X3225" s="2">
        <f ca="1"/>
        <v>44.330042146276405</v>
      </c>
      <c r="AG3225" s="2">
        <f ca="1"/>
        <v>0.15448245591693754</v>
      </c>
      <c r="AH3225" s="2" t="str">
        <f ca="1"/>
        <v>OK</v>
      </c>
    </row>
    <row r="3226" spans="2:34">
      <c r="B3226" s="2">
        <f ca="1"/>
        <v>0.9469350388863762</v>
      </c>
      <c r="O3226" s="2">
        <f ca="1"/>
        <v>0.35292367737483049</v>
      </c>
      <c r="X3226" s="2">
        <f ca="1"/>
        <v>59.486759709829371</v>
      </c>
      <c r="AG3226" s="2">
        <f ca="1"/>
        <v>0.77759659477317733</v>
      </c>
      <c r="AH3226" s="2" t="str">
        <f ca="1"/>
        <v>Bad</v>
      </c>
    </row>
    <row r="3227" spans="2:34">
      <c r="B3227" s="2">
        <f ca="1"/>
        <v>0.20362639535415461</v>
      </c>
      <c r="O3227" s="2">
        <f ca="1"/>
        <v>1.5851080379758431</v>
      </c>
      <c r="X3227" s="2">
        <f ca="1"/>
        <v>31.774995188161416</v>
      </c>
      <c r="AG3227" s="2">
        <f ca="1"/>
        <v>6.1581866236923855E-2</v>
      </c>
      <c r="AH3227" s="2" t="str">
        <f ca="1"/>
        <v>OK</v>
      </c>
    </row>
    <row r="3228" spans="2:34">
      <c r="B3228" s="2">
        <f ca="1"/>
        <v>0.97994819958991863</v>
      </c>
      <c r="O3228" s="2">
        <f ca="1"/>
        <v>-7.3115772041906626E-2</v>
      </c>
      <c r="X3228" s="2">
        <f ca="1"/>
        <v>69.590827074276106</v>
      </c>
      <c r="AG3228" s="2">
        <f ca="1"/>
        <v>2.0047462111865144E-2</v>
      </c>
      <c r="AH3228" s="2" t="str">
        <f ca="1"/>
        <v>Good</v>
      </c>
    </row>
    <row r="3229" spans="2:34">
      <c r="B3229" s="2">
        <f ca="1"/>
        <v>9.1125898570201036E-2</v>
      </c>
      <c r="O3229" s="2">
        <f ca="1"/>
        <v>0.91672334594212446</v>
      </c>
      <c r="X3229" s="2">
        <f ca="1"/>
        <v>58.865704517450354</v>
      </c>
      <c r="AG3229" s="2">
        <f ca="1"/>
        <v>0.46979166991657806</v>
      </c>
      <c r="AH3229" s="2" t="str">
        <f ca="1"/>
        <v>Bad</v>
      </c>
    </row>
    <row r="3230" spans="2:34">
      <c r="B3230" s="2">
        <f ca="1"/>
        <v>0.84620061886544207</v>
      </c>
      <c r="O3230" s="2">
        <f ca="1"/>
        <v>-0.15999139673627993</v>
      </c>
      <c r="X3230" s="2">
        <f ca="1"/>
        <v>42.290823418211062</v>
      </c>
      <c r="AG3230" s="2">
        <f ca="1"/>
        <v>0.27840597778257825</v>
      </c>
      <c r="AH3230" s="2" t="str">
        <f ca="1"/>
        <v>OK</v>
      </c>
    </row>
    <row r="3231" spans="2:34">
      <c r="B3231" s="2">
        <f ca="1"/>
        <v>0.56432619828757113</v>
      </c>
      <c r="O3231" s="2">
        <f ca="1"/>
        <v>0.86981210043646884</v>
      </c>
      <c r="X3231" s="2">
        <f ca="1"/>
        <v>30.091560786235725</v>
      </c>
      <c r="AG3231" s="2">
        <f ca="1"/>
        <v>0.6064651230073248</v>
      </c>
      <c r="AH3231" s="2" t="str">
        <f ca="1"/>
        <v>Bad</v>
      </c>
    </row>
    <row r="3232" spans="2:34">
      <c r="B3232" s="2">
        <f ca="1"/>
        <v>0.25042056340202135</v>
      </c>
      <c r="O3232" s="2">
        <f ca="1"/>
        <v>5.0651871808670375E-2</v>
      </c>
      <c r="X3232" s="2">
        <f ca="1"/>
        <v>69.673794138125288</v>
      </c>
      <c r="AG3232" s="2">
        <f ca="1"/>
        <v>0.16766649479410689</v>
      </c>
      <c r="AH3232" s="2" t="str">
        <f ca="1"/>
        <v>OK</v>
      </c>
    </row>
    <row r="3233" spans="2:34">
      <c r="B3233" s="2">
        <f ca="1"/>
        <v>0.50823848345235434</v>
      </c>
      <c r="O3233" s="2">
        <f ca="1"/>
        <v>-0.56654037727669859</v>
      </c>
      <c r="X3233" s="2">
        <f ca="1"/>
        <v>61.163433830634403</v>
      </c>
      <c r="AG3233" s="2">
        <f ca="1"/>
        <v>0.65805265307400185</v>
      </c>
      <c r="AH3233" s="2" t="str">
        <f ca="1"/>
        <v>Bad</v>
      </c>
    </row>
    <row r="3234" spans="2:34">
      <c r="B3234" s="2">
        <f ca="1"/>
        <v>0.32343653470745592</v>
      </c>
      <c r="O3234" s="2">
        <f ca="1"/>
        <v>-0.5179129646574735</v>
      </c>
      <c r="X3234" s="2">
        <f ca="1"/>
        <v>29.68087189642635</v>
      </c>
      <c r="AG3234" s="2">
        <f ca="1"/>
        <v>0.35070611321986167</v>
      </c>
      <c r="AH3234" s="2" t="str">
        <f ca="1"/>
        <v>OK</v>
      </c>
    </row>
    <row r="3235" spans="2:34">
      <c r="B3235" s="2">
        <f ca="1"/>
        <v>0.38683252620917341</v>
      </c>
      <c r="O3235" s="2">
        <f ca="1"/>
        <v>-0.44864157126501436</v>
      </c>
      <c r="X3235" s="2">
        <f ca="1"/>
        <v>38.28206283077602</v>
      </c>
      <c r="AG3235" s="2">
        <f ca="1"/>
        <v>0.89705120530179117</v>
      </c>
      <c r="AH3235" s="2" t="str">
        <f ca="1"/>
        <v>Bad</v>
      </c>
    </row>
    <row r="3236" spans="2:34">
      <c r="B3236" s="2">
        <f ca="1"/>
        <v>0.4190149601743105</v>
      </c>
      <c r="O3236" s="2">
        <f ca="1"/>
        <v>-0.59245932828846237</v>
      </c>
      <c r="X3236" s="2">
        <f ca="1"/>
        <v>66.159721388930464</v>
      </c>
      <c r="AG3236" s="2">
        <f ca="1"/>
        <v>0.62329945677580212</v>
      </c>
      <c r="AH3236" s="2" t="str">
        <f ca="1"/>
        <v>Bad</v>
      </c>
    </row>
    <row r="3237" spans="2:34">
      <c r="B3237" s="2">
        <f ca="1"/>
        <v>0.61096707858128663</v>
      </c>
      <c r="O3237" s="2">
        <f ca="1"/>
        <v>-0.49523760456757682</v>
      </c>
      <c r="X3237" s="2">
        <f ca="1"/>
        <v>40.608374673244001</v>
      </c>
      <c r="AG3237" s="2">
        <f ca="1"/>
        <v>0.25475788082798712</v>
      </c>
      <c r="AH3237" s="2" t="str">
        <f ca="1"/>
        <v>OK</v>
      </c>
    </row>
    <row r="3238" spans="2:34">
      <c r="B3238" s="2">
        <f ca="1"/>
        <v>9.7591144201616409E-3</v>
      </c>
      <c r="O3238" s="2">
        <f ca="1"/>
        <v>0.74032810480758326</v>
      </c>
      <c r="X3238" s="2">
        <f ca="1"/>
        <v>70.687582152216038</v>
      </c>
      <c r="AG3238" s="2">
        <f ca="1"/>
        <v>1.5618658064045388E-2</v>
      </c>
      <c r="AH3238" s="2" t="str">
        <f ca="1"/>
        <v>Good</v>
      </c>
    </row>
    <row r="3239" spans="2:34">
      <c r="B3239" s="2">
        <f ca="1"/>
        <v>0.62354047716664995</v>
      </c>
      <c r="O3239" s="2">
        <f ca="1"/>
        <v>1.130896036889655</v>
      </c>
      <c r="X3239" s="2">
        <f ca="1"/>
        <v>30.905337581654333</v>
      </c>
      <c r="AG3239" s="2">
        <f ca="1"/>
        <v>0.69466373025843309</v>
      </c>
      <c r="AH3239" s="2" t="str">
        <f ca="1"/>
        <v>Bad</v>
      </c>
    </row>
    <row r="3240" spans="2:34">
      <c r="B3240" s="2">
        <f ca="1"/>
        <v>0.27706030075130461</v>
      </c>
      <c r="O3240" s="2">
        <f ca="1"/>
        <v>-0.45835090229160602</v>
      </c>
      <c r="X3240" s="2">
        <f ca="1"/>
        <v>36.863532203979197</v>
      </c>
      <c r="AG3240" s="2">
        <f ca="1"/>
        <v>0.729310267176694</v>
      </c>
      <c r="AH3240" s="2" t="str">
        <f ca="1"/>
        <v>Bad</v>
      </c>
    </row>
    <row r="3241" spans="2:34">
      <c r="B3241" s="2">
        <f ca="1"/>
        <v>0.79548360117848826</v>
      </c>
      <c r="O3241" s="2">
        <f ca="1"/>
        <v>0.53893163963307233</v>
      </c>
      <c r="X3241" s="2">
        <f ca="1"/>
        <v>40.733714842287753</v>
      </c>
      <c r="AG3241" s="2">
        <f ca="1"/>
        <v>0.46648090577907797</v>
      </c>
      <c r="AH3241" s="2" t="str">
        <f ca="1"/>
        <v>Bad</v>
      </c>
    </row>
    <row r="3242" spans="2:34">
      <c r="B3242" s="2">
        <f ca="1"/>
        <v>0.38448193552535659</v>
      </c>
      <c r="O3242" s="2">
        <f ca="1"/>
        <v>0.12185233371824526</v>
      </c>
      <c r="X3242" s="2">
        <f ca="1"/>
        <v>55.935364819714259</v>
      </c>
      <c r="AG3242" s="2">
        <f ca="1"/>
        <v>0.81791489475828083</v>
      </c>
      <c r="AH3242" s="2" t="str">
        <f ca="1"/>
        <v>Bad</v>
      </c>
    </row>
    <row r="3243" spans="2:34">
      <c r="B3243" s="2">
        <f ca="1"/>
        <v>0.85465471202454357</v>
      </c>
      <c r="O3243" s="2">
        <f ca="1"/>
        <v>1.2434952129983075</v>
      </c>
      <c r="X3243" s="2">
        <f ca="1"/>
        <v>56.433962594937839</v>
      </c>
      <c r="AG3243" s="2">
        <f ca="1"/>
        <v>0.21488365756723993</v>
      </c>
      <c r="AH3243" s="2" t="str">
        <f ca="1"/>
        <v>OK</v>
      </c>
    </row>
    <row r="3244" spans="2:34">
      <c r="B3244" s="2">
        <f ca="1"/>
        <v>0.42095179203308519</v>
      </c>
      <c r="O3244" s="2">
        <f ca="1"/>
        <v>-0.3595530083464849</v>
      </c>
      <c r="X3244" s="2">
        <f ca="1"/>
        <v>45.95016518001394</v>
      </c>
      <c r="AG3244" s="2">
        <f ca="1"/>
        <v>0.8650617643786207</v>
      </c>
      <c r="AH3244" s="2" t="str">
        <f ca="1"/>
        <v>Bad</v>
      </c>
    </row>
    <row r="3245" spans="2:34">
      <c r="B3245" s="2">
        <f ca="1"/>
        <v>0.51958741105076389</v>
      </c>
      <c r="O3245" s="2">
        <f ca="1"/>
        <v>0.32160437716398937</v>
      </c>
      <c r="X3245" s="2">
        <f ca="1"/>
        <v>54.387184984203017</v>
      </c>
      <c r="AG3245" s="2">
        <f ca="1"/>
        <v>0.2660585720548434</v>
      </c>
      <c r="AH3245" s="2" t="str">
        <f ca="1"/>
        <v>OK</v>
      </c>
    </row>
    <row r="3246" spans="2:34">
      <c r="B3246" s="2">
        <f ca="1"/>
        <v>0.66572812940212356</v>
      </c>
      <c r="O3246" s="2">
        <f ca="1"/>
        <v>-1.1229778053873687</v>
      </c>
      <c r="X3246" s="2">
        <f ca="1"/>
        <v>48.919823181977826</v>
      </c>
      <c r="AG3246" s="2">
        <f ca="1"/>
        <v>0.57943852031775012</v>
      </c>
      <c r="AH3246" s="2" t="str">
        <f ca="1"/>
        <v>Bad</v>
      </c>
    </row>
    <row r="3247" spans="2:34">
      <c r="B3247" s="2">
        <f ca="1"/>
        <v>0.63810570198844085</v>
      </c>
      <c r="O3247" s="2">
        <f ca="1"/>
        <v>-0.27190665195038627</v>
      </c>
      <c r="X3247" s="2">
        <f ca="1"/>
        <v>31.554347027220114</v>
      </c>
      <c r="AG3247" s="2">
        <f ca="1"/>
        <v>0.38073235878719269</v>
      </c>
      <c r="AH3247" s="2" t="str">
        <f ca="1"/>
        <v>OK</v>
      </c>
    </row>
    <row r="3248" spans="2:34">
      <c r="B3248" s="2">
        <f ca="1"/>
        <v>0.47478645066653224</v>
      </c>
      <c r="O3248" s="2">
        <f ca="1"/>
        <v>-1.527378613879292</v>
      </c>
      <c r="X3248" s="2">
        <f ca="1"/>
        <v>87.549521946748058</v>
      </c>
      <c r="AG3248" s="2">
        <f ca="1"/>
        <v>0.59576464351369052</v>
      </c>
      <c r="AH3248" s="2" t="str">
        <f ca="1"/>
        <v>Bad</v>
      </c>
    </row>
    <row r="3249" spans="2:34">
      <c r="B3249" s="2">
        <f ca="1"/>
        <v>0.88359843405922689</v>
      </c>
      <c r="O3249" s="2">
        <f ca="1"/>
        <v>1.1634319672796423</v>
      </c>
      <c r="X3249" s="2">
        <f ca="1"/>
        <v>60.041821319222919</v>
      </c>
      <c r="AG3249" s="2">
        <f ca="1"/>
        <v>0.53940894793592564</v>
      </c>
      <c r="AH3249" s="2" t="str">
        <f ca="1"/>
        <v>Bad</v>
      </c>
    </row>
    <row r="3250" spans="2:34">
      <c r="B3250" s="2">
        <f ca="1"/>
        <v>1.3141590475362452E-2</v>
      </c>
      <c r="O3250" s="2">
        <f ca="1"/>
        <v>-0.16213494312157137</v>
      </c>
      <c r="X3250" s="2">
        <f ca="1"/>
        <v>49.721120627757188</v>
      </c>
      <c r="AG3250" s="2">
        <f ca="1"/>
        <v>0.56030328593058254</v>
      </c>
      <c r="AH3250" s="2" t="str">
        <f ca="1"/>
        <v>Bad</v>
      </c>
    </row>
    <row r="3251" spans="2:34">
      <c r="B3251" s="2">
        <f ca="1"/>
        <v>0.7856608292486833</v>
      </c>
      <c r="O3251" s="2">
        <f ca="1"/>
        <v>1.0659495377835173</v>
      </c>
      <c r="X3251" s="2">
        <f ca="1"/>
        <v>54.693881526367569</v>
      </c>
      <c r="AG3251" s="2">
        <f ca="1"/>
        <v>0.46894207682050659</v>
      </c>
      <c r="AH3251" s="2" t="str">
        <f ca="1"/>
        <v>Bad</v>
      </c>
    </row>
    <row r="3252" spans="2:34">
      <c r="B3252" s="2">
        <f ca="1"/>
        <v>0.27648253962384683</v>
      </c>
      <c r="O3252" s="2">
        <f ca="1"/>
        <v>0.2381336809526465</v>
      </c>
      <c r="X3252" s="2">
        <f ca="1"/>
        <v>74.328243237290238</v>
      </c>
      <c r="AG3252" s="2">
        <f ca="1"/>
        <v>0.56801348710792565</v>
      </c>
      <c r="AH3252" s="2" t="str">
        <f ca="1"/>
        <v>Bad</v>
      </c>
    </row>
    <row r="3253" spans="2:34">
      <c r="B3253" s="2">
        <f ca="1"/>
        <v>0.33108465166694967</v>
      </c>
      <c r="O3253" s="2">
        <f ca="1"/>
        <v>0.70628612333490692</v>
      </c>
      <c r="X3253" s="2">
        <f ca="1"/>
        <v>43.81127872446914</v>
      </c>
      <c r="AG3253" s="2">
        <f ca="1"/>
        <v>0.3901310712175754</v>
      </c>
      <c r="AH3253" s="2" t="str">
        <f ca="1"/>
        <v>OK</v>
      </c>
    </row>
    <row r="3254" spans="2:34">
      <c r="B3254" s="2">
        <f ca="1"/>
        <v>0.25292509075292324</v>
      </c>
      <c r="O3254" s="2">
        <f ca="1"/>
        <v>0.34777735392731696</v>
      </c>
      <c r="X3254" s="2">
        <f ca="1"/>
        <v>59.214155010253641</v>
      </c>
      <c r="AG3254" s="2">
        <f ca="1"/>
        <v>0.42309325048153923</v>
      </c>
      <c r="AH3254" s="2" t="str">
        <f ca="1"/>
        <v>Bad</v>
      </c>
    </row>
    <row r="3255" spans="2:34">
      <c r="B3255" s="2">
        <f ca="1"/>
        <v>0.52552518942169768</v>
      </c>
      <c r="O3255" s="2">
        <f ca="1"/>
        <v>-0.5728275127218323</v>
      </c>
      <c r="X3255" s="2">
        <f ca="1"/>
        <v>35.571103044786071</v>
      </c>
      <c r="AG3255" s="2">
        <f ca="1"/>
        <v>0.39004810389813072</v>
      </c>
      <c r="AH3255" s="2" t="str">
        <f ca="1"/>
        <v>OK</v>
      </c>
    </row>
    <row r="3256" spans="2:34">
      <c r="B3256" s="2">
        <f ca="1"/>
        <v>0.58414461416766383</v>
      </c>
      <c r="O3256" s="2">
        <f ca="1"/>
        <v>0.26837655166224683</v>
      </c>
      <c r="X3256" s="2">
        <f ca="1"/>
        <v>40.316127458115822</v>
      </c>
      <c r="AG3256" s="2">
        <f ca="1"/>
        <v>0.10331454449547017</v>
      </c>
      <c r="AH3256" s="2" t="str">
        <f ca="1"/>
        <v>OK</v>
      </c>
    </row>
    <row r="3257" spans="2:34">
      <c r="B3257" s="2">
        <f ca="1"/>
        <v>5.0398691573650289E-2</v>
      </c>
      <c r="O3257" s="2">
        <f ca="1"/>
        <v>-0.2600087916966583</v>
      </c>
      <c r="X3257" s="2">
        <f ca="1"/>
        <v>26.309853249428777</v>
      </c>
      <c r="AG3257" s="2">
        <f ca="1"/>
        <v>0.72272952901838838</v>
      </c>
      <c r="AH3257" s="2" t="str">
        <f ca="1"/>
        <v>Bad</v>
      </c>
    </row>
    <row r="3258" spans="2:34">
      <c r="B3258" s="2">
        <f ca="1"/>
        <v>0.92250929395911307</v>
      </c>
      <c r="O3258" s="2">
        <f ca="1"/>
        <v>0.59185659295234672</v>
      </c>
      <c r="X3258" s="2">
        <f ca="1"/>
        <v>66.776832917163375</v>
      </c>
      <c r="AG3258" s="2">
        <f ca="1"/>
        <v>0.38857659214276241</v>
      </c>
      <c r="AH3258" s="2" t="str">
        <f ca="1"/>
        <v>OK</v>
      </c>
    </row>
    <row r="3259" spans="2:34">
      <c r="B3259" s="2">
        <f ca="1"/>
        <v>6.2228844601232014E-2</v>
      </c>
      <c r="O3259" s="2">
        <f ca="1"/>
        <v>-0.70169849513007354</v>
      </c>
      <c r="X3259" s="2">
        <f ca="1"/>
        <v>51.340643744958392</v>
      </c>
      <c r="AG3259" s="2">
        <f ca="1"/>
        <v>0.4682868743332389</v>
      </c>
      <c r="AH3259" s="2" t="str">
        <f ca="1"/>
        <v>Bad</v>
      </c>
    </row>
    <row r="3260" spans="2:34">
      <c r="B3260" s="2">
        <f ca="1"/>
        <v>0.55187800306480228</v>
      </c>
      <c r="O3260" s="2">
        <f ca="1"/>
        <v>1.0135730802239695</v>
      </c>
      <c r="X3260" s="2">
        <f ca="1"/>
        <v>22.09550910143323</v>
      </c>
      <c r="AG3260" s="2">
        <f ca="1"/>
        <v>0.20964212220524181</v>
      </c>
      <c r="AH3260" s="2" t="str">
        <f ca="1"/>
        <v>OK</v>
      </c>
    </row>
    <row r="3261" spans="2:34">
      <c r="B3261" s="2">
        <f ca="1"/>
        <v>0.15360355769058298</v>
      </c>
      <c r="O3261" s="2">
        <f ca="1"/>
        <v>-1.7215182772369706</v>
      </c>
      <c r="X3261" s="2">
        <f ca="1"/>
        <v>35.464566301453367</v>
      </c>
      <c r="AG3261" s="2">
        <f ca="1"/>
        <v>0.2404655003399141</v>
      </c>
      <c r="AH3261" s="2" t="str">
        <f ca="1"/>
        <v>OK</v>
      </c>
    </row>
    <row r="3262" spans="2:34">
      <c r="B3262" s="2">
        <f ca="1"/>
        <v>0.26877467098983154</v>
      </c>
      <c r="O3262" s="2">
        <f ca="1"/>
        <v>0.58644982600179607</v>
      </c>
      <c r="X3262" s="2">
        <f ca="1"/>
        <v>44.18261574252049</v>
      </c>
      <c r="AG3262" s="2">
        <f ca="1"/>
        <v>0.89269617384215483</v>
      </c>
      <c r="AH3262" s="2" t="str">
        <f ca="1"/>
        <v>Bad</v>
      </c>
    </row>
    <row r="3263" spans="2:34">
      <c r="B3263" s="2">
        <f ca="1"/>
        <v>0.74186975402341182</v>
      </c>
      <c r="O3263" s="2">
        <f ca="1"/>
        <v>-1.0556511451640076</v>
      </c>
      <c r="X3263" s="2">
        <f ca="1"/>
        <v>48.027875323988752</v>
      </c>
      <c r="AG3263" s="2">
        <f ca="1"/>
        <v>0.68084490366439376</v>
      </c>
      <c r="AH3263" s="2" t="str">
        <f ca="1"/>
        <v>Bad</v>
      </c>
    </row>
    <row r="3264" spans="2:34">
      <c r="B3264" s="2">
        <f ca="1"/>
        <v>0.24016117982919716</v>
      </c>
      <c r="O3264" s="2">
        <f ca="1"/>
        <v>8.2994832713418079E-2</v>
      </c>
      <c r="X3264" s="2">
        <f ca="1"/>
        <v>55.223795213058111</v>
      </c>
      <c r="AG3264" s="2">
        <f ca="1"/>
        <v>0.10787165708071367</v>
      </c>
      <c r="AH3264" s="2" t="str">
        <f ca="1"/>
        <v>OK</v>
      </c>
    </row>
    <row r="3265" spans="2:34">
      <c r="B3265" s="2">
        <f ca="1"/>
        <v>0.9713449245429826</v>
      </c>
      <c r="O3265" s="2">
        <f ca="1"/>
        <v>-1.4584460266807602</v>
      </c>
      <c r="X3265" s="2">
        <f ca="1"/>
        <v>60.383825413781445</v>
      </c>
      <c r="AG3265" s="2">
        <f ca="1"/>
        <v>0.70128502116435754</v>
      </c>
      <c r="AH3265" s="2" t="str">
        <f ca="1"/>
        <v>Bad</v>
      </c>
    </row>
    <row r="3266" spans="2:34">
      <c r="B3266" s="2">
        <f ca="1"/>
        <v>0.26220418640857757</v>
      </c>
      <c r="O3266" s="2">
        <f ca="1"/>
        <v>0.52911812886656995</v>
      </c>
      <c r="X3266" s="2">
        <f ca="1"/>
        <v>58.130375146869248</v>
      </c>
      <c r="AG3266" s="2">
        <f ca="1"/>
        <v>6.7625141702594593E-2</v>
      </c>
      <c r="AH3266" s="2" t="str">
        <f ca="1"/>
        <v>OK</v>
      </c>
    </row>
    <row r="3267" spans="2:34">
      <c r="B3267" s="2">
        <f ca="1"/>
        <v>0.32544977036216305</v>
      </c>
      <c r="O3267" s="2">
        <f ca="1"/>
        <v>3.0853145165187881</v>
      </c>
      <c r="X3267" s="2">
        <f ca="1"/>
        <v>41.72782965448328</v>
      </c>
      <c r="AG3267" s="2">
        <f ca="1"/>
        <v>8.8090982318618005E-2</v>
      </c>
      <c r="AH3267" s="2" t="str">
        <f ca="1"/>
        <v>OK</v>
      </c>
    </row>
    <row r="3268" spans="2:34">
      <c r="B3268" s="2">
        <f ca="1"/>
        <v>0.75144954636138106</v>
      </c>
      <c r="O3268" s="2">
        <f ca="1"/>
        <v>-1.8147420329364865</v>
      </c>
      <c r="X3268" s="2">
        <f ca="1"/>
        <v>52.769836523735414</v>
      </c>
      <c r="AG3268" s="2">
        <f ca="1"/>
        <v>0.22691835533655902</v>
      </c>
      <c r="AH3268" s="2" t="str">
        <f ca="1"/>
        <v>OK</v>
      </c>
    </row>
    <row r="3269" spans="2:34">
      <c r="B3269" s="2">
        <f ca="1"/>
        <v>0.60765049464096732</v>
      </c>
      <c r="O3269" s="2">
        <f ca="1"/>
        <v>1.479656097697577</v>
      </c>
      <c r="X3269" s="2">
        <f ca="1"/>
        <v>62.724834037812407</v>
      </c>
      <c r="AG3269" s="2">
        <f ca="1"/>
        <v>0.16777997255024157</v>
      </c>
      <c r="AH3269" s="2" t="str">
        <f ca="1"/>
        <v>OK</v>
      </c>
    </row>
    <row r="3270" spans="2:34">
      <c r="B3270" s="2">
        <f ca="1"/>
        <v>0.77675210963988239</v>
      </c>
      <c r="O3270" s="2">
        <f ca="1"/>
        <v>-0.40172269882460171</v>
      </c>
      <c r="X3270" s="2">
        <f ca="1"/>
        <v>49.202891956341986</v>
      </c>
      <c r="AG3270" s="2">
        <f ca="1"/>
        <v>0.41232101203624372</v>
      </c>
      <c r="AH3270" s="2" t="str">
        <f ca="1"/>
        <v>Bad</v>
      </c>
    </row>
    <row r="3271" spans="2:34">
      <c r="B3271" s="2">
        <f ca="1"/>
        <v>0.63537424812752996</v>
      </c>
      <c r="O3271" s="2">
        <f ca="1"/>
        <v>0.41238872304297547</v>
      </c>
      <c r="X3271" s="2">
        <f ca="1"/>
        <v>34.025784333018073</v>
      </c>
      <c r="AG3271" s="2">
        <f ca="1"/>
        <v>0.17799772258907298</v>
      </c>
      <c r="AH3271" s="2" t="str">
        <f ca="1"/>
        <v>OK</v>
      </c>
    </row>
    <row r="3272" spans="2:34">
      <c r="B3272" s="2">
        <f ca="1"/>
        <v>0.54554999950843897</v>
      </c>
      <c r="O3272" s="2">
        <f ca="1"/>
        <v>0.34845364904079806</v>
      </c>
      <c r="X3272" s="2">
        <f ca="1"/>
        <v>31.868381162036243</v>
      </c>
      <c r="AG3272" s="2">
        <f ca="1"/>
        <v>0.14337565588885259</v>
      </c>
      <c r="AH3272" s="2" t="str">
        <f ca="1"/>
        <v>OK</v>
      </c>
    </row>
    <row r="3273" spans="2:34">
      <c r="B3273" s="2">
        <f ca="1"/>
        <v>0.11581746671344795</v>
      </c>
      <c r="O3273" s="2">
        <f ca="1"/>
        <v>2.8921289582672358</v>
      </c>
      <c r="X3273" s="2">
        <f ca="1"/>
        <v>80.41514190382199</v>
      </c>
      <c r="AG3273" s="2">
        <f ca="1"/>
        <v>0.31101486696648539</v>
      </c>
      <c r="AH3273" s="2" t="str">
        <f ca="1"/>
        <v>OK</v>
      </c>
    </row>
    <row r="3274" spans="2:34">
      <c r="B3274" s="2">
        <f ca="1"/>
        <v>0.59216033052962924</v>
      </c>
      <c r="O3274" s="2">
        <f ca="1"/>
        <v>-0.29746650858387369</v>
      </c>
      <c r="X3274" s="2">
        <f ca="1"/>
        <v>43.521170899295775</v>
      </c>
      <c r="AG3274" s="2">
        <f ca="1"/>
        <v>0.16496104138304601</v>
      </c>
      <c r="AH3274" s="2" t="str">
        <f ca="1"/>
        <v>OK</v>
      </c>
    </row>
    <row r="3275" spans="2:34">
      <c r="B3275" s="2">
        <f ca="1"/>
        <v>0.12652895248287455</v>
      </c>
      <c r="O3275" s="2">
        <f ca="1"/>
        <v>1.1135177224004189</v>
      </c>
      <c r="X3275" s="2">
        <f ca="1"/>
        <v>45.595062179818754</v>
      </c>
      <c r="AG3275" s="2">
        <f ca="1"/>
        <v>0.89948866668115324</v>
      </c>
      <c r="AH3275" s="2" t="str">
        <f ca="1"/>
        <v>Bad</v>
      </c>
    </row>
    <row r="3276" spans="2:34">
      <c r="B3276" s="2">
        <f ca="1"/>
        <v>0.61620491041982484</v>
      </c>
      <c r="O3276" s="2">
        <f ca="1"/>
        <v>-0.79716473264280152</v>
      </c>
      <c r="X3276" s="2">
        <f ca="1"/>
        <v>61.77135031991115</v>
      </c>
      <c r="AG3276" s="2">
        <f ca="1"/>
        <v>0.64773070517720632</v>
      </c>
      <c r="AH3276" s="2" t="str">
        <f ca="1"/>
        <v>Bad</v>
      </c>
    </row>
    <row r="3277" spans="2:34">
      <c r="B3277" s="2">
        <f ca="1"/>
        <v>0.92928303395226086</v>
      </c>
      <c r="O3277" s="2">
        <f ca="1"/>
        <v>0.44760141604013221</v>
      </c>
      <c r="X3277" s="2">
        <f ca="1"/>
        <v>37.803195064221363</v>
      </c>
      <c r="AG3277" s="2">
        <f ca="1"/>
        <v>0.55475916091561772</v>
      </c>
      <c r="AH3277" s="2" t="str">
        <f ca="1"/>
        <v>Bad</v>
      </c>
    </row>
    <row r="3278" spans="2:34">
      <c r="B3278" s="2">
        <f ca="1"/>
        <v>6.9954788210380814E-2</v>
      </c>
      <c r="O3278" s="2">
        <f ca="1"/>
        <v>-1.4295919095675511</v>
      </c>
      <c r="X3278" s="2">
        <f ca="1"/>
        <v>66.768171105983185</v>
      </c>
      <c r="AG3278" s="2">
        <f ca="1"/>
        <v>0.11501223771770608</v>
      </c>
      <c r="AH3278" s="2" t="str">
        <f ca="1"/>
        <v>OK</v>
      </c>
    </row>
    <row r="3279" spans="2:34">
      <c r="B3279" s="2">
        <f ca="1"/>
        <v>0.93780697404215196</v>
      </c>
      <c r="O3279" s="2">
        <f ca="1"/>
        <v>-0.27800759606396003</v>
      </c>
      <c r="X3279" s="2">
        <f ca="1"/>
        <v>74.06467646090482</v>
      </c>
      <c r="AG3279" s="2">
        <f ca="1"/>
        <v>0.66121779898765354</v>
      </c>
      <c r="AH3279" s="2" t="str">
        <f ca="1"/>
        <v>Bad</v>
      </c>
    </row>
    <row r="3280" spans="2:34">
      <c r="B3280" s="2">
        <f ca="1"/>
        <v>0.79370246523317922</v>
      </c>
      <c r="O3280" s="2">
        <f ca="1"/>
        <v>0.69188613104051022</v>
      </c>
      <c r="X3280" s="2">
        <f ca="1"/>
        <v>17.388429708499839</v>
      </c>
      <c r="AG3280" s="2">
        <f ca="1"/>
        <v>0.12777354665420448</v>
      </c>
      <c r="AH3280" s="2" t="str">
        <f ca="1"/>
        <v>OK</v>
      </c>
    </row>
    <row r="3281" spans="2:34">
      <c r="B3281" s="2">
        <f ca="1"/>
        <v>0.104667835885627</v>
      </c>
      <c r="O3281" s="2">
        <f ca="1"/>
        <v>-0.49583479255400981</v>
      </c>
      <c r="X3281" s="2">
        <f ca="1"/>
        <v>47.751231494513263</v>
      </c>
      <c r="AG3281" s="2">
        <f ca="1"/>
        <v>0.29087027216034889</v>
      </c>
      <c r="AH3281" s="2" t="str">
        <f ca="1"/>
        <v>OK</v>
      </c>
    </row>
    <row r="3282" spans="2:34">
      <c r="B3282" s="2">
        <f ca="1"/>
        <v>0.2271116334100256</v>
      </c>
      <c r="O3282" s="2">
        <f ca="1"/>
        <v>0.51539835298749848</v>
      </c>
      <c r="X3282" s="2">
        <f ca="1"/>
        <v>47.794952278903089</v>
      </c>
      <c r="AG3282" s="2">
        <f ca="1"/>
        <v>0.65464432330324085</v>
      </c>
      <c r="AH3282" s="2" t="str">
        <f ca="1"/>
        <v>Bad</v>
      </c>
    </row>
    <row r="3283" spans="2:34">
      <c r="B3283" s="2">
        <f ca="1"/>
        <v>0.38619202249461426</v>
      </c>
      <c r="O3283" s="2">
        <f ca="1"/>
        <v>-1.8829123312565801</v>
      </c>
      <c r="X3283" s="2">
        <f ca="1"/>
        <v>43.557850768706459</v>
      </c>
      <c r="AG3283" s="2">
        <f ca="1"/>
        <v>0.24267113941498208</v>
      </c>
      <c r="AH3283" s="2" t="str">
        <f ca="1"/>
        <v>OK</v>
      </c>
    </row>
    <row r="3284" spans="2:34">
      <c r="B3284" s="2">
        <f ca="1"/>
        <v>6.8552488117590293E-3</v>
      </c>
      <c r="O3284" s="2">
        <f ca="1"/>
        <v>-0.63659953783329781</v>
      </c>
      <c r="X3284" s="2">
        <f ca="1"/>
        <v>27.771537818857041</v>
      </c>
      <c r="AG3284" s="2">
        <f ca="1"/>
        <v>0.80330683954660898</v>
      </c>
      <c r="AH3284" s="2" t="str">
        <f ca="1"/>
        <v>Bad</v>
      </c>
    </row>
    <row r="3285" spans="2:34">
      <c r="B3285" s="2">
        <f ca="1"/>
        <v>0.22587851035911677</v>
      </c>
      <c r="O3285" s="2">
        <f ca="1"/>
        <v>1.5969447474879468</v>
      </c>
      <c r="X3285" s="2">
        <f ca="1"/>
        <v>62.157956960378336</v>
      </c>
      <c r="AG3285" s="2">
        <f ca="1"/>
        <v>0.20443476367594404</v>
      </c>
      <c r="AH3285" s="2" t="str">
        <f ca="1"/>
        <v>OK</v>
      </c>
    </row>
    <row r="3286" spans="2:34">
      <c r="B3286" s="2">
        <f ca="1"/>
        <v>0.93589939830323821</v>
      </c>
      <c r="O3286" s="2">
        <f ca="1"/>
        <v>0.81000113941662699</v>
      </c>
      <c r="X3286" s="2">
        <f ca="1"/>
        <v>86.251849159040844</v>
      </c>
      <c r="AG3286" s="2">
        <f ca="1"/>
        <v>0.7097827795824081</v>
      </c>
      <c r="AH3286" s="2" t="str">
        <f ca="1"/>
        <v>Bad</v>
      </c>
    </row>
    <row r="3287" spans="2:34">
      <c r="B3287" s="2">
        <f ca="1"/>
        <v>0.95399184668170212</v>
      </c>
      <c r="O3287" s="2">
        <f ca="1"/>
        <v>-0.25349257125233715</v>
      </c>
      <c r="X3287" s="2">
        <f ca="1"/>
        <v>43.605243019005314</v>
      </c>
      <c r="AG3287" s="2">
        <f ca="1"/>
        <v>0.51566625712583858</v>
      </c>
      <c r="AH3287" s="2" t="str">
        <f ca="1"/>
        <v>Bad</v>
      </c>
    </row>
    <row r="3288" spans="2:34">
      <c r="B3288" s="2">
        <f ca="1"/>
        <v>0.46440207861956884</v>
      </c>
      <c r="O3288" s="2">
        <f ca="1"/>
        <v>-1.0004836099584917</v>
      </c>
      <c r="X3288" s="2">
        <f ca="1"/>
        <v>60.83039676880469</v>
      </c>
      <c r="AG3288" s="2">
        <f ca="1"/>
        <v>0.66484232893316619</v>
      </c>
      <c r="AH3288" s="2" t="str">
        <f ca="1"/>
        <v>Bad</v>
      </c>
    </row>
    <row r="3289" spans="2:34">
      <c r="B3289" s="2">
        <f ca="1"/>
        <v>0.49501041093501863</v>
      </c>
      <c r="O3289" s="2">
        <f ca="1"/>
        <v>1.5251434341372727</v>
      </c>
      <c r="X3289" s="2">
        <f ca="1"/>
        <v>42.99988134646631</v>
      </c>
      <c r="AG3289" s="2">
        <f ca="1"/>
        <v>0.9292820347883346</v>
      </c>
      <c r="AH3289" s="2" t="str">
        <f ca="1"/>
        <v>Bad</v>
      </c>
    </row>
    <row r="3290" spans="2:34">
      <c r="B3290" s="2">
        <f ca="1"/>
        <v>0.17286449723849406</v>
      </c>
      <c r="O3290" s="2">
        <f ca="1"/>
        <v>2.2976656397268322</v>
      </c>
      <c r="X3290" s="2">
        <f ca="1"/>
        <v>57.211343554909213</v>
      </c>
      <c r="AG3290" s="2">
        <f ca="1"/>
        <v>0.53309593943325662</v>
      </c>
      <c r="AH3290" s="2" t="str">
        <f ca="1"/>
        <v>Bad</v>
      </c>
    </row>
    <row r="3291" spans="2:34">
      <c r="B3291" s="2">
        <f ca="1"/>
        <v>0.57090750878030727</v>
      </c>
      <c r="O3291" s="2">
        <f ca="1"/>
        <v>1.9793247331661661</v>
      </c>
      <c r="X3291" s="2">
        <f ca="1"/>
        <v>34.79757846917078</v>
      </c>
      <c r="AG3291" s="2">
        <f ca="1"/>
        <v>0.98926177878805088</v>
      </c>
      <c r="AH3291" s="2" t="str">
        <f ca="1"/>
        <v>Bad</v>
      </c>
    </row>
    <row r="3292" spans="2:34">
      <c r="B3292" s="2">
        <f ca="1"/>
        <v>0.53551341086512361</v>
      </c>
      <c r="O3292" s="2">
        <f ca="1"/>
        <v>0.79689967894020652</v>
      </c>
      <c r="X3292" s="2">
        <f ca="1"/>
        <v>32.454097794312361</v>
      </c>
      <c r="AG3292" s="2">
        <f ca="1"/>
        <v>0.2043224635307701</v>
      </c>
      <c r="AH3292" s="2" t="str">
        <f ca="1"/>
        <v>OK</v>
      </c>
    </row>
    <row r="3293" spans="2:34">
      <c r="B3293" s="2">
        <f ca="1"/>
        <v>0.85381866545366192</v>
      </c>
      <c r="O3293" s="2">
        <f ca="1"/>
        <v>0.9935876941069669</v>
      </c>
      <c r="X3293" s="2">
        <f ca="1"/>
        <v>73.675090649785545</v>
      </c>
      <c r="AG3293" s="2">
        <f ca="1"/>
        <v>0.74442707793680563</v>
      </c>
      <c r="AH3293" s="2" t="str">
        <f ca="1"/>
        <v>Bad</v>
      </c>
    </row>
    <row r="3294" spans="2:34">
      <c r="B3294" s="2">
        <f ca="1"/>
        <v>0.34449388880078646</v>
      </c>
      <c r="O3294" s="2">
        <f ca="1"/>
        <v>1.2194719609779494</v>
      </c>
      <c r="X3294" s="2">
        <f ca="1"/>
        <v>50.655944576355978</v>
      </c>
      <c r="AG3294" s="2">
        <f ca="1"/>
        <v>4.4550593523306814E-2</v>
      </c>
      <c r="AH3294" s="2" t="str">
        <f ca="1"/>
        <v>Good</v>
      </c>
    </row>
    <row r="3295" spans="2:34">
      <c r="B3295" s="2">
        <f ca="1"/>
        <v>0.24137895874173765</v>
      </c>
      <c r="O3295" s="2">
        <f ca="1"/>
        <v>-0.96849234960739861</v>
      </c>
      <c r="X3295" s="2">
        <f ca="1"/>
        <v>49.857064314109181</v>
      </c>
      <c r="AG3295" s="2">
        <f ca="1"/>
        <v>0.31168513841060208</v>
      </c>
      <c r="AH3295" s="2" t="str">
        <f ca="1"/>
        <v>OK</v>
      </c>
    </row>
    <row r="3296" spans="2:34">
      <c r="B3296" s="2">
        <f ca="1"/>
        <v>6.282127397757864E-2</v>
      </c>
      <c r="O3296" s="2">
        <f ca="1"/>
        <v>-0.16529711973380071</v>
      </c>
      <c r="X3296" s="2">
        <f ca="1"/>
        <v>52.765629043178251</v>
      </c>
      <c r="AG3296" s="2">
        <f ca="1"/>
        <v>0.12858946615293054</v>
      </c>
      <c r="AH3296" s="2" t="str">
        <f ca="1"/>
        <v>OK</v>
      </c>
    </row>
    <row r="3297" spans="2:34">
      <c r="B3297" s="2">
        <f ca="1"/>
        <v>0.55669706740398373</v>
      </c>
      <c r="O3297" s="2">
        <f ca="1"/>
        <v>-0.38455432990404637</v>
      </c>
      <c r="X3297" s="2">
        <f ca="1"/>
        <v>43.416426910937595</v>
      </c>
      <c r="AG3297" s="2">
        <f ca="1"/>
        <v>0.13551095959337256</v>
      </c>
      <c r="AH3297" s="2" t="str">
        <f ca="1"/>
        <v>OK</v>
      </c>
    </row>
    <row r="3298" spans="2:34">
      <c r="B3298" s="2">
        <f ca="1"/>
        <v>9.0962441398434901E-2</v>
      </c>
      <c r="O3298" s="2">
        <f ca="1"/>
        <v>-1.8323063664417898</v>
      </c>
      <c r="X3298" s="2">
        <f ca="1"/>
        <v>34.170131210542507</v>
      </c>
      <c r="AG3298" s="2">
        <f ca="1"/>
        <v>0.99253571088256676</v>
      </c>
      <c r="AH3298" s="2" t="str">
        <f ca="1"/>
        <v>Bad</v>
      </c>
    </row>
    <row r="3299" spans="2:34">
      <c r="B3299" s="2">
        <f ca="1"/>
        <v>3.7139866705881541E-2</v>
      </c>
      <c r="O3299" s="2">
        <f ca="1"/>
        <v>2.0996991251221425E-2</v>
      </c>
      <c r="X3299" s="2">
        <f ca="1"/>
        <v>46.947156997182226</v>
      </c>
      <c r="AG3299" s="2">
        <f ca="1"/>
        <v>0.69968226521517041</v>
      </c>
      <c r="AH3299" s="2" t="str">
        <f ca="1"/>
        <v>Bad</v>
      </c>
    </row>
    <row r="3300" spans="2:34">
      <c r="B3300" s="2">
        <f ca="1"/>
        <v>0.48189263993556186</v>
      </c>
      <c r="O3300" s="2">
        <f ca="1"/>
        <v>-1.5471305551503669</v>
      </c>
      <c r="X3300" s="2">
        <f ca="1"/>
        <v>47.672189066599273</v>
      </c>
      <c r="AG3300" s="2">
        <f ca="1"/>
        <v>0.2851010497206965</v>
      </c>
      <c r="AH3300" s="2" t="str">
        <f ca="1"/>
        <v>OK</v>
      </c>
    </row>
    <row r="3301" spans="2:34">
      <c r="B3301" s="2">
        <f ca="1"/>
        <v>0.34926926011184722</v>
      </c>
      <c r="O3301" s="2">
        <f ca="1"/>
        <v>0.59126340329346716</v>
      </c>
      <c r="X3301" s="2">
        <f ca="1"/>
        <v>51.436525022412511</v>
      </c>
      <c r="AG3301" s="2">
        <f ca="1"/>
        <v>8.5145233680263388E-2</v>
      </c>
      <c r="AH3301" s="2" t="str">
        <f ca="1"/>
        <v>OK</v>
      </c>
    </row>
    <row r="3302" spans="2:34">
      <c r="B3302" s="2">
        <f ca="1"/>
        <v>0.26817518089239134</v>
      </c>
      <c r="O3302" s="2">
        <f ca="1"/>
        <v>0.44856613145908464</v>
      </c>
      <c r="X3302" s="2">
        <f ca="1"/>
        <v>68.182642510198932</v>
      </c>
      <c r="AG3302" s="2">
        <f ca="1"/>
        <v>2.4578569670475447E-2</v>
      </c>
      <c r="AH3302" s="2" t="str">
        <f ca="1"/>
        <v>Good</v>
      </c>
    </row>
    <row r="3303" spans="2:34">
      <c r="B3303" s="2">
        <f ca="1"/>
        <v>0.23682035789638967</v>
      </c>
      <c r="O3303" s="2">
        <f ca="1"/>
        <v>-0.40481745398759089</v>
      </c>
      <c r="X3303" s="2">
        <f ca="1"/>
        <v>64.716685347959327</v>
      </c>
      <c r="AG3303" s="2">
        <f ca="1"/>
        <v>0.27345597803282606</v>
      </c>
      <c r="AH3303" s="2" t="str">
        <f ca="1"/>
        <v>OK</v>
      </c>
    </row>
    <row r="3304" spans="2:34">
      <c r="B3304" s="2">
        <f ca="1"/>
        <v>0.92962320449621316</v>
      </c>
      <c r="O3304" s="2">
        <f ca="1"/>
        <v>-8.2498974843737954E-3</v>
      </c>
      <c r="X3304" s="2">
        <f ca="1"/>
        <v>62.267458195877204</v>
      </c>
      <c r="AG3304" s="2">
        <f ca="1"/>
        <v>0.66159606637506574</v>
      </c>
      <c r="AH3304" s="2" t="str">
        <f ca="1"/>
        <v>Bad</v>
      </c>
    </row>
    <row r="3305" spans="2:34">
      <c r="B3305" s="2">
        <f ca="1"/>
        <v>3.6370296387975509E-2</v>
      </c>
      <c r="O3305" s="2">
        <f ca="1"/>
        <v>1.0872402305698707</v>
      </c>
      <c r="X3305" s="2">
        <f ca="1"/>
        <v>20.222866517471868</v>
      </c>
      <c r="AG3305" s="2">
        <f ca="1"/>
        <v>0.47685262530890515</v>
      </c>
      <c r="AH3305" s="2" t="str">
        <f ca="1"/>
        <v>Bad</v>
      </c>
    </row>
    <row r="3306" spans="2:34">
      <c r="B3306" s="2">
        <f ca="1"/>
        <v>0.29358082972441202</v>
      </c>
      <c r="O3306" s="2">
        <f ca="1"/>
        <v>-1.7233410895673733</v>
      </c>
      <c r="X3306" s="2">
        <f ca="1"/>
        <v>37.243000100391804</v>
      </c>
      <c r="AG3306" s="2">
        <f ca="1"/>
        <v>0.14224975439510001</v>
      </c>
      <c r="AH3306" s="2" t="str">
        <f ca="1"/>
        <v>OK</v>
      </c>
    </row>
    <row r="3307" spans="2:34">
      <c r="B3307" s="2">
        <f ca="1"/>
        <v>0.17552257966039031</v>
      </c>
      <c r="O3307" s="2">
        <f ca="1"/>
        <v>0.9348723033549371</v>
      </c>
      <c r="X3307" s="2">
        <f ca="1"/>
        <v>73.648158304454427</v>
      </c>
      <c r="AG3307" s="2">
        <f ca="1"/>
        <v>0.26755725946563658</v>
      </c>
      <c r="AH3307" s="2" t="str">
        <f ca="1"/>
        <v>OK</v>
      </c>
    </row>
    <row r="3308" spans="2:34">
      <c r="B3308" s="2">
        <f ca="1"/>
        <v>0.64890890356135777</v>
      </c>
      <c r="O3308" s="2">
        <f ca="1"/>
        <v>2.0464209649808489</v>
      </c>
      <c r="X3308" s="2">
        <f ca="1"/>
        <v>61.069412076502189</v>
      </c>
      <c r="AG3308" s="2">
        <f ca="1"/>
        <v>0.1521933866688332</v>
      </c>
      <c r="AH3308" s="2" t="str">
        <f ca="1"/>
        <v>OK</v>
      </c>
    </row>
    <row r="3309" spans="2:34">
      <c r="B3309" s="2">
        <f ca="1"/>
        <v>0.1941857322044751</v>
      </c>
      <c r="O3309" s="2">
        <f ca="1"/>
        <v>1.7394965260780983</v>
      </c>
      <c r="X3309" s="2">
        <f ca="1"/>
        <v>68.350777806138552</v>
      </c>
      <c r="AG3309" s="2">
        <f ca="1"/>
        <v>0.24984619822183496</v>
      </c>
      <c r="AH3309" s="2" t="str">
        <f ca="1"/>
        <v>OK</v>
      </c>
    </row>
    <row r="3310" spans="2:34">
      <c r="B3310" s="2">
        <f ca="1"/>
        <v>0.17090545485796871</v>
      </c>
      <c r="O3310" s="2">
        <f ca="1"/>
        <v>0.21797717277865117</v>
      </c>
      <c r="X3310" s="2">
        <f ca="1"/>
        <v>62.982677727871483</v>
      </c>
      <c r="AG3310" s="2">
        <f ca="1"/>
        <v>0.65209972691550666</v>
      </c>
      <c r="AH3310" s="2" t="str">
        <f ca="1"/>
        <v>Bad</v>
      </c>
    </row>
    <row r="3311" spans="2:34">
      <c r="B3311" s="2">
        <f ca="1"/>
        <v>2.8927277801252593E-2</v>
      </c>
      <c r="O3311" s="2">
        <f ca="1"/>
        <v>0.35559668188760868</v>
      </c>
      <c r="X3311" s="2">
        <f ca="1"/>
        <v>34.520486945079782</v>
      </c>
      <c r="AG3311" s="2">
        <f ca="1"/>
        <v>0.16817457194977381</v>
      </c>
      <c r="AH3311" s="2" t="str">
        <f ca="1"/>
        <v>OK</v>
      </c>
    </row>
    <row r="3312" spans="2:34">
      <c r="B3312" s="2">
        <f ca="1"/>
        <v>0.16750109628164478</v>
      </c>
      <c r="O3312" s="2">
        <f ca="1"/>
        <v>0.80912853682834462</v>
      </c>
      <c r="X3312" s="2">
        <f ca="1"/>
        <v>74.220542154924189</v>
      </c>
      <c r="AG3312" s="2">
        <f ca="1"/>
        <v>0.56726789770129082</v>
      </c>
      <c r="AH3312" s="2" t="str">
        <f ca="1"/>
        <v>Bad</v>
      </c>
    </row>
    <row r="3313" spans="2:34">
      <c r="B3313" s="2">
        <f ca="1"/>
        <v>0.91959968741262887</v>
      </c>
      <c r="O3313" s="2">
        <f ca="1"/>
        <v>0.87440051510699712</v>
      </c>
      <c r="X3313" s="2">
        <f ca="1"/>
        <v>50.65758289137171</v>
      </c>
      <c r="AG3313" s="2">
        <f ca="1"/>
        <v>0.31220543445152837</v>
      </c>
      <c r="AH3313" s="2" t="str">
        <f ca="1"/>
        <v>OK</v>
      </c>
    </row>
    <row r="3314" spans="2:34">
      <c r="B3314" s="2">
        <f ca="1"/>
        <v>0.54423125394450023</v>
      </c>
      <c r="O3314" s="2">
        <f ca="1"/>
        <v>-2.7713816962834224E-2</v>
      </c>
      <c r="X3314" s="2">
        <f ca="1"/>
        <v>50.388459825098423</v>
      </c>
      <c r="AG3314" s="2">
        <f ca="1"/>
        <v>0.1268480325580752</v>
      </c>
      <c r="AH3314" s="2" t="str">
        <f ca="1"/>
        <v>OK</v>
      </c>
    </row>
    <row r="3315" spans="2:34">
      <c r="B3315" s="2">
        <f ca="1"/>
        <v>0.41209092394191216</v>
      </c>
      <c r="O3315" s="2">
        <f ca="1"/>
        <v>0.39238119191129417</v>
      </c>
      <c r="X3315" s="2">
        <f ca="1"/>
        <v>71.736450499422389</v>
      </c>
      <c r="AG3315" s="2">
        <f ca="1"/>
        <v>0.10096437925020951</v>
      </c>
      <c r="AH3315" s="2" t="str">
        <f ca="1"/>
        <v>OK</v>
      </c>
    </row>
    <row r="3316" spans="2:34">
      <c r="B3316" s="2">
        <f ca="1"/>
        <v>0.89657023695739957</v>
      </c>
      <c r="O3316" s="2">
        <f ca="1"/>
        <v>-0.76828115377867323</v>
      </c>
      <c r="X3316" s="2">
        <f ca="1"/>
        <v>46.728316006295614</v>
      </c>
      <c r="AG3316" s="2">
        <f ca="1"/>
        <v>0.71418483587575143</v>
      </c>
      <c r="AH3316" s="2" t="str">
        <f ca="1"/>
        <v>Bad</v>
      </c>
    </row>
    <row r="3317" spans="2:34">
      <c r="B3317" s="2">
        <f ca="1"/>
        <v>0.40403021731078947</v>
      </c>
      <c r="O3317" s="2">
        <f ca="1"/>
        <v>-0.320815150013879</v>
      </c>
      <c r="X3317" s="2">
        <f ca="1"/>
        <v>44.855823595813206</v>
      </c>
      <c r="AG3317" s="2">
        <f ca="1"/>
        <v>0.74152458728970472</v>
      </c>
      <c r="AH3317" s="2" t="str">
        <f ca="1"/>
        <v>Bad</v>
      </c>
    </row>
    <row r="3318" spans="2:34">
      <c r="B3318" s="2">
        <f ca="1"/>
        <v>0.97781946783973805</v>
      </c>
      <c r="O3318" s="2">
        <f ca="1"/>
        <v>-0.79482700167062126</v>
      </c>
      <c r="X3318" s="2">
        <f ca="1"/>
        <v>51.94221547021472</v>
      </c>
      <c r="AG3318" s="2">
        <f ca="1"/>
        <v>0.28232900239194691</v>
      </c>
      <c r="AH3318" s="2" t="str">
        <f ca="1"/>
        <v>OK</v>
      </c>
    </row>
    <row r="3319" spans="2:34">
      <c r="B3319" s="2">
        <f ca="1"/>
        <v>0.10960013727517359</v>
      </c>
      <c r="O3319" s="2">
        <f ca="1"/>
        <v>-1.1871939452239124</v>
      </c>
      <c r="X3319" s="2">
        <f ca="1"/>
        <v>44.186474269152932</v>
      </c>
      <c r="AG3319" s="2">
        <f ca="1"/>
        <v>0.84709948857478179</v>
      </c>
      <c r="AH3319" s="2" t="str">
        <f ca="1"/>
        <v>Bad</v>
      </c>
    </row>
    <row r="3320" spans="2:34">
      <c r="B3320" s="2">
        <f ca="1"/>
        <v>0.56898793116737179</v>
      </c>
      <c r="O3320" s="2">
        <f ca="1"/>
        <v>0.27076388224276893</v>
      </c>
      <c r="X3320" s="2">
        <f ca="1"/>
        <v>64.7938751117414</v>
      </c>
      <c r="AG3320" s="2">
        <f ca="1"/>
        <v>0.26502551632148363</v>
      </c>
      <c r="AH3320" s="2" t="str">
        <f ca="1"/>
        <v>OK</v>
      </c>
    </row>
    <row r="3321" spans="2:34">
      <c r="B3321" s="2">
        <f ca="1"/>
        <v>0.12535318945647589</v>
      </c>
      <c r="O3321" s="2">
        <f ca="1"/>
        <v>0.81683424893012069</v>
      </c>
      <c r="X3321" s="2">
        <f ca="1"/>
        <v>43.70849201179891</v>
      </c>
      <c r="AG3321" s="2">
        <f ca="1"/>
        <v>0.16252138547000294</v>
      </c>
      <c r="AH3321" s="2" t="str">
        <f ca="1"/>
        <v>OK</v>
      </c>
    </row>
    <row r="3322" spans="2:34">
      <c r="B3322" s="2">
        <f ca="1"/>
        <v>0.1904561675777996</v>
      </c>
      <c r="O3322" s="2">
        <f ca="1"/>
        <v>-1.197777576292913</v>
      </c>
      <c r="X3322" s="2">
        <f ca="1"/>
        <v>19.400726998967745</v>
      </c>
      <c r="AG3322" s="2">
        <f ca="1"/>
        <v>0.93604462595814009</v>
      </c>
      <c r="AH3322" s="2" t="str">
        <f ca="1"/>
        <v>Bad</v>
      </c>
    </row>
    <row r="3323" spans="2:34">
      <c r="B3323" s="2">
        <f ca="1"/>
        <v>0.73000137097843787</v>
      </c>
      <c r="O3323" s="2">
        <f ca="1"/>
        <v>-0.5600219751946921</v>
      </c>
      <c r="X3323" s="2">
        <f ca="1"/>
        <v>38.589182091480609</v>
      </c>
      <c r="AG3323" s="2">
        <f ca="1"/>
        <v>0.68899668156268357</v>
      </c>
      <c r="AH3323" s="2" t="str">
        <f ca="1"/>
        <v>Bad</v>
      </c>
    </row>
    <row r="3324" spans="2:34">
      <c r="B3324" s="2">
        <f ca="1"/>
        <v>0.81116687266058229</v>
      </c>
      <c r="O3324" s="2">
        <f ca="1"/>
        <v>-2.8555004558886856</v>
      </c>
      <c r="X3324" s="2">
        <f ca="1"/>
        <v>48.376032894481767</v>
      </c>
      <c r="AG3324" s="2">
        <f ca="1"/>
        <v>0.74280913637626589</v>
      </c>
      <c r="AH3324" s="2" t="str">
        <f ca="1"/>
        <v>Bad</v>
      </c>
    </row>
    <row r="3325" spans="2:34">
      <c r="B3325" s="2">
        <f ca="1"/>
        <v>0.2357905466099699</v>
      </c>
      <c r="O3325" s="2">
        <f ca="1"/>
        <v>-0.30990723380195745</v>
      </c>
      <c r="X3325" s="2">
        <f ca="1"/>
        <v>32.600743849815629</v>
      </c>
      <c r="AG3325" s="2">
        <f ca="1"/>
        <v>0.50180761256620587</v>
      </c>
      <c r="AH3325" s="2" t="str">
        <f ca="1"/>
        <v>Bad</v>
      </c>
    </row>
    <row r="3326" spans="2:34">
      <c r="B3326" s="2">
        <f ca="1"/>
        <v>0.24309621012949001</v>
      </c>
      <c r="O3326" s="2">
        <f ca="1"/>
        <v>-1.0720603998624112</v>
      </c>
      <c r="X3326" s="2">
        <f ca="1"/>
        <v>58.203636462713021</v>
      </c>
      <c r="AG3326" s="2">
        <f ca="1"/>
        <v>0.53217171862365942</v>
      </c>
      <c r="AH3326" s="2" t="str">
        <f ca="1"/>
        <v>Bad</v>
      </c>
    </row>
    <row r="3327" spans="2:34">
      <c r="B3327" s="2">
        <f ca="1"/>
        <v>0.73585823289553298</v>
      </c>
      <c r="O3327" s="2">
        <f ca="1"/>
        <v>-7.3207361442745394E-2</v>
      </c>
      <c r="X3327" s="2">
        <f ca="1"/>
        <v>40.732240434335374</v>
      </c>
      <c r="AG3327" s="2">
        <f ca="1"/>
        <v>0.33079010893544858</v>
      </c>
      <c r="AH3327" s="2" t="str">
        <f ca="1"/>
        <v>OK</v>
      </c>
    </row>
    <row r="3328" spans="2:34">
      <c r="B3328" s="2">
        <f ca="1"/>
        <v>0.12187381316249146</v>
      </c>
      <c r="O3328" s="2">
        <f ca="1"/>
        <v>-7.0786583736966904E-2</v>
      </c>
      <c r="X3328" s="2">
        <f ca="1"/>
        <v>55.561568872344523</v>
      </c>
      <c r="AG3328" s="2">
        <f ca="1"/>
        <v>0.73081565347652289</v>
      </c>
      <c r="AH3328" s="2" t="str">
        <f ca="1"/>
        <v>Bad</v>
      </c>
    </row>
    <row r="3329" spans="2:34">
      <c r="B3329" s="2">
        <f ca="1"/>
        <v>0.5439421706583687</v>
      </c>
      <c r="O3329" s="2">
        <f ca="1"/>
        <v>-4.3847952692963814E-2</v>
      </c>
      <c r="X3329" s="2">
        <f ca="1"/>
        <v>66.584841102015844</v>
      </c>
      <c r="AG3329" s="2">
        <f ca="1"/>
        <v>0.93637020709704299</v>
      </c>
      <c r="AH3329" s="2" t="str">
        <f ca="1"/>
        <v>Bad</v>
      </c>
    </row>
    <row r="3330" spans="2:34">
      <c r="B3330" s="2">
        <f ca="1"/>
        <v>0.7971789248251584</v>
      </c>
      <c r="O3330" s="2">
        <f ca="1"/>
        <v>-0.76820005683555059</v>
      </c>
      <c r="X3330" s="2">
        <f ca="1"/>
        <v>46.921205651160335</v>
      </c>
      <c r="AG3330" s="2">
        <f ca="1"/>
        <v>0.73191779532986079</v>
      </c>
      <c r="AH3330" s="2" t="str">
        <f ca="1"/>
        <v>Bad</v>
      </c>
    </row>
    <row r="3331" spans="2:34">
      <c r="B3331" s="2">
        <f ca="1"/>
        <v>0.62141416932033344</v>
      </c>
      <c r="O3331" s="2">
        <f ca="1"/>
        <v>1.3234301573720439</v>
      </c>
      <c r="X3331" s="2">
        <f ca="1"/>
        <v>55.900781608247492</v>
      </c>
      <c r="AG3331" s="2">
        <f ca="1"/>
        <v>0.47562199997947019</v>
      </c>
      <c r="AH3331" s="2" t="str">
        <f ca="1"/>
        <v>Bad</v>
      </c>
    </row>
    <row r="3332" spans="2:34">
      <c r="B3332" s="2">
        <f ca="1"/>
        <v>0.10700565857390565</v>
      </c>
      <c r="O3332" s="2">
        <f ca="1"/>
        <v>-0.65749395470687033</v>
      </c>
      <c r="X3332" s="2">
        <f ca="1"/>
        <v>75.277512190752162</v>
      </c>
      <c r="AG3332" s="2">
        <f ca="1"/>
        <v>2.8020641820082126E-2</v>
      </c>
      <c r="AH3332" s="2" t="str">
        <f ca="1"/>
        <v>Good</v>
      </c>
    </row>
    <row r="3333" spans="2:34">
      <c r="B3333" s="2">
        <f ca="1"/>
        <v>0.80527703582528876</v>
      </c>
      <c r="O3333" s="2">
        <f ca="1"/>
        <v>-1.2235422577720751</v>
      </c>
      <c r="X3333" s="2">
        <f ca="1"/>
        <v>36.226517061876599</v>
      </c>
      <c r="AG3333" s="2">
        <f ca="1"/>
        <v>3.6157175150924203E-2</v>
      </c>
      <c r="AH3333" s="2" t="str">
        <f ca="1"/>
        <v>Good</v>
      </c>
    </row>
    <row r="3334" spans="2:34">
      <c r="B3334" s="2">
        <f ca="1"/>
        <v>0.59519755158157484</v>
      </c>
      <c r="O3334" s="2">
        <f ca="1"/>
        <v>0.64861182819541408</v>
      </c>
      <c r="X3334" s="2">
        <f ca="1"/>
        <v>57.443300371715502</v>
      </c>
      <c r="AG3334" s="2">
        <f ca="1"/>
        <v>0.17768238278514303</v>
      </c>
      <c r="AH3334" s="2" t="str">
        <f ca="1"/>
        <v>OK</v>
      </c>
    </row>
    <row r="3335" spans="2:34">
      <c r="B3335" s="2">
        <f ca="1"/>
        <v>0.93883635633560725</v>
      </c>
      <c r="O3335" s="2">
        <f ca="1"/>
        <v>-0.25307353432101337</v>
      </c>
      <c r="X3335" s="2">
        <f ca="1"/>
        <v>58.083375056587123</v>
      </c>
      <c r="AG3335" s="2">
        <f ca="1"/>
        <v>0.81340992706121495</v>
      </c>
      <c r="AH3335" s="2" t="str">
        <f ca="1"/>
        <v>Bad</v>
      </c>
    </row>
    <row r="3336" spans="2:34">
      <c r="B3336" s="2">
        <f ca="1"/>
        <v>0.56301637071392285</v>
      </c>
      <c r="O3336" s="2">
        <f ca="1"/>
        <v>2.4390930860106064</v>
      </c>
      <c r="X3336" s="2">
        <f ca="1"/>
        <v>29.145552466649423</v>
      </c>
      <c r="AG3336" s="2">
        <f ca="1"/>
        <v>0.53840670558086545</v>
      </c>
      <c r="AH3336" s="2" t="str">
        <f ca="1"/>
        <v>Bad</v>
      </c>
    </row>
    <row r="3337" spans="2:34">
      <c r="B3337" s="2">
        <f ca="1"/>
        <v>0.62012070424745325</v>
      </c>
      <c r="O3337" s="2">
        <f ca="1"/>
        <v>3.2546835042750931E-2</v>
      </c>
      <c r="X3337" s="2">
        <f ca="1"/>
        <v>15.767172262735663</v>
      </c>
      <c r="AG3337" s="2">
        <f ca="1"/>
        <v>0.37832514785000604</v>
      </c>
      <c r="AH3337" s="2" t="str">
        <f ca="1"/>
        <v>OK</v>
      </c>
    </row>
    <row r="3338" spans="2:34">
      <c r="B3338" s="2">
        <f ca="1"/>
        <v>0.23651012662460369</v>
      </c>
      <c r="O3338" s="2">
        <f ca="1"/>
        <v>0.84616603468180784</v>
      </c>
      <c r="X3338" s="2">
        <f ca="1"/>
        <v>48.900828280953654</v>
      </c>
      <c r="AG3338" s="2">
        <f ca="1"/>
        <v>0.44432659565533705</v>
      </c>
      <c r="AH3338" s="2" t="str">
        <f ca="1"/>
        <v>Bad</v>
      </c>
    </row>
    <row r="3339" spans="2:34">
      <c r="B3339" s="2">
        <f ca="1"/>
        <v>0.93868201220214309</v>
      </c>
      <c r="O3339" s="2">
        <f ca="1"/>
        <v>0.48660604308970379</v>
      </c>
      <c r="X3339" s="2">
        <f ca="1"/>
        <v>57.515962444562952</v>
      </c>
      <c r="AG3339" s="2">
        <f ca="1"/>
        <v>0.7297013667537271</v>
      </c>
      <c r="AH3339" s="2" t="str">
        <f ca="1"/>
        <v>Bad</v>
      </c>
    </row>
    <row r="3340" spans="2:34">
      <c r="B3340" s="2">
        <f ca="1"/>
        <v>0.58111921156028923</v>
      </c>
      <c r="O3340" s="2">
        <f ca="1"/>
        <v>-1.0365208211479866</v>
      </c>
      <c r="X3340" s="2">
        <f ca="1"/>
        <v>52.294114356164521</v>
      </c>
      <c r="AG3340" s="2">
        <f ca="1"/>
        <v>0.64529131485198854</v>
      </c>
      <c r="AH3340" s="2" t="str">
        <f ca="1"/>
        <v>Bad</v>
      </c>
    </row>
    <row r="3341" spans="2:34">
      <c r="B3341" s="2">
        <f ca="1"/>
        <v>0.71445625649115563</v>
      </c>
      <c r="O3341" s="2">
        <f ca="1"/>
        <v>-0.27962620234876429</v>
      </c>
      <c r="X3341" s="2">
        <f ca="1"/>
        <v>34.441774034308686</v>
      </c>
      <c r="AG3341" s="2">
        <f ca="1"/>
        <v>0.42346679308030133</v>
      </c>
      <c r="AH3341" s="2" t="str">
        <f ca="1"/>
        <v>Bad</v>
      </c>
    </row>
    <row r="3342" spans="2:34">
      <c r="B3342" s="2">
        <f ca="1"/>
        <v>0.958825831538624</v>
      </c>
      <c r="O3342" s="2">
        <f ca="1"/>
        <v>-0.31856981664893647</v>
      </c>
      <c r="X3342" s="2">
        <f ca="1"/>
        <v>45.30910795875787</v>
      </c>
      <c r="AG3342" s="2">
        <f ca="1"/>
        <v>0.6787416060847582</v>
      </c>
      <c r="AH3342" s="2" t="str">
        <f ca="1"/>
        <v>Bad</v>
      </c>
    </row>
    <row r="3343" spans="2:34">
      <c r="B3343" s="2">
        <f ca="1"/>
        <v>0.22085991379284575</v>
      </c>
      <c r="O3343" s="2">
        <f ca="1"/>
        <v>-0.43112419124395601</v>
      </c>
      <c r="X3343" s="2">
        <f ca="1"/>
        <v>40.776244502372634</v>
      </c>
      <c r="AG3343" s="2">
        <f ca="1"/>
        <v>0.84547569683429002</v>
      </c>
      <c r="AH3343" s="2" t="str">
        <f ca="1"/>
        <v>Bad</v>
      </c>
    </row>
    <row r="3344" spans="2:34">
      <c r="B3344" s="2">
        <f ca="1"/>
        <v>0.77256201606882247</v>
      </c>
      <c r="O3344" s="2">
        <f ca="1"/>
        <v>0.60729706404886652</v>
      </c>
      <c r="X3344" s="2">
        <f ca="1"/>
        <v>49.350503001627487</v>
      </c>
      <c r="AG3344" s="2">
        <f ca="1"/>
        <v>0.80014448081827139</v>
      </c>
      <c r="AH3344" s="2" t="str">
        <f ca="1"/>
        <v>Bad</v>
      </c>
    </row>
    <row r="3345" spans="2:34">
      <c r="B3345" s="2">
        <f ca="1"/>
        <v>0.37348227280981705</v>
      </c>
      <c r="O3345" s="2">
        <f ca="1"/>
        <v>-0.38954234308946967</v>
      </c>
      <c r="X3345" s="2">
        <f ca="1"/>
        <v>76.561872085285671</v>
      </c>
      <c r="AG3345" s="2">
        <f ca="1"/>
        <v>0.80274653599053858</v>
      </c>
      <c r="AH3345" s="2" t="str">
        <f ca="1"/>
        <v>Bad</v>
      </c>
    </row>
    <row r="3346" spans="2:34">
      <c r="B3346" s="2">
        <f ca="1"/>
        <v>0.62098784544777863</v>
      </c>
      <c r="O3346" s="2">
        <f ca="1"/>
        <v>7.2743403127013037E-2</v>
      </c>
      <c r="X3346" s="2">
        <f ca="1"/>
        <v>54.432527656845423</v>
      </c>
      <c r="AG3346" s="2">
        <f ca="1"/>
        <v>0.29371913780376935</v>
      </c>
      <c r="AH3346" s="2" t="str">
        <f ca="1"/>
        <v>OK</v>
      </c>
    </row>
    <row r="3347" spans="2:34">
      <c r="B3347" s="2">
        <f ca="1"/>
        <v>0.45958899171368262</v>
      </c>
      <c r="O3347" s="2">
        <f ca="1"/>
        <v>0.71949402027361575</v>
      </c>
      <c r="X3347" s="2">
        <f ca="1"/>
        <v>72.55191012573863</v>
      </c>
      <c r="AG3347" s="2">
        <f ca="1"/>
        <v>0.39071456372095681</v>
      </c>
      <c r="AH3347" s="2" t="str">
        <f ca="1"/>
        <v>OK</v>
      </c>
    </row>
    <row r="3348" spans="2:34">
      <c r="B3348" s="2">
        <f ca="1"/>
        <v>0.97938636365011789</v>
      </c>
      <c r="O3348" s="2">
        <f ca="1"/>
        <v>0.88943562876156868</v>
      </c>
      <c r="X3348" s="2">
        <f ca="1"/>
        <v>36.140202039809722</v>
      </c>
      <c r="AG3348" s="2">
        <f ca="1"/>
        <v>3.1768373939191408E-2</v>
      </c>
      <c r="AH3348" s="2" t="str">
        <f ca="1"/>
        <v>Good</v>
      </c>
    </row>
    <row r="3349" spans="2:34">
      <c r="B3349" s="2">
        <f ca="1"/>
        <v>0.1526153927732663</v>
      </c>
      <c r="O3349" s="2">
        <f ca="1"/>
        <v>1.1815320554096418</v>
      </c>
      <c r="X3349" s="2">
        <f ca="1"/>
        <v>47.551245537636575</v>
      </c>
      <c r="AG3349" s="2">
        <f ca="1"/>
        <v>0.92771301798084393</v>
      </c>
      <c r="AH3349" s="2" t="str">
        <f ca="1"/>
        <v>Bad</v>
      </c>
    </row>
    <row r="3350" spans="2:34">
      <c r="B3350" s="2">
        <f ca="1"/>
        <v>0.80045729554330602</v>
      </c>
      <c r="O3350" s="2">
        <f ca="1"/>
        <v>2.0733115421353605</v>
      </c>
      <c r="X3350" s="2">
        <f ca="1"/>
        <v>33.921922052226876</v>
      </c>
      <c r="AG3350" s="2">
        <f ca="1"/>
        <v>0.50953437978611116</v>
      </c>
      <c r="AH3350" s="2" t="str">
        <f ca="1"/>
        <v>Bad</v>
      </c>
    </row>
    <row r="3351" spans="2:34">
      <c r="B3351" s="2">
        <f ca="1"/>
        <v>0.41237924434916207</v>
      </c>
      <c r="O3351" s="2">
        <f ca="1"/>
        <v>0.77234839422084856</v>
      </c>
      <c r="X3351" s="2">
        <f ca="1"/>
        <v>49.370145348144526</v>
      </c>
      <c r="AG3351" s="2">
        <f ca="1"/>
        <v>0.90740553184694583</v>
      </c>
      <c r="AH3351" s="2" t="str">
        <f ca="1"/>
        <v>Bad</v>
      </c>
    </row>
    <row r="3352" spans="2:34">
      <c r="B3352" s="2">
        <f ca="1"/>
        <v>0.98521545069701899</v>
      </c>
      <c r="O3352" s="2">
        <f ca="1"/>
        <v>-0.88180599824022732</v>
      </c>
      <c r="X3352" s="2">
        <f ca="1"/>
        <v>54.599151765608489</v>
      </c>
      <c r="AG3352" s="2">
        <f ca="1"/>
        <v>0.42634877818218353</v>
      </c>
      <c r="AH3352" s="2" t="str">
        <f ca="1"/>
        <v>Bad</v>
      </c>
    </row>
    <row r="3353" spans="2:34">
      <c r="B3353" s="2">
        <f ca="1"/>
        <v>6.2261423142909278E-2</v>
      </c>
      <c r="O3353" s="2">
        <f ca="1"/>
        <v>2.7287123888362848E-2</v>
      </c>
      <c r="X3353" s="2">
        <f ca="1"/>
        <v>74.017225311561134</v>
      </c>
      <c r="AG3353" s="2">
        <f ca="1"/>
        <v>0.4894081959011003</v>
      </c>
      <c r="AH3353" s="2" t="str">
        <f ca="1"/>
        <v>Bad</v>
      </c>
    </row>
    <row r="3354" spans="2:34">
      <c r="B3354" s="2">
        <f ca="1"/>
        <v>0.15727064706448224</v>
      </c>
      <c r="O3354" s="2">
        <f ca="1"/>
        <v>-1.6677609437312246</v>
      </c>
      <c r="X3354" s="2">
        <f ca="1"/>
        <v>94.253106379835643</v>
      </c>
      <c r="AG3354" s="2">
        <f ca="1"/>
        <v>0.2956547734549102</v>
      </c>
      <c r="AH3354" s="2" t="str">
        <f ca="1"/>
        <v>OK</v>
      </c>
    </row>
    <row r="3355" spans="2:34">
      <c r="B3355" s="2">
        <f ca="1"/>
        <v>0.64045568467063196</v>
      </c>
      <c r="O3355" s="2">
        <f ca="1"/>
        <v>2.3312188061087058</v>
      </c>
      <c r="X3355" s="2">
        <f ca="1"/>
        <v>101.4587623217061</v>
      </c>
      <c r="AG3355" s="2">
        <f ca="1"/>
        <v>0.9319405739398281</v>
      </c>
      <c r="AH3355" s="2" t="str">
        <f ca="1"/>
        <v>Bad</v>
      </c>
    </row>
    <row r="3356" spans="2:34">
      <c r="B3356" s="2">
        <f ca="1"/>
        <v>0.15740166037826153</v>
      </c>
      <c r="O3356" s="2">
        <f ca="1"/>
        <v>2.7363870094109108</v>
      </c>
      <c r="X3356" s="2">
        <f ca="1"/>
        <v>44.694058455455306</v>
      </c>
      <c r="AG3356" s="2">
        <f ca="1"/>
        <v>1.1698260799455351E-2</v>
      </c>
      <c r="AH3356" s="2" t="str">
        <f ca="1"/>
        <v>Good</v>
      </c>
    </row>
    <row r="3357" spans="2:34">
      <c r="B3357" s="2">
        <f ca="1"/>
        <v>0.67408862206083064</v>
      </c>
      <c r="O3357" s="2">
        <f ca="1"/>
        <v>-0.5506122790290725</v>
      </c>
      <c r="X3357" s="2">
        <f ca="1"/>
        <v>26.213827621676423</v>
      </c>
      <c r="AG3357" s="2">
        <f ca="1"/>
        <v>0.6237550148513773</v>
      </c>
      <c r="AH3357" s="2" t="str">
        <f ca="1"/>
        <v>Bad</v>
      </c>
    </row>
    <row r="3358" spans="2:34">
      <c r="B3358" s="2">
        <f ca="1"/>
        <v>0.26768896825368582</v>
      </c>
      <c r="O3358" s="2">
        <f ca="1"/>
        <v>-0.82456831102564632</v>
      </c>
      <c r="X3358" s="2">
        <f ca="1"/>
        <v>35.804861429594247</v>
      </c>
      <c r="AG3358" s="2">
        <f ca="1"/>
        <v>0.22658746607858049</v>
      </c>
      <c r="AH3358" s="2" t="str">
        <f ca="1"/>
        <v>OK</v>
      </c>
    </row>
    <row r="3359" spans="2:34">
      <c r="B3359" s="2">
        <f ca="1"/>
        <v>0.44783396110946061</v>
      </c>
      <c r="O3359" s="2">
        <f ca="1"/>
        <v>-0.57185975021409652</v>
      </c>
      <c r="X3359" s="2">
        <f ca="1"/>
        <v>41.319403425512775</v>
      </c>
      <c r="AG3359" s="2">
        <f ca="1"/>
        <v>0.98286614745198264</v>
      </c>
      <c r="AH3359" s="2" t="str">
        <f ca="1"/>
        <v>Bad</v>
      </c>
    </row>
    <row r="3360" spans="2:34">
      <c r="B3360" s="2">
        <f ca="1"/>
        <v>0.68615852158478208</v>
      </c>
      <c r="O3360" s="2">
        <f ca="1"/>
        <v>-0.78241620652601018</v>
      </c>
      <c r="X3360" s="2">
        <f ca="1"/>
        <v>54.748211549273847</v>
      </c>
      <c r="AG3360" s="2">
        <f ca="1"/>
        <v>0.90479779665891669</v>
      </c>
      <c r="AH3360" s="2" t="str">
        <f ca="1"/>
        <v>Bad</v>
      </c>
    </row>
    <row r="3361" spans="2:34">
      <c r="B3361" s="2">
        <f ca="1"/>
        <v>0.87271415190308854</v>
      </c>
      <c r="O3361" s="2">
        <f ca="1"/>
        <v>0.40027320538320377</v>
      </c>
      <c r="X3361" s="2">
        <f ca="1"/>
        <v>62.774301183012362</v>
      </c>
      <c r="AG3361" s="2">
        <f ca="1"/>
        <v>0.9355193669824633</v>
      </c>
      <c r="AH3361" s="2" t="str">
        <f ca="1"/>
        <v>Bad</v>
      </c>
    </row>
    <row r="3362" spans="2:34">
      <c r="B3362" s="2">
        <f ca="1"/>
        <v>0.33910904228566352</v>
      </c>
      <c r="O3362" s="2">
        <f ca="1"/>
        <v>1.4913959742073988</v>
      </c>
      <c r="X3362" s="2">
        <f ca="1"/>
        <v>50.801359901980938</v>
      </c>
      <c r="AG3362" s="2">
        <f ca="1"/>
        <v>0.12070389683800919</v>
      </c>
      <c r="AH3362" s="2" t="str">
        <f ca="1"/>
        <v>OK</v>
      </c>
    </row>
    <row r="3363" spans="2:34">
      <c r="B3363" s="2">
        <f ca="1"/>
        <v>0.89583175197318465</v>
      </c>
      <c r="O3363" s="2">
        <f ca="1"/>
        <v>0.8699360819995694</v>
      </c>
      <c r="X3363" s="2">
        <f ca="1"/>
        <v>44.728052226650625</v>
      </c>
      <c r="AG3363" s="2">
        <f ca="1"/>
        <v>0.54655013975261579</v>
      </c>
      <c r="AH3363" s="2" t="str">
        <f ca="1"/>
        <v>Bad</v>
      </c>
    </row>
    <row r="3364" spans="2:34">
      <c r="B3364" s="2">
        <f ca="1"/>
        <v>0.48552160837698177</v>
      </c>
      <c r="O3364" s="2">
        <f ca="1"/>
        <v>-1.2750271369428654</v>
      </c>
      <c r="X3364" s="2">
        <f ca="1"/>
        <v>38.583838957510856</v>
      </c>
      <c r="AG3364" s="2">
        <f ca="1"/>
        <v>0.13000612624176666</v>
      </c>
      <c r="AH3364" s="2" t="str">
        <f ca="1"/>
        <v>OK</v>
      </c>
    </row>
    <row r="3365" spans="2:34">
      <c r="B3365" s="2">
        <f ca="1"/>
        <v>1.7519258307073793E-2</v>
      </c>
      <c r="O3365" s="2">
        <f ca="1"/>
        <v>-3.1203504437817872E-2</v>
      </c>
      <c r="X3365" s="2">
        <f ca="1"/>
        <v>40.292048451238465</v>
      </c>
      <c r="AG3365" s="2">
        <f ca="1"/>
        <v>0.88292025964140275</v>
      </c>
      <c r="AH3365" s="2" t="str">
        <f ca="1"/>
        <v>Bad</v>
      </c>
    </row>
    <row r="3366" spans="2:34">
      <c r="B3366" s="2">
        <f ca="1"/>
        <v>0.72726790025731258</v>
      </c>
      <c r="O3366" s="2">
        <f ca="1"/>
        <v>-1.0221722854615105</v>
      </c>
      <c r="X3366" s="2">
        <f ca="1"/>
        <v>58.433149996505591</v>
      </c>
      <c r="AG3366" s="2">
        <f ca="1"/>
        <v>0.93481229913046016</v>
      </c>
      <c r="AH3366" s="2" t="str">
        <f ca="1"/>
        <v>Bad</v>
      </c>
    </row>
    <row r="3367" spans="2:34">
      <c r="B3367" s="2">
        <f ca="1"/>
        <v>0.5561840883747704</v>
      </c>
      <c r="O3367" s="2">
        <f ca="1"/>
        <v>-0.69347360361225274</v>
      </c>
      <c r="X3367" s="2">
        <f ca="1"/>
        <v>67.156148729868505</v>
      </c>
      <c r="AG3367" s="2">
        <f ca="1"/>
        <v>0.74748301584820953</v>
      </c>
      <c r="AH3367" s="2" t="str">
        <f ca="1"/>
        <v>Bad</v>
      </c>
    </row>
    <row r="3368" spans="2:34">
      <c r="B3368" s="2">
        <f ca="1"/>
        <v>6.918453412516623E-3</v>
      </c>
      <c r="O3368" s="2">
        <f ca="1"/>
        <v>0.88823160229994358</v>
      </c>
      <c r="X3368" s="2">
        <f ca="1"/>
        <v>56.712679786400734</v>
      </c>
      <c r="AG3368" s="2">
        <f ca="1"/>
        <v>0.46826212467337003</v>
      </c>
      <c r="AH3368" s="2" t="str">
        <f ca="1"/>
        <v>Bad</v>
      </c>
    </row>
    <row r="3369" spans="2:34">
      <c r="B3369" s="2">
        <f ca="1"/>
        <v>0.60668571773247515</v>
      </c>
      <c r="O3369" s="2">
        <f ca="1"/>
        <v>-0.42208706572341786</v>
      </c>
      <c r="X3369" s="2">
        <f ca="1"/>
        <v>31.482055592665009</v>
      </c>
      <c r="AG3369" s="2">
        <f ca="1"/>
        <v>0.41413810461611389</v>
      </c>
      <c r="AH3369" s="2" t="str">
        <f ca="1"/>
        <v>Bad</v>
      </c>
    </row>
    <row r="3370" spans="2:34">
      <c r="B3370" s="2">
        <f ca="1"/>
        <v>0.76655299698930035</v>
      </c>
      <c r="O3370" s="2">
        <f ca="1"/>
        <v>-0.97428088724135131</v>
      </c>
      <c r="X3370" s="2">
        <f ca="1"/>
        <v>78.189362999258861</v>
      </c>
      <c r="AG3370" s="2">
        <f ca="1"/>
        <v>0.28798034318372179</v>
      </c>
      <c r="AH3370" s="2" t="str">
        <f ca="1"/>
        <v>OK</v>
      </c>
    </row>
    <row r="3371" spans="2:34">
      <c r="B3371" s="2">
        <f ca="1"/>
        <v>0.14876465994460886</v>
      </c>
      <c r="O3371" s="2">
        <f ca="1"/>
        <v>0.37707844517949196</v>
      </c>
      <c r="X3371" s="2">
        <f ca="1"/>
        <v>86.865725532649506</v>
      </c>
      <c r="AG3371" s="2">
        <f ca="1"/>
        <v>0.44753309323535118</v>
      </c>
      <c r="AH3371" s="2" t="str">
        <f ca="1"/>
        <v>Bad</v>
      </c>
    </row>
    <row r="3372" spans="2:34">
      <c r="B3372" s="2">
        <f ca="1"/>
        <v>0.56715304014882806</v>
      </c>
      <c r="O3372" s="2">
        <f ca="1"/>
        <v>-1.6423450684645382</v>
      </c>
      <c r="X3372" s="2">
        <f ca="1"/>
        <v>34.248133902905941</v>
      </c>
      <c r="AG3372" s="2">
        <f ca="1"/>
        <v>0.20972680176670999</v>
      </c>
      <c r="AH3372" s="2" t="str">
        <f ca="1"/>
        <v>OK</v>
      </c>
    </row>
    <row r="3373" spans="2:34">
      <c r="B3373" s="2">
        <f ca="1"/>
        <v>0.99601636560271323</v>
      </c>
      <c r="O3373" s="2">
        <f ca="1"/>
        <v>-0.99285673952204678</v>
      </c>
      <c r="X3373" s="2">
        <f ca="1"/>
        <v>29.334651315223546</v>
      </c>
      <c r="AG3373" s="2">
        <f ca="1"/>
        <v>0.16116153622538487</v>
      </c>
      <c r="AH3373" s="2" t="str">
        <f ca="1"/>
        <v>OK</v>
      </c>
    </row>
    <row r="3374" spans="2:34">
      <c r="B3374" s="2">
        <f ca="1"/>
        <v>0.73298726790931856</v>
      </c>
      <c r="O3374" s="2">
        <f ca="1"/>
        <v>0.61703243248938355</v>
      </c>
      <c r="X3374" s="2">
        <f ca="1"/>
        <v>60.667550765471148</v>
      </c>
      <c r="AG3374" s="2">
        <f ca="1"/>
        <v>0.82369250170792618</v>
      </c>
      <c r="AH3374" s="2" t="str">
        <f ca="1"/>
        <v>Bad</v>
      </c>
    </row>
    <row r="3375" spans="2:34">
      <c r="B3375" s="2">
        <f ca="1"/>
        <v>0.38893442710005433</v>
      </c>
      <c r="O3375" s="2">
        <f ca="1"/>
        <v>-0.17337530446529428</v>
      </c>
      <c r="X3375" s="2">
        <f ca="1"/>
        <v>78.206302560437521</v>
      </c>
      <c r="AG3375" s="2">
        <f ca="1"/>
        <v>0.38080594657269273</v>
      </c>
      <c r="AH3375" s="2" t="str">
        <f ca="1"/>
        <v>OK</v>
      </c>
    </row>
    <row r="3376" spans="2:34">
      <c r="B3376" s="2">
        <f ca="1"/>
        <v>0.47119800097296638</v>
      </c>
      <c r="O3376" s="2">
        <f ca="1"/>
        <v>1.4719401201560496</v>
      </c>
      <c r="X3376" s="2">
        <f ca="1"/>
        <v>61.12266556695036</v>
      </c>
      <c r="AG3376" s="2">
        <f ca="1"/>
        <v>0.72280781419190054</v>
      </c>
      <c r="AH3376" s="2" t="str">
        <f ca="1"/>
        <v>Bad</v>
      </c>
    </row>
    <row r="3377" spans="2:34">
      <c r="B3377" s="2">
        <f ca="1"/>
        <v>0.61949872075201284</v>
      </c>
      <c r="O3377" s="2">
        <f ca="1"/>
        <v>0.40838607409940175</v>
      </c>
      <c r="X3377" s="2">
        <f ca="1"/>
        <v>63.853585062561471</v>
      </c>
      <c r="AG3377" s="2">
        <f ca="1"/>
        <v>0.96803281764566673</v>
      </c>
      <c r="AH3377" s="2" t="str">
        <f ca="1"/>
        <v>Bad</v>
      </c>
    </row>
    <row r="3378" spans="2:34">
      <c r="B3378" s="2">
        <f ca="1"/>
        <v>2.5600065078529077E-2</v>
      </c>
      <c r="O3378" s="2">
        <f ca="1"/>
        <v>-0.48122858000321084</v>
      </c>
      <c r="X3378" s="2">
        <f ca="1"/>
        <v>48.466167877044235</v>
      </c>
      <c r="AG3378" s="2">
        <f ca="1"/>
        <v>0.31741493712723479</v>
      </c>
      <c r="AH3378" s="2" t="str">
        <f ca="1"/>
        <v>OK</v>
      </c>
    </row>
    <row r="3379" spans="2:34">
      <c r="B3379" s="2">
        <f ca="1"/>
        <v>0.51794722880948241</v>
      </c>
      <c r="O3379" s="2">
        <f ca="1"/>
        <v>-0.35120196736888437</v>
      </c>
      <c r="X3379" s="2">
        <f ca="1"/>
        <v>63.022656802992145</v>
      </c>
      <c r="AG3379" s="2">
        <f ca="1"/>
        <v>0.84324300755675297</v>
      </c>
      <c r="AH3379" s="2" t="str">
        <f ca="1"/>
        <v>Bad</v>
      </c>
    </row>
    <row r="3380" spans="2:34">
      <c r="B3380" s="2">
        <f ca="1"/>
        <v>0.78058683997449041</v>
      </c>
      <c r="O3380" s="2">
        <f ca="1"/>
        <v>-0.70694130971191327</v>
      </c>
      <c r="X3380" s="2">
        <f ca="1"/>
        <v>37.749256044508499</v>
      </c>
      <c r="AG3380" s="2">
        <f ca="1"/>
        <v>0.74384412578217796</v>
      </c>
      <c r="AH3380" s="2" t="str">
        <f ca="1"/>
        <v>Bad</v>
      </c>
    </row>
    <row r="3381" spans="2:34">
      <c r="B3381" s="2">
        <f ca="1"/>
        <v>0.7848507909456317</v>
      </c>
      <c r="O3381" s="2">
        <f ca="1"/>
        <v>-0.48890556937777513</v>
      </c>
      <c r="X3381" s="2">
        <f ca="1"/>
        <v>68.390332591246704</v>
      </c>
      <c r="AG3381" s="2">
        <f ca="1"/>
        <v>0.79549236717777227</v>
      </c>
      <c r="AH3381" s="2" t="str">
        <f ca="1"/>
        <v>Bad</v>
      </c>
    </row>
    <row r="3382" spans="2:34">
      <c r="B3382" s="2">
        <f ca="1"/>
        <v>0.5519855096244275</v>
      </c>
      <c r="O3382" s="2">
        <f ca="1"/>
        <v>0.33664148528139753</v>
      </c>
      <c r="X3382" s="2">
        <f ca="1"/>
        <v>58.980996169113567</v>
      </c>
      <c r="AG3382" s="2">
        <f ca="1"/>
        <v>0.56049431637065372</v>
      </c>
      <c r="AH3382" s="2" t="str">
        <f ca="1"/>
        <v>Bad</v>
      </c>
    </row>
    <row r="3383" spans="2:34">
      <c r="B3383" s="2">
        <f ca="1"/>
        <v>0.14977698367187386</v>
      </c>
      <c r="O3383" s="2">
        <f ca="1"/>
        <v>1.888608881233131</v>
      </c>
      <c r="X3383" s="2">
        <f ca="1"/>
        <v>40.293485918129761</v>
      </c>
      <c r="AG3383" s="2">
        <f ca="1"/>
        <v>0.79098800605867603</v>
      </c>
      <c r="AH3383" s="2" t="str">
        <f ca="1"/>
        <v>Bad</v>
      </c>
    </row>
    <row r="3384" spans="2:34">
      <c r="B3384" s="2">
        <f ca="1"/>
        <v>0.27443492158058902</v>
      </c>
      <c r="O3384" s="2">
        <f ca="1"/>
        <v>-0.5365182448941842</v>
      </c>
      <c r="X3384" s="2">
        <f ca="1"/>
        <v>75.463983165561331</v>
      </c>
      <c r="AG3384" s="2">
        <f ca="1"/>
        <v>0.8331268310455322</v>
      </c>
      <c r="AH3384" s="2" t="str">
        <f ca="1"/>
        <v>Bad</v>
      </c>
    </row>
    <row r="3385" spans="2:34">
      <c r="B3385" s="2">
        <f ca="1"/>
        <v>0.7919525537766583</v>
      </c>
      <c r="O3385" s="2">
        <f ca="1"/>
        <v>-0.74988100380103395</v>
      </c>
      <c r="X3385" s="2">
        <f ca="1"/>
        <v>50.6137244422832</v>
      </c>
      <c r="AG3385" s="2">
        <f ca="1"/>
        <v>0.48840610547630292</v>
      </c>
      <c r="AH3385" s="2" t="str">
        <f ca="1"/>
        <v>Bad</v>
      </c>
    </row>
    <row r="3386" spans="2:34">
      <c r="B3386" s="2">
        <f ca="1"/>
        <v>0.42388594627858844</v>
      </c>
      <c r="O3386" s="2">
        <f ca="1"/>
        <v>-0.16630182666654447</v>
      </c>
      <c r="X3386" s="2">
        <f ca="1"/>
        <v>29.681681454209063</v>
      </c>
      <c r="AG3386" s="2">
        <f ca="1"/>
        <v>0.15576766212565318</v>
      </c>
      <c r="AH3386" s="2" t="str">
        <f ca="1"/>
        <v>OK</v>
      </c>
    </row>
    <row r="3387" spans="2:34">
      <c r="B3387" s="2">
        <f ca="1"/>
        <v>0.52031716239258707</v>
      </c>
      <c r="O3387" s="2">
        <f ca="1"/>
        <v>2.0994664812974704</v>
      </c>
      <c r="X3387" s="2">
        <f ca="1"/>
        <v>51.284865859525517</v>
      </c>
      <c r="AG3387" s="2">
        <f ca="1"/>
        <v>0.16656949589842984</v>
      </c>
      <c r="AH3387" s="2" t="str">
        <f ca="1"/>
        <v>OK</v>
      </c>
    </row>
    <row r="3388" spans="2:34">
      <c r="B3388" s="2">
        <f ca="1"/>
        <v>0.13971397623756543</v>
      </c>
      <c r="O3388" s="2">
        <f ca="1"/>
        <v>0.24863337722831472</v>
      </c>
      <c r="X3388" s="2">
        <f ca="1"/>
        <v>36.776893386117813</v>
      </c>
      <c r="AG3388" s="2">
        <f ca="1"/>
        <v>0.39907057123241052</v>
      </c>
      <c r="AH3388" s="2" t="str">
        <f ca="1"/>
        <v>OK</v>
      </c>
    </row>
    <row r="3389" spans="2:34">
      <c r="B3389" s="2">
        <f ca="1"/>
        <v>0.80308826604913941</v>
      </c>
      <c r="O3389" s="2">
        <f ca="1"/>
        <v>1.3353121305685622</v>
      </c>
      <c r="X3389" s="2">
        <f ca="1"/>
        <v>52.335803718651249</v>
      </c>
      <c r="AG3389" s="2">
        <f ca="1"/>
        <v>0.87151850101668038</v>
      </c>
      <c r="AH3389" s="2" t="str">
        <f ca="1"/>
        <v>Bad</v>
      </c>
    </row>
    <row r="3390" spans="2:34">
      <c r="B3390" s="2">
        <f ca="1"/>
        <v>0.23335880910294038</v>
      </c>
      <c r="O3390" s="2">
        <f ca="1"/>
        <v>-1.2648341306821145</v>
      </c>
      <c r="X3390" s="2">
        <f ca="1"/>
        <v>35.078752373616936</v>
      </c>
      <c r="AG3390" s="2">
        <f ca="1"/>
        <v>0.57622867995036664</v>
      </c>
      <c r="AH3390" s="2" t="str">
        <f ca="1"/>
        <v>Bad</v>
      </c>
    </row>
    <row r="3391" spans="2:34">
      <c r="B3391" s="2">
        <f ca="1"/>
        <v>0.23972029686132657</v>
      </c>
      <c r="O3391" s="2">
        <f ca="1"/>
        <v>-1.2727389556069315</v>
      </c>
      <c r="X3391" s="2">
        <f ca="1"/>
        <v>54.46722853106106</v>
      </c>
      <c r="AG3391" s="2">
        <f ca="1"/>
        <v>8.1206193307166163E-2</v>
      </c>
      <c r="AH3391" s="2" t="str">
        <f ca="1"/>
        <v>OK</v>
      </c>
    </row>
    <row r="3392" spans="2:34">
      <c r="B3392" s="2">
        <f ca="1"/>
        <v>0.7249537923788929</v>
      </c>
      <c r="O3392" s="2">
        <f ca="1"/>
        <v>1.0163022323522253</v>
      </c>
      <c r="X3392" s="2">
        <f ca="1"/>
        <v>38.994292546301722</v>
      </c>
      <c r="AG3392" s="2">
        <f ca="1"/>
        <v>0.83181824976693419</v>
      </c>
      <c r="AH3392" s="2" t="str">
        <f ca="1"/>
        <v>Bad</v>
      </c>
    </row>
    <row r="3393" spans="2:34">
      <c r="B3393" s="2">
        <f ca="1"/>
        <v>0.71793369860478062</v>
      </c>
      <c r="O3393" s="2">
        <f ca="1"/>
        <v>-0.70442985379660461</v>
      </c>
      <c r="X3393" s="2">
        <f ca="1"/>
        <v>45.358038078389605</v>
      </c>
      <c r="AG3393" s="2">
        <f ca="1"/>
        <v>0.6678008724991904</v>
      </c>
      <c r="AH3393" s="2" t="str">
        <f ca="1"/>
        <v>Bad</v>
      </c>
    </row>
    <row r="3394" spans="2:34">
      <c r="B3394" s="2">
        <f ca="1"/>
        <v>0.20433282857904289</v>
      </c>
      <c r="O3394" s="2">
        <f ca="1"/>
        <v>1.6299794205754301</v>
      </c>
      <c r="X3394" s="2">
        <f ca="1"/>
        <v>66.712151661341977</v>
      </c>
      <c r="AG3394" s="2">
        <f ca="1"/>
        <v>0.90406164410710321</v>
      </c>
      <c r="AH3394" s="2" t="str">
        <f ca="1"/>
        <v>Bad</v>
      </c>
    </row>
    <row r="3395" spans="2:34">
      <c r="B3395" s="2">
        <f ca="1"/>
        <v>0.8583464026571086</v>
      </c>
      <c r="O3395" s="2">
        <f ca="1"/>
        <v>-0.26953544327401552</v>
      </c>
      <c r="X3395" s="2">
        <f ca="1"/>
        <v>59.832227534809945</v>
      </c>
      <c r="AG3395" s="2">
        <f ca="1"/>
        <v>0.80857720629790508</v>
      </c>
      <c r="AH3395" s="2" t="str">
        <f ca="1"/>
        <v>Bad</v>
      </c>
    </row>
    <row r="3396" spans="2:34">
      <c r="B3396" s="2">
        <f ca="1"/>
        <v>0.44627438180638457</v>
      </c>
      <c r="O3396" s="2">
        <f ca="1"/>
        <v>1.3469560870354784</v>
      </c>
      <c r="X3396" s="2">
        <f ca="1"/>
        <v>65.620151236450312</v>
      </c>
      <c r="AG3396" s="2">
        <f ca="1"/>
        <v>0.18861151631076245</v>
      </c>
      <c r="AH3396" s="2" t="str">
        <f ca="1"/>
        <v>OK</v>
      </c>
    </row>
    <row r="3397" spans="2:34">
      <c r="B3397" s="2">
        <f ca="1"/>
        <v>0.22007667655723484</v>
      </c>
      <c r="O3397" s="2">
        <f ca="1"/>
        <v>-0.27000514883964732</v>
      </c>
      <c r="X3397" s="2">
        <f ca="1"/>
        <v>36.424297241309191</v>
      </c>
      <c r="AG3397" s="2">
        <f ca="1"/>
        <v>0.3023002150613292</v>
      </c>
      <c r="AH3397" s="2" t="str">
        <f ca="1"/>
        <v>OK</v>
      </c>
    </row>
    <row r="3398" spans="2:34">
      <c r="B3398" s="2">
        <f ca="1"/>
        <v>0.86004063705121081</v>
      </c>
      <c r="O3398" s="2">
        <f ca="1"/>
        <v>4.1092366233299503E-2</v>
      </c>
      <c r="X3398" s="2">
        <f ca="1"/>
        <v>80.416034418170099</v>
      </c>
      <c r="AG3398" s="2">
        <f ca="1"/>
        <v>0.88133348839015824</v>
      </c>
      <c r="AH3398" s="2" t="str">
        <f ca="1"/>
        <v>Bad</v>
      </c>
    </row>
    <row r="3399" spans="2:34">
      <c r="B3399" s="2">
        <f ca="1"/>
        <v>0.14278441514073914</v>
      </c>
      <c r="O3399" s="2">
        <f ca="1"/>
        <v>-1.6481461496298642</v>
      </c>
      <c r="X3399" s="2">
        <f ca="1"/>
        <v>47.690656684995538</v>
      </c>
      <c r="AG3399" s="2">
        <f ca="1"/>
        <v>0.53873244415321087</v>
      </c>
      <c r="AH3399" s="2" t="str">
        <f ca="1"/>
        <v>Bad</v>
      </c>
    </row>
    <row r="3400" spans="2:34">
      <c r="B3400" s="2">
        <f ca="1"/>
        <v>0.5958866844970685</v>
      </c>
      <c r="O3400" s="2">
        <f ca="1"/>
        <v>1.6651869060332694</v>
      </c>
      <c r="X3400" s="2">
        <f ca="1"/>
        <v>50.73547856947382</v>
      </c>
      <c r="AG3400" s="2">
        <f ca="1"/>
        <v>0.51971907722520738</v>
      </c>
      <c r="AH3400" s="2" t="str">
        <f ca="1"/>
        <v>Bad</v>
      </c>
    </row>
    <row r="3401" spans="2:34">
      <c r="B3401" s="2">
        <f ca="1"/>
        <v>0.1454324835792582</v>
      </c>
      <c r="O3401" s="2">
        <f ca="1"/>
        <v>0.67786538503520444</v>
      </c>
      <c r="X3401" s="2">
        <f ca="1"/>
        <v>51.985630082043073</v>
      </c>
      <c r="AG3401" s="2">
        <f ca="1"/>
        <v>0.44333665769642061</v>
      </c>
      <c r="AH3401" s="2" t="str">
        <f ca="1"/>
        <v>Bad</v>
      </c>
    </row>
    <row r="3402" spans="2:34">
      <c r="B3402" s="2">
        <f ca="1"/>
        <v>0.24398940468765473</v>
      </c>
      <c r="O3402" s="2">
        <f ca="1"/>
        <v>-0.83311734470571419</v>
      </c>
      <c r="X3402" s="2">
        <f ca="1"/>
        <v>44.490087990686604</v>
      </c>
      <c r="AG3402" s="2">
        <f ca="1"/>
        <v>0.82835095095719247</v>
      </c>
      <c r="AH3402" s="2" t="str">
        <f ca="1"/>
        <v>Bad</v>
      </c>
    </row>
    <row r="3403" spans="2:34">
      <c r="B3403" s="2">
        <f ca="1"/>
        <v>0.3699793273912928</v>
      </c>
      <c r="O3403" s="2">
        <f ca="1"/>
        <v>-0.67677017531986816</v>
      </c>
      <c r="X3403" s="2">
        <f ca="1"/>
        <v>44.420876190931722</v>
      </c>
      <c r="AG3403" s="2">
        <f ca="1"/>
        <v>0.43395332341519999</v>
      </c>
      <c r="AH3403" s="2" t="str">
        <f ca="1"/>
        <v>Bad</v>
      </c>
    </row>
    <row r="3404" spans="2:34">
      <c r="B3404" s="2">
        <f ca="1"/>
        <v>5.3600468131357548E-2</v>
      </c>
      <c r="O3404" s="2">
        <f ca="1"/>
        <v>0.55222662521202015</v>
      </c>
      <c r="X3404" s="2">
        <f ca="1"/>
        <v>26.230659208240429</v>
      </c>
      <c r="AG3404" s="2">
        <f ca="1"/>
        <v>0.59068264234649925</v>
      </c>
      <c r="AH3404" s="2" t="str">
        <f ca="1"/>
        <v>Bad</v>
      </c>
    </row>
    <row r="3405" spans="2:34">
      <c r="B3405" s="2">
        <f ca="1"/>
        <v>0.16455377400469251</v>
      </c>
      <c r="O3405" s="2">
        <f ca="1"/>
        <v>0.71963195038822281</v>
      </c>
      <c r="X3405" s="2">
        <f ca="1"/>
        <v>41.524853861294268</v>
      </c>
      <c r="AG3405" s="2">
        <f ca="1"/>
        <v>5.7690138305788397E-2</v>
      </c>
      <c r="AH3405" s="2" t="str">
        <f ca="1"/>
        <v>OK</v>
      </c>
    </row>
    <row r="3406" spans="2:34">
      <c r="B3406" s="2">
        <f ca="1"/>
        <v>0.89102876235551176</v>
      </c>
      <c r="O3406" s="2">
        <f ca="1"/>
        <v>0.80202624756213647</v>
      </c>
      <c r="X3406" s="2">
        <f ca="1"/>
        <v>66.54680565065317</v>
      </c>
      <c r="AG3406" s="2">
        <f ca="1"/>
        <v>0.20998008639043397</v>
      </c>
      <c r="AH3406" s="2" t="str">
        <f ca="1"/>
        <v>OK</v>
      </c>
    </row>
    <row r="3407" spans="2:34">
      <c r="B3407" s="2">
        <f ca="1"/>
        <v>2.6156185069126536E-2</v>
      </c>
      <c r="O3407" s="2">
        <f ca="1"/>
        <v>0.70203772048638546</v>
      </c>
      <c r="X3407" s="2">
        <f ca="1"/>
        <v>65.255068466143257</v>
      </c>
      <c r="AG3407" s="2">
        <f ca="1"/>
        <v>0.58239724790111791</v>
      </c>
      <c r="AH3407" s="2" t="str">
        <f ca="1"/>
        <v>Bad</v>
      </c>
    </row>
    <row r="3408" spans="2:34">
      <c r="B3408" s="2">
        <f ca="1"/>
        <v>0.84672100050208932</v>
      </c>
      <c r="O3408" s="2">
        <f ca="1"/>
        <v>1.0841046770711462</v>
      </c>
      <c r="X3408" s="2">
        <f ca="1"/>
        <v>42.985124115397177</v>
      </c>
      <c r="AG3408" s="2">
        <f ca="1"/>
        <v>2.2273717037002427E-5</v>
      </c>
      <c r="AH3408" s="2" t="str">
        <f ca="1"/>
        <v>Good</v>
      </c>
    </row>
    <row r="3409" spans="2:34">
      <c r="B3409" s="2">
        <f ca="1"/>
        <v>5.6582065895681266E-2</v>
      </c>
      <c r="O3409" s="2">
        <f ca="1"/>
        <v>1.5006097648942449</v>
      </c>
      <c r="X3409" s="2">
        <f ca="1"/>
        <v>47.90481478124083</v>
      </c>
      <c r="AG3409" s="2">
        <f ca="1"/>
        <v>0.87418750345301666</v>
      </c>
      <c r="AH3409" s="2" t="str">
        <f ca="1"/>
        <v>Bad</v>
      </c>
    </row>
    <row r="3410" spans="2:34">
      <c r="B3410" s="2">
        <f ca="1"/>
        <v>0.693199218438312</v>
      </c>
      <c r="O3410" s="2">
        <f ca="1"/>
        <v>1.6387676011896546</v>
      </c>
      <c r="X3410" s="2">
        <f ca="1"/>
        <v>65.124179652476442</v>
      </c>
      <c r="AG3410" s="2">
        <f ca="1"/>
        <v>3.4365453113035738E-2</v>
      </c>
      <c r="AH3410" s="2" t="str">
        <f ca="1"/>
        <v>Good</v>
      </c>
    </row>
    <row r="3411" spans="2:34">
      <c r="B3411" s="2">
        <f ca="1"/>
        <v>0.70364832914458098</v>
      </c>
      <c r="O3411" s="2">
        <f ca="1"/>
        <v>4.2321115465997594E-2</v>
      </c>
      <c r="X3411" s="2">
        <f ca="1"/>
        <v>25.552272402949903</v>
      </c>
      <c r="AG3411" s="2">
        <f ca="1"/>
        <v>0.57693433837931662</v>
      </c>
      <c r="AH3411" s="2" t="str">
        <f ca="1"/>
        <v>Bad</v>
      </c>
    </row>
    <row r="3412" spans="2:34">
      <c r="B3412" s="2">
        <f ca="1"/>
        <v>0.28418150463928016</v>
      </c>
      <c r="O3412" s="2">
        <f ca="1"/>
        <v>0.5465709310613146</v>
      </c>
      <c r="X3412" s="2">
        <f ca="1"/>
        <v>41.959030551883004</v>
      </c>
      <c r="AG3412" s="2">
        <f ca="1"/>
        <v>0.9107951763491382</v>
      </c>
      <c r="AH3412" s="2" t="str">
        <f ca="1"/>
        <v>Bad</v>
      </c>
    </row>
    <row r="3413" spans="2:34">
      <c r="B3413" s="2">
        <f ca="1"/>
        <v>0.74674235034058145</v>
      </c>
      <c r="O3413" s="2">
        <f ca="1"/>
        <v>-1.3851678962902803</v>
      </c>
      <c r="X3413" s="2">
        <f ca="1"/>
        <v>51.174545010444099</v>
      </c>
      <c r="AG3413" s="2">
        <f ca="1"/>
        <v>0.83234263758628124</v>
      </c>
      <c r="AH3413" s="2" t="str">
        <f ca="1"/>
        <v>Bad</v>
      </c>
    </row>
    <row r="3414" spans="2:34">
      <c r="B3414" s="2">
        <f ca="1"/>
        <v>0.14417352693750152</v>
      </c>
      <c r="O3414" s="2">
        <f ca="1"/>
        <v>0.57946944591102822</v>
      </c>
      <c r="X3414" s="2">
        <f ca="1"/>
        <v>25.173910757325594</v>
      </c>
      <c r="AG3414" s="2">
        <f ca="1"/>
        <v>0.19825395061103612</v>
      </c>
      <c r="AH3414" s="2" t="str">
        <f ca="1"/>
        <v>OK</v>
      </c>
    </row>
    <row r="3415" spans="2:34">
      <c r="B3415" s="2">
        <f ca="1"/>
        <v>0.87876250466489614</v>
      </c>
      <c r="O3415" s="2">
        <f ca="1"/>
        <v>-0.45135559241970524</v>
      </c>
      <c r="X3415" s="2">
        <f ca="1"/>
        <v>55.054457043672429</v>
      </c>
      <c r="AG3415" s="2">
        <f ca="1"/>
        <v>0.25317434965548591</v>
      </c>
      <c r="AH3415" s="2" t="str">
        <f ca="1"/>
        <v>OK</v>
      </c>
    </row>
    <row r="3416" spans="2:34">
      <c r="B3416" s="2">
        <f ca="1"/>
        <v>0.4931418427139036</v>
      </c>
      <c r="O3416" s="2">
        <f ca="1"/>
        <v>1.3779040953388064</v>
      </c>
      <c r="X3416" s="2">
        <f ca="1"/>
        <v>70.943137491511351</v>
      </c>
      <c r="AG3416" s="2">
        <f ca="1"/>
        <v>0.59995612701754775</v>
      </c>
      <c r="AH3416" s="2" t="str">
        <f ca="1"/>
        <v>Bad</v>
      </c>
    </row>
    <row r="3417" spans="2:34">
      <c r="B3417" s="2">
        <f ca="1"/>
        <v>0.52874713323356382</v>
      </c>
      <c r="O3417" s="2">
        <f ca="1"/>
        <v>-1.1639068465184381</v>
      </c>
      <c r="X3417" s="2">
        <f ca="1"/>
        <v>45.957236936238928</v>
      </c>
      <c r="AG3417" s="2">
        <f ca="1"/>
        <v>0.25289044911377823</v>
      </c>
      <c r="AH3417" s="2" t="str">
        <f ca="1"/>
        <v>OK</v>
      </c>
    </row>
    <row r="3418" spans="2:34">
      <c r="B3418" s="2">
        <f ca="1"/>
        <v>0.54616108131536212</v>
      </c>
      <c r="O3418" s="2">
        <f ca="1"/>
        <v>-0.50911296493103431</v>
      </c>
      <c r="X3418" s="2">
        <f ca="1"/>
        <v>46.540093709816716</v>
      </c>
      <c r="AG3418" s="2">
        <f ca="1"/>
        <v>0.84561673102345347</v>
      </c>
      <c r="AH3418" s="2" t="str">
        <f ca="1"/>
        <v>Bad</v>
      </c>
    </row>
    <row r="3419" spans="2:34">
      <c r="B3419" s="2">
        <f ca="1"/>
        <v>0.3882819169862477</v>
      </c>
      <c r="O3419" s="2">
        <f ca="1"/>
        <v>0.40541504958575891</v>
      </c>
      <c r="X3419" s="2">
        <f ca="1"/>
        <v>26.539160212501844</v>
      </c>
      <c r="AG3419" s="2">
        <f ca="1"/>
        <v>0.30952443820709385</v>
      </c>
      <c r="AH3419" s="2" t="str">
        <f ca="1"/>
        <v>OK</v>
      </c>
    </row>
    <row r="3420" spans="2:34">
      <c r="B3420" s="2">
        <f ca="1"/>
        <v>0.42065428015524908</v>
      </c>
      <c r="O3420" s="2">
        <f ca="1"/>
        <v>-0.27555497205512391</v>
      </c>
      <c r="X3420" s="2">
        <f ca="1"/>
        <v>42.146269327073931</v>
      </c>
      <c r="AG3420" s="2">
        <f ca="1"/>
        <v>0.89593707036191494</v>
      </c>
      <c r="AH3420" s="2" t="str">
        <f ca="1"/>
        <v>Bad</v>
      </c>
    </row>
    <row r="3421" spans="2:34">
      <c r="B3421" s="2">
        <f ca="1"/>
        <v>0.77111833984535427</v>
      </c>
      <c r="O3421" s="2">
        <f ca="1"/>
        <v>2.4929339414173488</v>
      </c>
      <c r="X3421" s="2">
        <f ca="1"/>
        <v>50.161567318924909</v>
      </c>
      <c r="AG3421" s="2">
        <f ca="1"/>
        <v>0.58641062763877949</v>
      </c>
      <c r="AH3421" s="2" t="str">
        <f ca="1"/>
        <v>Bad</v>
      </c>
    </row>
    <row r="3422" spans="2:34">
      <c r="B3422" s="2">
        <f ca="1"/>
        <v>0.23079032364978258</v>
      </c>
      <c r="O3422" s="2">
        <f ca="1"/>
        <v>1.7324862041165798</v>
      </c>
      <c r="X3422" s="2">
        <f ca="1"/>
        <v>67.583390452397069</v>
      </c>
      <c r="AG3422" s="2">
        <f ca="1"/>
        <v>0.13752830288572215</v>
      </c>
      <c r="AH3422" s="2" t="str">
        <f ca="1"/>
        <v>OK</v>
      </c>
    </row>
    <row r="3423" spans="2:34">
      <c r="B3423" s="2">
        <f ca="1"/>
        <v>0.58866367926874918</v>
      </c>
      <c r="O3423" s="2">
        <f ca="1"/>
        <v>1.2573814295121482</v>
      </c>
      <c r="X3423" s="2">
        <f ca="1"/>
        <v>40.956133115572435</v>
      </c>
      <c r="AG3423" s="2">
        <f ca="1"/>
        <v>0.86436981632918863</v>
      </c>
      <c r="AH3423" s="2" t="str">
        <f ca="1"/>
        <v>Bad</v>
      </c>
    </row>
    <row r="3424" spans="2:34">
      <c r="B3424" s="2">
        <f ca="1"/>
        <v>0.21996887826101386</v>
      </c>
      <c r="O3424" s="2">
        <f ca="1"/>
        <v>-1.4175679100762115</v>
      </c>
      <c r="X3424" s="2">
        <f ca="1"/>
        <v>39.877990726494687</v>
      </c>
      <c r="AG3424" s="2">
        <f ca="1"/>
        <v>0.28155076557280823</v>
      </c>
      <c r="AH3424" s="2" t="str">
        <f ca="1"/>
        <v>OK</v>
      </c>
    </row>
    <row r="3425" spans="2:34">
      <c r="B3425" s="2">
        <f ca="1"/>
        <v>4.6351334436260938E-2</v>
      </c>
      <c r="O3425" s="2">
        <f ca="1"/>
        <v>1.1063894414495385</v>
      </c>
      <c r="X3425" s="2">
        <f ca="1"/>
        <v>44.578681732336634</v>
      </c>
      <c r="AG3425" s="2">
        <f ca="1"/>
        <v>0.89583104494351828</v>
      </c>
      <c r="AH3425" s="2" t="str">
        <f ca="1"/>
        <v>Bad</v>
      </c>
    </row>
    <row r="3426" spans="2:34">
      <c r="B3426" s="2">
        <f ca="1"/>
        <v>0.79567296877422722</v>
      </c>
      <c r="O3426" s="2">
        <f ca="1"/>
        <v>0.75749031895604246</v>
      </c>
      <c r="X3426" s="2">
        <f ca="1"/>
        <v>72.622805341965147</v>
      </c>
      <c r="AG3426" s="2">
        <f ca="1"/>
        <v>3.3026077666555631E-2</v>
      </c>
      <c r="AH3426" s="2" t="str">
        <f ca="1"/>
        <v>Good</v>
      </c>
    </row>
    <row r="3427" spans="2:34">
      <c r="B3427" s="2">
        <f ca="1"/>
        <v>0.15907168413786144</v>
      </c>
      <c r="O3427" s="2">
        <f ca="1"/>
        <v>-0.46394877318625521</v>
      </c>
      <c r="X3427" s="2">
        <f ca="1"/>
        <v>53.255856096355004</v>
      </c>
      <c r="AG3427" s="2">
        <f ca="1"/>
        <v>0.59145237944850271</v>
      </c>
      <c r="AH3427" s="2" t="str">
        <f ca="1"/>
        <v>Bad</v>
      </c>
    </row>
    <row r="3428" spans="2:34">
      <c r="B3428" s="2">
        <f ca="1"/>
        <v>0.310826445942322</v>
      </c>
      <c r="O3428" s="2">
        <f ca="1"/>
        <v>1.2215255646196284</v>
      </c>
      <c r="X3428" s="2">
        <f ca="1"/>
        <v>39.814531145894001</v>
      </c>
      <c r="AG3428" s="2">
        <f ca="1"/>
        <v>0.57931186820173841</v>
      </c>
      <c r="AH3428" s="2" t="str">
        <f ca="1"/>
        <v>Bad</v>
      </c>
    </row>
    <row r="3429" spans="2:34">
      <c r="B3429" s="2">
        <f ca="1"/>
        <v>0.78362427472807483</v>
      </c>
      <c r="O3429" s="2">
        <f ca="1"/>
        <v>0.23481494860049901</v>
      </c>
      <c r="X3429" s="2">
        <f ca="1"/>
        <v>24.301218628937654</v>
      </c>
      <c r="AG3429" s="2">
        <f ca="1"/>
        <v>0.54935246943650173</v>
      </c>
      <c r="AH3429" s="2" t="str">
        <f ca="1"/>
        <v>Bad</v>
      </c>
    </row>
    <row r="3430" spans="2:34">
      <c r="B3430" s="2">
        <f ca="1"/>
        <v>0.8138486155444522</v>
      </c>
      <c r="O3430" s="2">
        <f ca="1"/>
        <v>-0.53688503178484359</v>
      </c>
      <c r="X3430" s="2">
        <f ca="1"/>
        <v>65.075007065083213</v>
      </c>
      <c r="AG3430" s="2">
        <f ca="1"/>
        <v>0.7283505511884405</v>
      </c>
      <c r="AH3430" s="2" t="str">
        <f ca="1"/>
        <v>Bad</v>
      </c>
    </row>
    <row r="3431" spans="2:34">
      <c r="B3431" s="2">
        <f ca="1"/>
        <v>0.73924243344676666</v>
      </c>
      <c r="O3431" s="2">
        <f ca="1"/>
        <v>-0.30455097266453424</v>
      </c>
      <c r="X3431" s="2">
        <f ca="1"/>
        <v>40.775624385553897</v>
      </c>
      <c r="AG3431" s="2">
        <f ca="1"/>
        <v>0.40763597829874554</v>
      </c>
      <c r="AH3431" s="2" t="str">
        <f ca="1"/>
        <v>Bad</v>
      </c>
    </row>
    <row r="3432" spans="2:34">
      <c r="B3432" s="2">
        <f ca="1"/>
        <v>0.584464444899081</v>
      </c>
      <c r="O3432" s="2">
        <f ca="1"/>
        <v>0.82125500712506305</v>
      </c>
      <c r="X3432" s="2">
        <f ca="1"/>
        <v>50.305851675299252</v>
      </c>
      <c r="AG3432" s="2">
        <f ca="1"/>
        <v>0.20846017290038321</v>
      </c>
      <c r="AH3432" s="2" t="str">
        <f ca="1"/>
        <v>OK</v>
      </c>
    </row>
    <row r="3433" spans="2:34">
      <c r="B3433" s="2">
        <f ca="1"/>
        <v>0.10869798829103594</v>
      </c>
      <c r="O3433" s="2">
        <f ca="1"/>
        <v>0.34107296236208334</v>
      </c>
      <c r="X3433" s="2">
        <f ca="1"/>
        <v>31.05881675122966</v>
      </c>
      <c r="AG3433" s="2">
        <f ca="1"/>
        <v>0.19272999346360131</v>
      </c>
      <c r="AH3433" s="2" t="str">
        <f ca="1"/>
        <v>OK</v>
      </c>
    </row>
    <row r="3434" spans="2:34">
      <c r="B3434" s="2">
        <f ca="1"/>
        <v>0.94609473740691641</v>
      </c>
      <c r="O3434" s="2">
        <f ca="1"/>
        <v>0.85745816587992674</v>
      </c>
      <c r="X3434" s="2">
        <f ca="1"/>
        <v>31.588445684399229</v>
      </c>
      <c r="AG3434" s="2">
        <f ca="1"/>
        <v>0.59541354872412655</v>
      </c>
      <c r="AH3434" s="2" t="str">
        <f ca="1"/>
        <v>Bad</v>
      </c>
    </row>
    <row r="3435" spans="2:34">
      <c r="B3435" s="2">
        <f ca="1"/>
        <v>0.57905722283032879</v>
      </c>
      <c r="O3435" s="2">
        <f ca="1"/>
        <v>0.55583795085138288</v>
      </c>
      <c r="X3435" s="2">
        <f ca="1"/>
        <v>24.615845905337231</v>
      </c>
      <c r="AG3435" s="2">
        <f ca="1"/>
        <v>0.88645336186135992</v>
      </c>
      <c r="AH3435" s="2" t="str">
        <f ca="1"/>
        <v>Bad</v>
      </c>
    </row>
    <row r="3436" spans="2:34">
      <c r="B3436" s="2">
        <f ca="1"/>
        <v>0.64845886500301297</v>
      </c>
      <c r="O3436" s="2">
        <f ca="1"/>
        <v>-1.2895519383334861</v>
      </c>
      <c r="X3436" s="2">
        <f ca="1"/>
        <v>50.807733435060733</v>
      </c>
      <c r="AG3436" s="2">
        <f ca="1"/>
        <v>0.80935124200499242</v>
      </c>
      <c r="AH3436" s="2" t="str">
        <f ca="1"/>
        <v>Bad</v>
      </c>
    </row>
    <row r="3437" spans="2:34">
      <c r="B3437" s="2">
        <f ca="1"/>
        <v>0.94379787274578364</v>
      </c>
      <c r="O3437" s="2">
        <f ca="1"/>
        <v>-0.1495389937922906</v>
      </c>
      <c r="X3437" s="2">
        <f ca="1"/>
        <v>49.430915221394542</v>
      </c>
      <c r="AG3437" s="2">
        <f ca="1"/>
        <v>0.9840569610235248</v>
      </c>
      <c r="AH3437" s="2" t="str">
        <f ca="1"/>
        <v>Bad</v>
      </c>
    </row>
    <row r="3438" spans="2:34">
      <c r="B3438" s="2">
        <f ca="1"/>
        <v>0.21782978972290978</v>
      </c>
      <c r="O3438" s="2">
        <f ca="1"/>
        <v>1.9095586920130541</v>
      </c>
      <c r="X3438" s="2">
        <f ca="1"/>
        <v>37.003562756137953</v>
      </c>
      <c r="AG3438" s="2">
        <f ca="1"/>
        <v>6.470927466600962E-2</v>
      </c>
      <c r="AH3438" s="2" t="str">
        <f ca="1"/>
        <v>OK</v>
      </c>
    </row>
    <row r="3439" spans="2:34">
      <c r="B3439" s="2">
        <f ca="1"/>
        <v>0.35796222356526242</v>
      </c>
      <c r="O3439" s="2">
        <f ca="1"/>
        <v>-0.70711902337872656</v>
      </c>
      <c r="X3439" s="2">
        <f ca="1"/>
        <v>28.512970495701747</v>
      </c>
      <c r="AG3439" s="2">
        <f ca="1"/>
        <v>8.0044720846642603E-2</v>
      </c>
      <c r="AH3439" s="2" t="str">
        <f ca="1"/>
        <v>OK</v>
      </c>
    </row>
    <row r="3440" spans="2:34">
      <c r="B3440" s="2">
        <f ca="1"/>
        <v>0.52225466010491872</v>
      </c>
      <c r="O3440" s="2">
        <f ca="1"/>
        <v>-1.0393309305482896</v>
      </c>
      <c r="X3440" s="2">
        <f ca="1"/>
        <v>59.418750684208057</v>
      </c>
      <c r="AG3440" s="2">
        <f ca="1"/>
        <v>0.3336863129608878</v>
      </c>
      <c r="AH3440" s="2" t="str">
        <f ca="1"/>
        <v>OK</v>
      </c>
    </row>
    <row r="3441" spans="2:34">
      <c r="B3441" s="2">
        <f ca="1"/>
        <v>0.65904322155321182</v>
      </c>
      <c r="O3441" s="2">
        <f ca="1"/>
        <v>-0.74208861543343063</v>
      </c>
      <c r="X3441" s="2">
        <f ca="1"/>
        <v>62.868979309514692</v>
      </c>
      <c r="AG3441" s="2">
        <f ca="1"/>
        <v>0.55500898268113263</v>
      </c>
      <c r="AH3441" s="2" t="str">
        <f ca="1"/>
        <v>Bad</v>
      </c>
    </row>
    <row r="3442" spans="2:34">
      <c r="B3442" s="2">
        <f ca="1"/>
        <v>0.43273782527866178</v>
      </c>
      <c r="O3442" s="2">
        <f ca="1"/>
        <v>-0.71339037500163893</v>
      </c>
      <c r="X3442" s="2">
        <f ca="1"/>
        <v>35.938435498387577</v>
      </c>
      <c r="AG3442" s="2">
        <f ca="1"/>
        <v>0.48254206071698169</v>
      </c>
      <c r="AH3442" s="2" t="str">
        <f ca="1"/>
        <v>Bad</v>
      </c>
    </row>
    <row r="3443" spans="2:34">
      <c r="B3443" s="2">
        <f ca="1"/>
        <v>0.6578334015491063</v>
      </c>
      <c r="O3443" s="2">
        <f ca="1"/>
        <v>0.35377061562617673</v>
      </c>
      <c r="X3443" s="2">
        <f ca="1"/>
        <v>56.329360324287052</v>
      </c>
      <c r="AG3443" s="2">
        <f ca="1"/>
        <v>0.25978693527212093</v>
      </c>
      <c r="AH3443" s="2" t="str">
        <f ca="1"/>
        <v>OK</v>
      </c>
    </row>
    <row r="3444" spans="2:34">
      <c r="B3444" s="2">
        <f ca="1"/>
        <v>0.59714205336454418</v>
      </c>
      <c r="O3444" s="2">
        <f ca="1"/>
        <v>-0.29874824842050668</v>
      </c>
      <c r="X3444" s="2">
        <f ca="1"/>
        <v>68.696668510811492</v>
      </c>
      <c r="AG3444" s="2">
        <f ca="1"/>
        <v>0.67707774858037562</v>
      </c>
      <c r="AH3444" s="2" t="str">
        <f ca="1"/>
        <v>Bad</v>
      </c>
    </row>
    <row r="3445" spans="2:34">
      <c r="B3445" s="2">
        <f ca="1"/>
        <v>0.77245901672465611</v>
      </c>
      <c r="O3445" s="2">
        <f ca="1"/>
        <v>0.24092770860782406</v>
      </c>
      <c r="X3445" s="2">
        <f ca="1"/>
        <v>34.12444486919518</v>
      </c>
      <c r="AG3445" s="2">
        <f ca="1"/>
        <v>0.44018339286366803</v>
      </c>
      <c r="AH3445" s="2" t="str">
        <f ca="1"/>
        <v>Bad</v>
      </c>
    </row>
    <row r="3446" spans="2:34">
      <c r="B3446" s="2">
        <f ca="1"/>
        <v>0.29383084809127236</v>
      </c>
      <c r="O3446" s="2">
        <f ca="1"/>
        <v>0.20960742394239351</v>
      </c>
      <c r="X3446" s="2">
        <f ca="1"/>
        <v>78.160579291253967</v>
      </c>
      <c r="AG3446" s="2">
        <f ca="1"/>
        <v>0.3500409287177817</v>
      </c>
      <c r="AH3446" s="2" t="str">
        <f ca="1"/>
        <v>OK</v>
      </c>
    </row>
    <row r="3447" spans="2:34">
      <c r="B3447" s="2">
        <f ca="1"/>
        <v>0.42335884915914779</v>
      </c>
      <c r="O3447" s="2">
        <f ca="1"/>
        <v>0.65465251898094456</v>
      </c>
      <c r="X3447" s="2">
        <f ca="1"/>
        <v>83.810445875930213</v>
      </c>
      <c r="AG3447" s="2">
        <f ca="1"/>
        <v>0.15220712906073364</v>
      </c>
      <c r="AH3447" s="2" t="str">
        <f ca="1"/>
        <v>OK</v>
      </c>
    </row>
    <row r="3448" spans="2:34">
      <c r="B3448" s="2">
        <f ca="1"/>
        <v>0.62160148477894173</v>
      </c>
      <c r="O3448" s="2">
        <f ca="1"/>
        <v>9.0940401334210996E-2</v>
      </c>
      <c r="X3448" s="2">
        <f ca="1"/>
        <v>54.950174914526634</v>
      </c>
      <c r="AG3448" s="2">
        <f ca="1"/>
        <v>0.61566870611801927</v>
      </c>
      <c r="AH3448" s="2" t="str">
        <f ca="1"/>
        <v>Bad</v>
      </c>
    </row>
    <row r="3449" spans="2:34">
      <c r="B3449" s="2">
        <f ca="1"/>
        <v>0.67275997339239679</v>
      </c>
      <c r="O3449" s="2">
        <f ca="1"/>
        <v>0.31307897741512414</v>
      </c>
      <c r="X3449" s="2">
        <f ca="1"/>
        <v>41.682817881056017</v>
      </c>
      <c r="AG3449" s="2">
        <f ca="1"/>
        <v>0.86075382987902627</v>
      </c>
      <c r="AH3449" s="2" t="str">
        <f ca="1"/>
        <v>Bad</v>
      </c>
    </row>
    <row r="3450" spans="2:34">
      <c r="B3450" s="2">
        <f ca="1"/>
        <v>0.27037012979359787</v>
      </c>
      <c r="O3450" s="2">
        <f ca="1"/>
        <v>-0.19241745832257232</v>
      </c>
      <c r="X3450" s="2">
        <f ca="1"/>
        <v>44.036912881098552</v>
      </c>
      <c r="AG3450" s="2">
        <f ca="1"/>
        <v>0.14075769490516188</v>
      </c>
      <c r="AH3450" s="2" t="str">
        <f ca="1"/>
        <v>OK</v>
      </c>
    </row>
    <row r="3451" spans="2:34">
      <c r="B3451" s="2">
        <f ca="1"/>
        <v>0.29965185655186666</v>
      </c>
      <c r="O3451" s="2">
        <f ca="1"/>
        <v>-1.2663874310299001</v>
      </c>
      <c r="X3451" s="2">
        <f ca="1"/>
        <v>26.311038025494643</v>
      </c>
      <c r="AG3451" s="2">
        <f ca="1"/>
        <v>0.62382360317934982</v>
      </c>
      <c r="AH3451" s="2" t="str">
        <f ca="1"/>
        <v>Bad</v>
      </c>
    </row>
    <row r="3452" spans="2:34">
      <c r="B3452" s="2">
        <f ca="1"/>
        <v>2.3659850862842724E-2</v>
      </c>
      <c r="O3452" s="2">
        <f ca="1"/>
        <v>0.94012286273849666</v>
      </c>
      <c r="X3452" s="2">
        <f ca="1"/>
        <v>71.186923109227749</v>
      </c>
      <c r="AG3452" s="2">
        <f ca="1"/>
        <v>5.2497855507818159E-3</v>
      </c>
      <c r="AH3452" s="2" t="str">
        <f ca="1"/>
        <v>Good</v>
      </c>
    </row>
    <row r="3453" spans="2:34">
      <c r="B3453" s="2">
        <f ca="1"/>
        <v>0.47486502015167686</v>
      </c>
      <c r="O3453" s="2">
        <f ca="1"/>
        <v>1.4708671654008718</v>
      </c>
      <c r="X3453" s="2">
        <f ca="1"/>
        <v>73.550325327198436</v>
      </c>
      <c r="AG3453" s="2">
        <f ca="1"/>
        <v>0.89284909809464019</v>
      </c>
      <c r="AH3453" s="2" t="str">
        <f ca="1"/>
        <v>Bad</v>
      </c>
    </row>
    <row r="3454" spans="2:34">
      <c r="B3454" s="2">
        <f ca="1"/>
        <v>0.83431403707174812</v>
      </c>
      <c r="O3454" s="2">
        <f ca="1"/>
        <v>0.81719482509857655</v>
      </c>
      <c r="X3454" s="2">
        <f ca="1"/>
        <v>43.585695820041188</v>
      </c>
      <c r="AG3454" s="2">
        <f ca="1"/>
        <v>0.63800658290121048</v>
      </c>
      <c r="AH3454" s="2" t="str">
        <f ca="1"/>
        <v>Bad</v>
      </c>
    </row>
    <row r="3455" spans="2:34">
      <c r="B3455" s="2">
        <f ca="1"/>
        <v>0.33739280155453444</v>
      </c>
      <c r="O3455" s="2">
        <f ca="1"/>
        <v>-0.12827320102657239</v>
      </c>
      <c r="X3455" s="2">
        <f ca="1"/>
        <v>43.482224843798328</v>
      </c>
      <c r="AG3455" s="2">
        <f ca="1"/>
        <v>5.9909515340768271E-2</v>
      </c>
      <c r="AH3455" s="2" t="str">
        <f ca="1"/>
        <v>OK</v>
      </c>
    </row>
    <row r="3456" spans="2:34">
      <c r="B3456" s="2">
        <f ca="1"/>
        <v>0.44483811781362537</v>
      </c>
      <c r="O3456" s="2">
        <f ca="1"/>
        <v>0.8962501649375586</v>
      </c>
      <c r="X3456" s="2">
        <f ca="1"/>
        <v>37.970143332011418</v>
      </c>
      <c r="AG3456" s="2">
        <f ca="1"/>
        <v>0.56360817584315881</v>
      </c>
      <c r="AH3456" s="2" t="str">
        <f ca="1"/>
        <v>Bad</v>
      </c>
    </row>
    <row r="3457" spans="2:34">
      <c r="B3457" s="2">
        <f ca="1"/>
        <v>0.41475752383312758</v>
      </c>
      <c r="O3457" s="2">
        <f ca="1"/>
        <v>-0.65341675241833985</v>
      </c>
      <c r="X3457" s="2">
        <f ca="1"/>
        <v>25.740783691940841</v>
      </c>
      <c r="AG3457" s="2">
        <f ca="1"/>
        <v>0.56193217585905364</v>
      </c>
      <c r="AH3457" s="2" t="str">
        <f ca="1"/>
        <v>Bad</v>
      </c>
    </row>
    <row r="3458" spans="2:34">
      <c r="B3458" s="2">
        <f ca="1"/>
        <v>0.92445819875946933</v>
      </c>
      <c r="O3458" s="2">
        <f ca="1"/>
        <v>-0.53279206434749293</v>
      </c>
      <c r="X3458" s="2">
        <f ca="1"/>
        <v>17.304327589652388</v>
      </c>
      <c r="AG3458" s="2">
        <f ca="1"/>
        <v>0.36648335844304381</v>
      </c>
      <c r="AH3458" s="2" t="str">
        <f ca="1"/>
        <v>OK</v>
      </c>
    </row>
    <row r="3459" spans="2:34">
      <c r="B3459" s="2">
        <f ca="1"/>
        <v>0.74610596316434541</v>
      </c>
      <c r="O3459" s="2">
        <f ca="1"/>
        <v>-2.9195260160097481E-2</v>
      </c>
      <c r="X3459" s="2">
        <f ca="1"/>
        <v>58.870653638053348</v>
      </c>
      <c r="AG3459" s="2">
        <f ca="1"/>
        <v>0.60820907023159321</v>
      </c>
      <c r="AH3459" s="2" t="str">
        <f ca="1"/>
        <v>Bad</v>
      </c>
    </row>
    <row r="3460" spans="2:34">
      <c r="B3460" s="2">
        <f ca="1"/>
        <v>0.34412389916356001</v>
      </c>
      <c r="O3460" s="2">
        <f ca="1"/>
        <v>0.89012597205110378</v>
      </c>
      <c r="X3460" s="2">
        <f ca="1"/>
        <v>52.780709499540123</v>
      </c>
      <c r="AG3460" s="2">
        <f ca="1"/>
        <v>0.53520291415804366</v>
      </c>
      <c r="AH3460" s="2" t="str">
        <f ca="1"/>
        <v>Bad</v>
      </c>
    </row>
    <row r="3461" spans="2:34">
      <c r="B3461" s="2">
        <f ca="1"/>
        <v>0.92970619679667421</v>
      </c>
      <c r="O3461" s="2">
        <f ca="1"/>
        <v>0.38844897715018734</v>
      </c>
      <c r="X3461" s="2">
        <f ca="1"/>
        <v>75.609167988242902</v>
      </c>
      <c r="AG3461" s="2">
        <f ca="1"/>
        <v>0.49357804409395389</v>
      </c>
      <c r="AH3461" s="2" t="str">
        <f ca="1"/>
        <v>Bad</v>
      </c>
    </row>
    <row r="3462" spans="2:34">
      <c r="B3462" s="2">
        <f ca="1"/>
        <v>0.11048862375756685</v>
      </c>
      <c r="O3462" s="2">
        <f ca="1"/>
        <v>1.3374162988512657</v>
      </c>
      <c r="X3462" s="2">
        <f ca="1"/>
        <v>59.36291618430576</v>
      </c>
      <c r="AG3462" s="2">
        <f ca="1"/>
        <v>0.41286442141566515</v>
      </c>
      <c r="AH3462" s="2" t="str">
        <f ca="1"/>
        <v>Bad</v>
      </c>
    </row>
    <row r="3463" spans="2:34">
      <c r="B3463" s="2">
        <f ca="1"/>
        <v>0.31182410010703188</v>
      </c>
      <c r="O3463" s="2">
        <f ca="1"/>
        <v>-0.65166103103152073</v>
      </c>
      <c r="X3463" s="2">
        <f ca="1"/>
        <v>56.800177151072305</v>
      </c>
      <c r="AG3463" s="2">
        <f ca="1"/>
        <v>0.58220215305690082</v>
      </c>
      <c r="AH3463" s="2" t="str">
        <f ca="1"/>
        <v>Bad</v>
      </c>
    </row>
    <row r="3464" spans="2:34">
      <c r="B3464" s="2">
        <f ca="1"/>
        <v>0.13272360147138196</v>
      </c>
      <c r="O3464" s="2">
        <f ca="1"/>
        <v>1.257755448909465E-2</v>
      </c>
      <c r="X3464" s="2">
        <f ca="1"/>
        <v>24.189511382894473</v>
      </c>
      <c r="AG3464" s="2">
        <f ca="1"/>
        <v>0.95436385178072558</v>
      </c>
      <c r="AH3464" s="2" t="str">
        <f ca="1"/>
        <v>Bad</v>
      </c>
    </row>
    <row r="3465" spans="2:34">
      <c r="B3465" s="2">
        <f ca="1"/>
        <v>0.61999124435242159</v>
      </c>
      <c r="O3465" s="2">
        <f ca="1"/>
        <v>0.94525235078479886</v>
      </c>
      <c r="X3465" s="2">
        <f ca="1"/>
        <v>62.777700681427802</v>
      </c>
      <c r="AG3465" s="2">
        <f ca="1"/>
        <v>0.38080433534960245</v>
      </c>
      <c r="AH3465" s="2" t="str">
        <f ca="1"/>
        <v>OK</v>
      </c>
    </row>
    <row r="3466" spans="2:34">
      <c r="B3466" s="2">
        <f ca="1"/>
        <v>0.59111107677669938</v>
      </c>
      <c r="O3466" s="2">
        <f ca="1"/>
        <v>0.15106978164572951</v>
      </c>
      <c r="X3466" s="2">
        <f ca="1"/>
        <v>30.245829431898983</v>
      </c>
      <c r="AG3466" s="2">
        <f ca="1"/>
        <v>0.86810187331338651</v>
      </c>
      <c r="AH3466" s="2" t="str">
        <f ca="1"/>
        <v>Bad</v>
      </c>
    </row>
    <row r="3467" spans="2:34">
      <c r="B3467" s="2">
        <f ca="1"/>
        <v>0.88193547552911489</v>
      </c>
      <c r="O3467" s="2">
        <f ca="1"/>
        <v>1.6233004692485093</v>
      </c>
      <c r="X3467" s="2">
        <f ca="1"/>
        <v>48.706035373627962</v>
      </c>
      <c r="AG3467" s="2">
        <f ca="1"/>
        <v>0.53388696812058756</v>
      </c>
      <c r="AH3467" s="2" t="str">
        <f ca="1"/>
        <v>Bad</v>
      </c>
    </row>
    <row r="3468" spans="2:34">
      <c r="B3468" s="2">
        <f ca="1"/>
        <v>0.99004107671940655</v>
      </c>
      <c r="O3468" s="2">
        <f ca="1"/>
        <v>-1.4146158490130083E-2</v>
      </c>
      <c r="X3468" s="2">
        <f ca="1"/>
        <v>33.799684768163274</v>
      </c>
      <c r="AG3468" s="2">
        <f ca="1"/>
        <v>0.35736195764404544</v>
      </c>
      <c r="AH3468" s="2" t="str">
        <f ca="1"/>
        <v>OK</v>
      </c>
    </row>
    <row r="3469" spans="2:34">
      <c r="B3469" s="2">
        <f ca="1"/>
        <v>0.82826466583304459</v>
      </c>
      <c r="O3469" s="2">
        <f ca="1"/>
        <v>-0.65254122796340397</v>
      </c>
      <c r="X3469" s="2">
        <f ca="1"/>
        <v>44.039794456605492</v>
      </c>
      <c r="AG3469" s="2">
        <f ca="1"/>
        <v>0.13695465124346251</v>
      </c>
      <c r="AH3469" s="2" t="str">
        <f ca="1"/>
        <v>OK</v>
      </c>
    </row>
    <row r="3470" spans="2:34">
      <c r="B3470" s="2">
        <f ca="1"/>
        <v>0.59018834892265826</v>
      </c>
      <c r="O3470" s="2">
        <f ca="1"/>
        <v>0.43986311879631368</v>
      </c>
      <c r="X3470" s="2">
        <f ca="1"/>
        <v>53.778589467225743</v>
      </c>
      <c r="AG3470" s="2">
        <f ca="1"/>
        <v>0.49215539049076829</v>
      </c>
      <c r="AH3470" s="2" t="str">
        <f ca="1"/>
        <v>Bad</v>
      </c>
    </row>
    <row r="3471" spans="2:34">
      <c r="B3471" s="2">
        <f ca="1"/>
        <v>0.3094981420124292</v>
      </c>
      <c r="O3471" s="2">
        <f ca="1"/>
        <v>-0.18571572019404073</v>
      </c>
      <c r="X3471" s="2">
        <f ca="1"/>
        <v>97.680927200235118</v>
      </c>
      <c r="AG3471" s="2">
        <f ca="1"/>
        <v>0.89594307794912287</v>
      </c>
      <c r="AH3471" s="2" t="str">
        <f ca="1"/>
        <v>Bad</v>
      </c>
    </row>
    <row r="3472" spans="2:34">
      <c r="B3472" s="2">
        <f ca="1"/>
        <v>0.54523943357515225</v>
      </c>
      <c r="O3472" s="2">
        <f ca="1"/>
        <v>-0.48483220551617368</v>
      </c>
      <c r="X3472" s="2">
        <f ca="1"/>
        <v>41.099376507640955</v>
      </c>
      <c r="AG3472" s="2">
        <f ca="1"/>
        <v>0.34446345409734835</v>
      </c>
      <c r="AH3472" s="2" t="str">
        <f ca="1"/>
        <v>OK</v>
      </c>
    </row>
    <row r="3473" spans="2:34">
      <c r="B3473" s="2">
        <f ca="1"/>
        <v>0.49369091633634121</v>
      </c>
      <c r="O3473" s="2">
        <f ca="1"/>
        <v>1.9860680754197786</v>
      </c>
      <c r="X3473" s="2">
        <f ca="1"/>
        <v>65.537392254504127</v>
      </c>
      <c r="AG3473" s="2">
        <f ca="1"/>
        <v>0.8616569348025469</v>
      </c>
      <c r="AH3473" s="2" t="str">
        <f ca="1"/>
        <v>Bad</v>
      </c>
    </row>
    <row r="3474" spans="2:34">
      <c r="B3474" s="2">
        <f ca="1"/>
        <v>0.40886915975137916</v>
      </c>
      <c r="O3474" s="2">
        <f ca="1"/>
        <v>-1.1343057159655459</v>
      </c>
      <c r="X3474" s="2">
        <f ca="1"/>
        <v>54.711397213750175</v>
      </c>
      <c r="AG3474" s="2">
        <f ca="1"/>
        <v>0.1351164130454714</v>
      </c>
      <c r="AH3474" s="2" t="str">
        <f ca="1"/>
        <v>OK</v>
      </c>
    </row>
    <row r="3475" spans="2:34">
      <c r="B3475" s="2">
        <f ca="1"/>
        <v>2.3800001259999259E-3</v>
      </c>
      <c r="O3475" s="2">
        <f ca="1"/>
        <v>1.7344603406667185</v>
      </c>
      <c r="X3475" s="2">
        <f ca="1"/>
        <v>35.676766816536237</v>
      </c>
      <c r="AG3475" s="2">
        <f ca="1"/>
        <v>0.87057198269480529</v>
      </c>
      <c r="AH3475" s="2" t="str">
        <f ca="1"/>
        <v>Bad</v>
      </c>
    </row>
    <row r="3476" spans="2:34">
      <c r="B3476" s="2">
        <f ca="1"/>
        <v>0.74231359730238888</v>
      </c>
      <c r="O3476" s="2">
        <f ca="1"/>
        <v>-3.8869720624789286E-2</v>
      </c>
      <c r="X3476" s="2">
        <f ca="1"/>
        <v>51.777341077410775</v>
      </c>
      <c r="AG3476" s="2">
        <f ca="1"/>
        <v>0.15611682103630287</v>
      </c>
      <c r="AH3476" s="2" t="str">
        <f ca="1"/>
        <v>OK</v>
      </c>
    </row>
    <row r="3477" spans="2:34">
      <c r="B3477" s="2">
        <f ca="1"/>
        <v>0.16444176260788734</v>
      </c>
      <c r="O3477" s="2">
        <f ca="1"/>
        <v>0.29724545649810019</v>
      </c>
      <c r="X3477" s="2">
        <f ca="1"/>
        <v>54.082358143271072</v>
      </c>
      <c r="AG3477" s="2">
        <f ca="1"/>
        <v>0.2814078583560784</v>
      </c>
      <c r="AH3477" s="2" t="str">
        <f ca="1"/>
        <v>OK</v>
      </c>
    </row>
    <row r="3478" spans="2:34">
      <c r="B3478" s="2">
        <f ca="1"/>
        <v>0.35077576608294914</v>
      </c>
      <c r="O3478" s="2">
        <f ca="1"/>
        <v>-0.60652572386011594</v>
      </c>
      <c r="X3478" s="2">
        <f ca="1"/>
        <v>39.836616497222018</v>
      </c>
      <c r="AG3478" s="2">
        <f ca="1"/>
        <v>6.9679965323852011E-2</v>
      </c>
      <c r="AH3478" s="2" t="str">
        <f ca="1"/>
        <v>OK</v>
      </c>
    </row>
    <row r="3479" spans="2:34">
      <c r="B3479" s="2">
        <f ca="1"/>
        <v>0.63570742509665501</v>
      </c>
      <c r="O3479" s="2">
        <f ca="1"/>
        <v>0.72772253626665484</v>
      </c>
      <c r="X3479" s="2">
        <f ca="1"/>
        <v>63.89001419064455</v>
      </c>
      <c r="AG3479" s="2">
        <f ca="1"/>
        <v>0.90828903772704273</v>
      </c>
      <c r="AH3479" s="2" t="str">
        <f ca="1"/>
        <v>Bad</v>
      </c>
    </row>
    <row r="3480" spans="2:34">
      <c r="B3480" s="2">
        <f ca="1"/>
        <v>0.32283729582884813</v>
      </c>
      <c r="O3480" s="2">
        <f ca="1"/>
        <v>-0.6907112247642947</v>
      </c>
      <c r="X3480" s="2">
        <f ca="1"/>
        <v>42.239801687832013</v>
      </c>
      <c r="AG3480" s="2">
        <f ca="1"/>
        <v>0.24928094723769623</v>
      </c>
      <c r="AH3480" s="2" t="str">
        <f ca="1"/>
        <v>OK</v>
      </c>
    </row>
    <row r="3481" spans="2:34">
      <c r="B3481" s="2">
        <f ca="1"/>
        <v>0.50626185608020857</v>
      </c>
      <c r="O3481" s="2">
        <f ca="1"/>
        <v>-0.29445003717599638</v>
      </c>
      <c r="X3481" s="2">
        <f ca="1"/>
        <v>39.724920560445376</v>
      </c>
      <c r="AG3481" s="2">
        <f ca="1"/>
        <v>0.41456903292155101</v>
      </c>
      <c r="AH3481" s="2" t="str">
        <f ca="1"/>
        <v>Bad</v>
      </c>
    </row>
    <row r="3482" spans="2:34">
      <c r="B3482" s="2">
        <f ca="1"/>
        <v>0.78678014392504103</v>
      </c>
      <c r="O3482" s="2">
        <f ca="1"/>
        <v>-0.18651939846792404</v>
      </c>
      <c r="X3482" s="2">
        <f ca="1"/>
        <v>40.007719420558118</v>
      </c>
      <c r="AG3482" s="2">
        <f ca="1"/>
        <v>0.19306326690142894</v>
      </c>
      <c r="AH3482" s="2" t="str">
        <f ca="1"/>
        <v>OK</v>
      </c>
    </row>
    <row r="3483" spans="2:34">
      <c r="B3483" s="2">
        <f ca="1"/>
        <v>2.9824869738715343E-2</v>
      </c>
      <c r="O3483" s="2">
        <f ca="1"/>
        <v>-0.94802224270290036</v>
      </c>
      <c r="X3483" s="2">
        <f ca="1"/>
        <v>33.722195020131849</v>
      </c>
      <c r="AG3483" s="2">
        <f ca="1"/>
        <v>0.6869317180404293</v>
      </c>
      <c r="AH3483" s="2" t="str">
        <f ca="1"/>
        <v>Bad</v>
      </c>
    </row>
    <row r="3484" spans="2:34">
      <c r="B3484" s="2">
        <f ca="1"/>
        <v>9.4043112488126912E-2</v>
      </c>
      <c r="O3484" s="2">
        <f ca="1"/>
        <v>5.8265455453319001E-2</v>
      </c>
      <c r="X3484" s="2">
        <f ca="1"/>
        <v>67.908574884131369</v>
      </c>
      <c r="AG3484" s="2">
        <f ca="1"/>
        <v>0.10477361018509956</v>
      </c>
      <c r="AH3484" s="2" t="str">
        <f ca="1"/>
        <v>OK</v>
      </c>
    </row>
    <row r="3485" spans="2:34">
      <c r="B3485" s="2">
        <f ca="1"/>
        <v>0.99377193501980021</v>
      </c>
      <c r="O3485" s="2">
        <f ca="1"/>
        <v>0.65892241421864961</v>
      </c>
      <c r="X3485" s="2">
        <f ca="1"/>
        <v>81.578653974084986</v>
      </c>
      <c r="AG3485" s="2">
        <f ca="1"/>
        <v>0.69153274837755996</v>
      </c>
      <c r="AH3485" s="2" t="str">
        <f ca="1"/>
        <v>Bad</v>
      </c>
    </row>
    <row r="3486" spans="2:34">
      <c r="B3486" s="2">
        <f ca="1"/>
        <v>0.52589384800577399</v>
      </c>
      <c r="O3486" s="2">
        <f ca="1"/>
        <v>0.93921602707861884</v>
      </c>
      <c r="X3486" s="2">
        <f ca="1"/>
        <v>55.983042147525722</v>
      </c>
      <c r="AG3486" s="2">
        <f ca="1"/>
        <v>0.74133322363209486</v>
      </c>
      <c r="AH3486" s="2" t="str">
        <f ca="1"/>
        <v>Bad</v>
      </c>
    </row>
    <row r="3487" spans="2:34">
      <c r="B3487" s="2">
        <f ca="1"/>
        <v>0.52593720826734947</v>
      </c>
      <c r="O3487" s="2">
        <f ca="1"/>
        <v>1.3134264599416479</v>
      </c>
      <c r="X3487" s="2">
        <f ca="1"/>
        <v>46.318921488525817</v>
      </c>
      <c r="AG3487" s="2">
        <f ca="1"/>
        <v>0.95417210349763382</v>
      </c>
      <c r="AH3487" s="2" t="str">
        <f ca="1"/>
        <v>Bad</v>
      </c>
    </row>
    <row r="3488" spans="2:34">
      <c r="B3488" s="2">
        <f ca="1"/>
        <v>0.84996792075543803</v>
      </c>
      <c r="O3488" s="2">
        <f ca="1"/>
        <v>-6.5056861567350577E-2</v>
      </c>
      <c r="X3488" s="2">
        <f ca="1"/>
        <v>61.120066563321984</v>
      </c>
      <c r="AG3488" s="2">
        <f ca="1"/>
        <v>0.68661987360267784</v>
      </c>
      <c r="AH3488" s="2" t="str">
        <f ca="1"/>
        <v>Bad</v>
      </c>
    </row>
    <row r="3489" spans="2:34">
      <c r="B3489" s="2">
        <f ca="1"/>
        <v>0.17142663333628994</v>
      </c>
      <c r="O3489" s="2">
        <f ca="1"/>
        <v>0.84576906333688939</v>
      </c>
      <c r="X3489" s="2">
        <f ca="1"/>
        <v>55.2483170678682</v>
      </c>
      <c r="AG3489" s="2">
        <f ca="1"/>
        <v>0.52863982094333162</v>
      </c>
      <c r="AH3489" s="2" t="str">
        <f ca="1"/>
        <v>Bad</v>
      </c>
    </row>
    <row r="3490" spans="2:34">
      <c r="B3490" s="2">
        <f ca="1"/>
        <v>0.70471315313258298</v>
      </c>
      <c r="O3490" s="2">
        <f ca="1"/>
        <v>0.35049848002831741</v>
      </c>
      <c r="X3490" s="2">
        <f ca="1"/>
        <v>68.103109465480117</v>
      </c>
      <c r="AG3490" s="2">
        <f ca="1"/>
        <v>0.50003792611422448</v>
      </c>
      <c r="AH3490" s="2" t="str">
        <f ca="1"/>
        <v>Bad</v>
      </c>
    </row>
    <row r="3491" spans="2:34">
      <c r="B3491" s="2">
        <f ca="1"/>
        <v>0.31663128550452924</v>
      </c>
      <c r="O3491" s="2">
        <f ca="1"/>
        <v>0.71380061016322593</v>
      </c>
      <c r="X3491" s="2">
        <f ca="1"/>
        <v>43.582098924841155</v>
      </c>
      <c r="AG3491" s="2">
        <f ca="1"/>
        <v>0.25770520807450459</v>
      </c>
      <c r="AH3491" s="2" t="str">
        <f ca="1"/>
        <v>OK</v>
      </c>
    </row>
    <row r="3492" spans="2:34">
      <c r="B3492" s="2">
        <f ca="1"/>
        <v>0.34899195291173513</v>
      </c>
      <c r="O3492" s="2">
        <f ca="1"/>
        <v>0.42466191426995248</v>
      </c>
      <c r="X3492" s="2">
        <f ca="1"/>
        <v>40.709169370901805</v>
      </c>
      <c r="AG3492" s="2">
        <f ca="1"/>
        <v>2.459344982309597E-2</v>
      </c>
      <c r="AH3492" s="2" t="str">
        <f ca="1"/>
        <v>Good</v>
      </c>
    </row>
    <row r="3493" spans="2:34">
      <c r="B3493" s="2">
        <f ca="1"/>
        <v>0.68957442158664883</v>
      </c>
      <c r="O3493" s="2">
        <f ca="1"/>
        <v>-1.2469735705021154</v>
      </c>
      <c r="X3493" s="2">
        <f ca="1"/>
        <v>42.302027636064672</v>
      </c>
      <c r="AG3493" s="2">
        <f ca="1"/>
        <v>0.77575635393773301</v>
      </c>
      <c r="AH3493" s="2" t="str">
        <f ca="1"/>
        <v>Bad</v>
      </c>
    </row>
    <row r="3494" spans="2:34">
      <c r="B3494" s="2">
        <f ca="1"/>
        <v>0.87020882195001836</v>
      </c>
      <c r="O3494" s="2">
        <f ca="1"/>
        <v>0.51348787381123151</v>
      </c>
      <c r="X3494" s="2">
        <f ca="1"/>
        <v>68.040639492867754</v>
      </c>
      <c r="AG3494" s="2">
        <f ca="1"/>
        <v>1.3874109864901785E-2</v>
      </c>
      <c r="AH3494" s="2" t="str">
        <f ca="1"/>
        <v>Good</v>
      </c>
    </row>
    <row r="3495" spans="2:34">
      <c r="B3495" s="2">
        <f ca="1"/>
        <v>0.25985166305425245</v>
      </c>
      <c r="O3495" s="2">
        <f ca="1"/>
        <v>0.13848356915681606</v>
      </c>
      <c r="X3495" s="2">
        <f ca="1"/>
        <v>42.891166783861017</v>
      </c>
      <c r="AG3495" s="2">
        <f ca="1"/>
        <v>0.66804427829250579</v>
      </c>
      <c r="AH3495" s="2" t="str">
        <f ca="1"/>
        <v>Bad</v>
      </c>
    </row>
    <row r="3496" spans="2:34">
      <c r="B3496" s="2">
        <f ca="1"/>
        <v>0.29041422971907083</v>
      </c>
      <c r="O3496" s="2">
        <f ca="1"/>
        <v>1.5034158278442433</v>
      </c>
      <c r="X3496" s="2">
        <f ca="1"/>
        <v>37.570086712545212</v>
      </c>
      <c r="AG3496" s="2">
        <f ca="1"/>
        <v>0.54037681941982418</v>
      </c>
      <c r="AH3496" s="2" t="str">
        <f ca="1"/>
        <v>Bad</v>
      </c>
    </row>
    <row r="3497" spans="2:34">
      <c r="B3497" s="2">
        <f ca="1"/>
        <v>0.7130686452420425</v>
      </c>
      <c r="O3497" s="2">
        <f ca="1"/>
        <v>0.32103815924750279</v>
      </c>
      <c r="X3497" s="2">
        <f ca="1"/>
        <v>47.360196548127263</v>
      </c>
      <c r="AG3497" s="2">
        <f ca="1"/>
        <v>0.65533432141934367</v>
      </c>
      <c r="AH3497" s="2" t="str">
        <f ca="1"/>
        <v>Bad</v>
      </c>
    </row>
    <row r="3498" spans="2:34">
      <c r="B3498" s="2">
        <f ca="1"/>
        <v>0.37396623682957109</v>
      </c>
      <c r="O3498" s="2">
        <f ca="1"/>
        <v>-0.33198167333257628</v>
      </c>
      <c r="X3498" s="2">
        <f ca="1"/>
        <v>78.870696411656226</v>
      </c>
      <c r="AG3498" s="2">
        <f ca="1"/>
        <v>0.78794917121651542</v>
      </c>
      <c r="AH3498" s="2" t="str">
        <f ca="1"/>
        <v>Bad</v>
      </c>
    </row>
    <row r="3499" spans="2:34">
      <c r="B3499" s="2">
        <f ca="1"/>
        <v>0.30947386619007378</v>
      </c>
      <c r="O3499" s="2">
        <f ca="1"/>
        <v>0.76660357830757875</v>
      </c>
      <c r="X3499" s="2">
        <f ca="1"/>
        <v>37.512402349075643</v>
      </c>
      <c r="AG3499" s="2">
        <f ca="1"/>
        <v>0.77582678021163609</v>
      </c>
      <c r="AH3499" s="2" t="str">
        <f ca="1"/>
        <v>Bad</v>
      </c>
    </row>
    <row r="3500" spans="2:34">
      <c r="B3500" s="2">
        <f ca="1"/>
        <v>0.48491537218178138</v>
      </c>
      <c r="O3500" s="2">
        <f ca="1"/>
        <v>-0.59965130237864728</v>
      </c>
      <c r="X3500" s="2">
        <f ca="1"/>
        <v>52.632791478345872</v>
      </c>
      <c r="AG3500" s="2">
        <f ca="1"/>
        <v>0.55834840792321527</v>
      </c>
      <c r="AH3500" s="2" t="str">
        <f ca="1"/>
        <v>Bad</v>
      </c>
    </row>
    <row r="3501" spans="2:34">
      <c r="B3501" s="2">
        <f ca="1"/>
        <v>0.37216618367621312</v>
      </c>
      <c r="O3501" s="2">
        <f ca="1"/>
        <v>-0.82735840186092302</v>
      </c>
      <c r="X3501" s="2">
        <f ca="1"/>
        <v>63.320168246711333</v>
      </c>
      <c r="AG3501" s="2">
        <f ca="1"/>
        <v>0.63021206150176901</v>
      </c>
      <c r="AH3501" s="2" t="str">
        <f ca="1"/>
        <v>Bad</v>
      </c>
    </row>
    <row r="3502" spans="2:34">
      <c r="B3502" s="2">
        <f ca="1"/>
        <v>0.38484901797334659</v>
      </c>
      <c r="O3502" s="2">
        <f ca="1"/>
        <v>-1.1824058636393251</v>
      </c>
      <c r="X3502" s="2">
        <f ca="1"/>
        <v>31.505582876590815</v>
      </c>
      <c r="AG3502" s="2">
        <f ca="1"/>
        <v>0.93097093908983997</v>
      </c>
      <c r="AH3502" s="2" t="str">
        <f ca="1"/>
        <v>Bad</v>
      </c>
    </row>
    <row r="3503" spans="2:34">
      <c r="B3503" s="2">
        <f ca="1"/>
        <v>5.7943862756309583E-2</v>
      </c>
      <c r="O3503" s="2">
        <f ca="1"/>
        <v>2.166042128859023</v>
      </c>
      <c r="X3503" s="2">
        <f ca="1"/>
        <v>50.403356467283587</v>
      </c>
      <c r="AG3503" s="2">
        <f ca="1"/>
        <v>0.96888846992890243</v>
      </c>
      <c r="AH3503" s="2" t="str">
        <f ca="1"/>
        <v>Bad</v>
      </c>
    </row>
    <row r="3504" spans="2:34">
      <c r="B3504" s="2">
        <f ca="1"/>
        <v>0.19365684734160449</v>
      </c>
      <c r="O3504" s="2">
        <f ca="1"/>
        <v>0.4414316412169354</v>
      </c>
      <c r="X3504" s="2">
        <f ca="1"/>
        <v>48.583250372570788</v>
      </c>
      <c r="AG3504" s="2">
        <f ca="1"/>
        <v>0.29985079463250597</v>
      </c>
      <c r="AH3504" s="2" t="str">
        <f ca="1"/>
        <v>OK</v>
      </c>
    </row>
    <row r="3505" spans="2:34">
      <c r="B3505" s="2">
        <f ca="1"/>
        <v>0.29932025152129849</v>
      </c>
      <c r="O3505" s="2">
        <f ca="1"/>
        <v>-1.4533636974705912</v>
      </c>
      <c r="X3505" s="2">
        <f ca="1"/>
        <v>45.96779201342958</v>
      </c>
      <c r="AG3505" s="2">
        <f ca="1"/>
        <v>0.98684884191343447</v>
      </c>
      <c r="AH3505" s="2" t="str">
        <f ca="1"/>
        <v>Bad</v>
      </c>
    </row>
    <row r="3506" spans="2:34">
      <c r="B3506" s="2">
        <f ca="1"/>
        <v>0.11862764363133782</v>
      </c>
      <c r="O3506" s="2">
        <f ca="1"/>
        <v>0.73407267987422309</v>
      </c>
      <c r="X3506" s="2">
        <f ca="1"/>
        <v>49.754197504995744</v>
      </c>
      <c r="AG3506" s="2">
        <f ca="1"/>
        <v>0.60651549312183173</v>
      </c>
      <c r="AH3506" s="2" t="str">
        <f ca="1"/>
        <v>Bad</v>
      </c>
    </row>
    <row r="3507" spans="2:34">
      <c r="B3507" s="2">
        <f ca="1"/>
        <v>8.4244638943638206E-2</v>
      </c>
      <c r="O3507" s="2">
        <f ca="1"/>
        <v>0.18857177406263664</v>
      </c>
      <c r="X3507" s="2">
        <f ca="1"/>
        <v>11.709438139520106</v>
      </c>
      <c r="AG3507" s="2">
        <f ca="1"/>
        <v>0.7322134280006769</v>
      </c>
      <c r="AH3507" s="2" t="str">
        <f ca="1"/>
        <v>Bad</v>
      </c>
    </row>
    <row r="3508" spans="2:34">
      <c r="B3508" s="2">
        <f ca="1"/>
        <v>0.31666225511550161</v>
      </c>
      <c r="O3508" s="2">
        <f ca="1"/>
        <v>-0.32956412174764982</v>
      </c>
      <c r="X3508" s="2">
        <f ca="1"/>
        <v>40.953176532273929</v>
      </c>
      <c r="AG3508" s="2">
        <f ca="1"/>
        <v>4.4425986891069913E-2</v>
      </c>
      <c r="AH3508" s="2" t="str">
        <f ca="1"/>
        <v>Good</v>
      </c>
    </row>
    <row r="3509" spans="2:34">
      <c r="B3509" s="2">
        <f ca="1"/>
        <v>0.65546536268880562</v>
      </c>
      <c r="O3509" s="2">
        <f ca="1"/>
        <v>0.54976000076737197</v>
      </c>
      <c r="X3509" s="2">
        <f ca="1"/>
        <v>73.24171902390367</v>
      </c>
      <c r="AG3509" s="2">
        <f ca="1"/>
        <v>0.89713269308516241</v>
      </c>
      <c r="AH3509" s="2" t="str">
        <f ca="1"/>
        <v>Bad</v>
      </c>
    </row>
    <row r="3510" spans="2:34">
      <c r="B3510" s="2">
        <f ca="1"/>
        <v>0.58455157388053336</v>
      </c>
      <c r="O3510" s="2">
        <f ca="1"/>
        <v>0.91066298863126161</v>
      </c>
      <c r="X3510" s="2">
        <f ca="1"/>
        <v>33.750374037731497</v>
      </c>
      <c r="AG3510" s="2">
        <f ca="1"/>
        <v>0.63634104780411005</v>
      </c>
      <c r="AH3510" s="2" t="str">
        <f ca="1"/>
        <v>Bad</v>
      </c>
    </row>
    <row r="3511" spans="2:34">
      <c r="B3511" s="2">
        <f ca="1"/>
        <v>0.34750048342692419</v>
      </c>
      <c r="O3511" s="2">
        <f ca="1"/>
        <v>0.12301010002695882</v>
      </c>
      <c r="X3511" s="2">
        <f ca="1"/>
        <v>18.95479099255455</v>
      </c>
      <c r="AG3511" s="2">
        <f ca="1"/>
        <v>0.59974768411326762</v>
      </c>
      <c r="AH3511" s="2" t="str">
        <f ca="1"/>
        <v>Bad</v>
      </c>
    </row>
    <row r="3512" spans="2:34">
      <c r="B3512" s="2">
        <f ca="1"/>
        <v>1.1057710751428473E-2</v>
      </c>
      <c r="O3512" s="2">
        <f ca="1"/>
        <v>4.4578544142244554E-2</v>
      </c>
      <c r="X3512" s="2">
        <f ca="1"/>
        <v>51.921758961650141</v>
      </c>
      <c r="AG3512" s="2">
        <f ca="1"/>
        <v>0.31054298086992871</v>
      </c>
      <c r="AH3512" s="2" t="str">
        <f ca="1"/>
        <v>OK</v>
      </c>
    </row>
    <row r="3513" spans="2:34">
      <c r="B3513" s="2">
        <f ca="1"/>
        <v>0.19473966831181255</v>
      </c>
      <c r="O3513" s="2">
        <f ca="1"/>
        <v>-5.1180522489157748E-2</v>
      </c>
      <c r="X3513" s="2">
        <f ca="1"/>
        <v>48.500510680990025</v>
      </c>
      <c r="AG3513" s="2">
        <f ca="1"/>
        <v>0.23490607547789288</v>
      </c>
      <c r="AH3513" s="2" t="str">
        <f ca="1"/>
        <v>OK</v>
      </c>
    </row>
    <row r="3514" spans="2:34">
      <c r="B3514" s="2">
        <f ca="1"/>
        <v>0.62583167926910988</v>
      </c>
      <c r="O3514" s="2">
        <f ca="1"/>
        <v>0.71109935509283662</v>
      </c>
      <c r="X3514" s="2">
        <f ca="1"/>
        <v>60.393240863808906</v>
      </c>
      <c r="AG3514" s="2">
        <f ca="1"/>
        <v>0.13303295408642102</v>
      </c>
      <c r="AH3514" s="2" t="str">
        <f ca="1"/>
        <v>OK</v>
      </c>
    </row>
    <row r="3515" spans="2:34">
      <c r="B3515" s="2">
        <f ca="1"/>
        <v>0.6493369788139669</v>
      </c>
      <c r="O3515" s="2">
        <f ca="1"/>
        <v>-0.23970372811040247</v>
      </c>
      <c r="X3515" s="2">
        <f ca="1"/>
        <v>57.099687901028872</v>
      </c>
      <c r="AG3515" s="2">
        <f ca="1"/>
        <v>0.27538306893375197</v>
      </c>
      <c r="AH3515" s="2" t="str">
        <f ca="1"/>
        <v>OK</v>
      </c>
    </row>
    <row r="3516" spans="2:34">
      <c r="B3516" s="2">
        <f ca="1"/>
        <v>0.62335188605595748</v>
      </c>
      <c r="O3516" s="2">
        <f ca="1"/>
        <v>-0.78883018968628793</v>
      </c>
      <c r="X3516" s="2">
        <f ca="1"/>
        <v>96.404688442310729</v>
      </c>
      <c r="AG3516" s="2">
        <f ca="1"/>
        <v>0.18575630014593503</v>
      </c>
      <c r="AH3516" s="2" t="str">
        <f ca="1"/>
        <v>OK</v>
      </c>
    </row>
    <row r="3517" spans="2:34">
      <c r="B3517" s="2">
        <f ca="1"/>
        <v>0.14493368678558771</v>
      </c>
      <c r="O3517" s="2">
        <f ca="1"/>
        <v>1.1700754772269779</v>
      </c>
      <c r="X3517" s="2">
        <f ca="1"/>
        <v>40.821582854081797</v>
      </c>
      <c r="AG3517" s="2">
        <f ca="1"/>
        <v>0.85799000220648414</v>
      </c>
      <c r="AH3517" s="2" t="str">
        <f ca="1"/>
        <v>Bad</v>
      </c>
    </row>
    <row r="3518" spans="2:34">
      <c r="B3518" s="2">
        <f ca="1"/>
        <v>7.3775410440968248E-3</v>
      </c>
      <c r="O3518" s="2">
        <f ca="1"/>
        <v>-1.0616612286537936</v>
      </c>
      <c r="X3518" s="2">
        <f ca="1"/>
        <v>86.58578790306143</v>
      </c>
      <c r="AG3518" s="2">
        <f ca="1"/>
        <v>0.88341411318900276</v>
      </c>
      <c r="AH3518" s="2" t="str">
        <f ca="1"/>
        <v>Bad</v>
      </c>
    </row>
    <row r="3519" spans="2:34">
      <c r="B3519" s="2">
        <f ca="1"/>
        <v>0.80844796754540416</v>
      </c>
      <c r="O3519" s="2">
        <f ca="1"/>
        <v>-1.4646665103393546</v>
      </c>
      <c r="X3519" s="2">
        <f ca="1"/>
        <v>46.06081457690992</v>
      </c>
      <c r="AG3519" s="2">
        <f ca="1"/>
        <v>0.6728814642778187</v>
      </c>
      <c r="AH3519" s="2" t="str">
        <f ca="1"/>
        <v>Bad</v>
      </c>
    </row>
    <row r="3520" spans="2:34">
      <c r="B3520" s="2">
        <f ca="1"/>
        <v>0.52229418479366307</v>
      </c>
      <c r="O3520" s="2">
        <f ca="1"/>
        <v>1.067380154148371</v>
      </c>
      <c r="X3520" s="2">
        <f ca="1"/>
        <v>50.071584337123632</v>
      </c>
      <c r="AG3520" s="2">
        <f ca="1"/>
        <v>3.4374063965223467E-2</v>
      </c>
      <c r="AH3520" s="2" t="str">
        <f ca="1"/>
        <v>Good</v>
      </c>
    </row>
    <row r="3521" spans="2:34">
      <c r="B3521" s="2">
        <f ca="1"/>
        <v>0.31740300817578571</v>
      </c>
      <c r="O3521" s="2">
        <f ca="1"/>
        <v>-2.0187076972635869</v>
      </c>
      <c r="X3521" s="2">
        <f ca="1"/>
        <v>41.817538924912995</v>
      </c>
      <c r="AG3521" s="2">
        <f ca="1"/>
        <v>0.52185989602437033</v>
      </c>
      <c r="AH3521" s="2" t="str">
        <f ca="1"/>
        <v>Bad</v>
      </c>
    </row>
    <row r="3522" spans="2:34">
      <c r="B3522" s="2">
        <f ca="1"/>
        <v>0.38755432056849615</v>
      </c>
      <c r="O3522" s="2">
        <f ca="1"/>
        <v>-0.99302325402827896</v>
      </c>
      <c r="X3522" s="2">
        <f ca="1"/>
        <v>22.920890737182763</v>
      </c>
      <c r="AG3522" s="2">
        <f ca="1"/>
        <v>0.42140070520491801</v>
      </c>
      <c r="AH3522" s="2" t="str">
        <f ca="1"/>
        <v>Bad</v>
      </c>
    </row>
    <row r="3523" spans="2:34">
      <c r="B3523" s="2">
        <f ca="1"/>
        <v>0.90534047226436343</v>
      </c>
      <c r="O3523" s="2">
        <f ca="1"/>
        <v>-0.33704778202020558</v>
      </c>
      <c r="X3523" s="2">
        <f ca="1"/>
        <v>60.638813126542352</v>
      </c>
      <c r="AG3523" s="2">
        <f ca="1"/>
        <v>6.9128311802700404E-2</v>
      </c>
      <c r="AH3523" s="2" t="str">
        <f ca="1"/>
        <v>OK</v>
      </c>
    </row>
    <row r="3524" spans="2:34">
      <c r="B3524" s="2">
        <f ca="1"/>
        <v>0.42924322435676721</v>
      </c>
      <c r="O3524" s="2">
        <f ca="1"/>
        <v>1.2424907955628104</v>
      </c>
      <c r="X3524" s="2">
        <f ca="1"/>
        <v>65.965341877736108</v>
      </c>
      <c r="AG3524" s="2">
        <f ca="1"/>
        <v>0.55183865091725948</v>
      </c>
      <c r="AH3524" s="2" t="str">
        <f ca="1"/>
        <v>Bad</v>
      </c>
    </row>
    <row r="3525" spans="2:34">
      <c r="B3525" s="2">
        <f ca="1"/>
        <v>0.73976220058051312</v>
      </c>
      <c r="O3525" s="2">
        <f ca="1"/>
        <v>-0.26364752530580182</v>
      </c>
      <c r="X3525" s="2">
        <f ca="1"/>
        <v>41.667720230786401</v>
      </c>
      <c r="AG3525" s="2">
        <f ca="1"/>
        <v>0.26828356817453347</v>
      </c>
      <c r="AH3525" s="2" t="str">
        <f ca="1"/>
        <v>OK</v>
      </c>
    </row>
    <row r="3526" spans="2:34">
      <c r="B3526" s="2">
        <f ca="1"/>
        <v>0.92951363876824322</v>
      </c>
      <c r="O3526" s="2">
        <f ca="1"/>
        <v>0.49766842382900739</v>
      </c>
      <c r="X3526" s="2">
        <f ca="1"/>
        <v>48.953013223322266</v>
      </c>
      <c r="AG3526" s="2">
        <f ca="1"/>
        <v>0.83445204141798546</v>
      </c>
      <c r="AH3526" s="2" t="str">
        <f ca="1"/>
        <v>Bad</v>
      </c>
    </row>
    <row r="3527" spans="2:34">
      <c r="B3527" s="2">
        <f ca="1"/>
        <v>0.50479454950102731</v>
      </c>
      <c r="O3527" s="2">
        <f ca="1"/>
        <v>0.3845789021423211</v>
      </c>
      <c r="X3527" s="2">
        <f ca="1"/>
        <v>21.690172766150027</v>
      </c>
      <c r="AG3527" s="2">
        <f ca="1"/>
        <v>0.35077320208777318</v>
      </c>
      <c r="AH3527" s="2" t="str">
        <f ca="1"/>
        <v>OK</v>
      </c>
    </row>
    <row r="3528" spans="2:34">
      <c r="B3528" s="2">
        <f ca="1"/>
        <v>0.1459635568002382</v>
      </c>
      <c r="O3528" s="2">
        <f ca="1"/>
        <v>0.48911072425757218</v>
      </c>
      <c r="X3528" s="2">
        <f ca="1"/>
        <v>39.990169508965174</v>
      </c>
      <c r="AG3528" s="2">
        <f ca="1"/>
        <v>0.90707598339983653</v>
      </c>
      <c r="AH3528" s="2" t="str">
        <f ca="1"/>
        <v>Bad</v>
      </c>
    </row>
    <row r="3529" spans="2:34">
      <c r="B3529" s="2">
        <f ca="1"/>
        <v>9.3788514828322178E-2</v>
      </c>
      <c r="O3529" s="2">
        <f ca="1"/>
        <v>5.2790435118966465E-2</v>
      </c>
      <c r="X3529" s="2">
        <f ca="1"/>
        <v>54.494373316473208</v>
      </c>
      <c r="AG3529" s="2">
        <f ca="1"/>
        <v>0.93641354810245003</v>
      </c>
      <c r="AH3529" s="2" t="str">
        <f ca="1"/>
        <v>Bad</v>
      </c>
    </row>
    <row r="3530" spans="2:34">
      <c r="B3530" s="2">
        <f ca="1"/>
        <v>0.2939784199188622</v>
      </c>
      <c r="O3530" s="2">
        <f ca="1"/>
        <v>0.45906920162124321</v>
      </c>
      <c r="X3530" s="2">
        <f ca="1"/>
        <v>50.08276247506074</v>
      </c>
      <c r="AG3530" s="2">
        <f ca="1"/>
        <v>0.54109591568742044</v>
      </c>
      <c r="AH3530" s="2" t="str">
        <f ca="1"/>
        <v>Bad</v>
      </c>
    </row>
    <row r="3531" spans="2:34">
      <c r="B3531" s="2">
        <f ca="1"/>
        <v>0.82579015675860568</v>
      </c>
      <c r="O3531" s="2">
        <f ca="1"/>
        <v>1.4049039663912082</v>
      </c>
      <c r="X3531" s="2">
        <f ca="1"/>
        <v>62.473702015109552</v>
      </c>
      <c r="AG3531" s="2">
        <f ca="1"/>
        <v>0.39003537354145479</v>
      </c>
      <c r="AH3531" s="2" t="str">
        <f ca="1"/>
        <v>OK</v>
      </c>
    </row>
    <row r="3532" spans="2:34">
      <c r="B3532" s="2">
        <f ca="1"/>
        <v>0.31796616653180276</v>
      </c>
      <c r="O3532" s="2">
        <f ca="1"/>
        <v>1.3539397120689296</v>
      </c>
      <c r="X3532" s="2">
        <f ca="1"/>
        <v>31.65504322658893</v>
      </c>
      <c r="AG3532" s="2">
        <f ca="1"/>
        <v>0.23569343104589491</v>
      </c>
      <c r="AH3532" s="2" t="str">
        <f ca="1"/>
        <v>OK</v>
      </c>
    </row>
    <row r="3533" spans="2:34">
      <c r="B3533" s="2">
        <f ca="1"/>
        <v>0.91207158848021175</v>
      </c>
      <c r="O3533" s="2">
        <f ca="1"/>
        <v>-1.4256792291255629</v>
      </c>
      <c r="X3533" s="2">
        <f ca="1"/>
        <v>62.903992211326724</v>
      </c>
      <c r="AG3533" s="2">
        <f ca="1"/>
        <v>0.89238561305856101</v>
      </c>
      <c r="AH3533" s="2" t="str">
        <f ca="1"/>
        <v>Bad</v>
      </c>
    </row>
    <row r="3534" spans="2:34">
      <c r="B3534" s="2">
        <f ca="1"/>
        <v>0.55598392527954976</v>
      </c>
      <c r="O3534" s="2">
        <f ca="1"/>
        <v>4.5098764799671197E-2</v>
      </c>
      <c r="X3534" s="2">
        <f ca="1"/>
        <v>70.716263564085281</v>
      </c>
      <c r="AG3534" s="2">
        <f ca="1"/>
        <v>0.87848314191851662</v>
      </c>
      <c r="AH3534" s="2" t="str">
        <f ca="1"/>
        <v>Bad</v>
      </c>
    </row>
    <row r="3535" spans="2:34">
      <c r="B3535" s="2">
        <f ca="1"/>
        <v>0.72426990330486607</v>
      </c>
      <c r="O3535" s="2">
        <f ca="1"/>
        <v>-1.0338930967904265</v>
      </c>
      <c r="X3535" s="2">
        <f ca="1"/>
        <v>91.394166104835449</v>
      </c>
      <c r="AG3535" s="2">
        <f ca="1"/>
        <v>8.5700130807687236E-2</v>
      </c>
      <c r="AH3535" s="2" t="str">
        <f ca="1"/>
        <v>OK</v>
      </c>
    </row>
    <row r="3536" spans="2:34">
      <c r="B3536" s="2">
        <f ca="1"/>
        <v>6.860083059439992E-2</v>
      </c>
      <c r="O3536" s="2">
        <f ca="1"/>
        <v>-0.78018717364166457</v>
      </c>
      <c r="X3536" s="2">
        <f ca="1"/>
        <v>46.957327561312674</v>
      </c>
      <c r="AG3536" s="2">
        <f ca="1"/>
        <v>0.55683030444846482</v>
      </c>
      <c r="AH3536" s="2" t="str">
        <f ca="1"/>
        <v>Bad</v>
      </c>
    </row>
    <row r="3537" spans="2:34">
      <c r="B3537" s="2">
        <f ca="1"/>
        <v>0.78067614558028331</v>
      </c>
      <c r="O3537" s="2">
        <f ca="1"/>
        <v>1.0969639548112806</v>
      </c>
      <c r="X3537" s="2">
        <f ca="1"/>
        <v>40.850121125459815</v>
      </c>
      <c r="AG3537" s="2">
        <f ca="1"/>
        <v>0.34336939278131573</v>
      </c>
      <c r="AH3537" s="2" t="str">
        <f ca="1"/>
        <v>OK</v>
      </c>
    </row>
    <row r="3538" spans="2:34">
      <c r="B3538" s="2">
        <f ca="1"/>
        <v>0.66105925353301775</v>
      </c>
      <c r="O3538" s="2">
        <f ca="1"/>
        <v>-0.73992554978063052</v>
      </c>
      <c r="X3538" s="2">
        <f ca="1"/>
        <v>50.744076232001518</v>
      </c>
      <c r="AG3538" s="2">
        <f ca="1"/>
        <v>0.38423337559624082</v>
      </c>
      <c r="AH3538" s="2" t="str">
        <f ca="1"/>
        <v>OK</v>
      </c>
    </row>
    <row r="3539" spans="2:34">
      <c r="B3539" s="2">
        <f ca="1"/>
        <v>0.51190138445008815</v>
      </c>
      <c r="O3539" s="2">
        <f ca="1"/>
        <v>1.0599711057010008</v>
      </c>
      <c r="X3539" s="2">
        <f ca="1"/>
        <v>60.302992718092767</v>
      </c>
      <c r="AG3539" s="2">
        <f ca="1"/>
        <v>0.18119126982829847</v>
      </c>
      <c r="AH3539" s="2" t="str">
        <f ca="1"/>
        <v>OK</v>
      </c>
    </row>
    <row r="3540" spans="2:34">
      <c r="B3540" s="2">
        <f ca="1"/>
        <v>0.69742904740976219</v>
      </c>
      <c r="O3540" s="2">
        <f ca="1"/>
        <v>-1.5547417928083513</v>
      </c>
      <c r="X3540" s="2">
        <f ca="1"/>
        <v>50.484100432064025</v>
      </c>
      <c r="AG3540" s="2">
        <f ca="1"/>
        <v>0.36852428294860085</v>
      </c>
      <c r="AH3540" s="2" t="str">
        <f ca="1"/>
        <v>OK</v>
      </c>
    </row>
    <row r="3541" spans="2:34">
      <c r="B3541" s="2">
        <f ca="1"/>
        <v>6.6664731411771427E-2</v>
      </c>
      <c r="O3541" s="2">
        <f ca="1"/>
        <v>-0.44611343630550043</v>
      </c>
      <c r="X3541" s="2">
        <f ca="1"/>
        <v>65.403099057104043</v>
      </c>
      <c r="AG3541" s="2">
        <f ca="1"/>
        <v>0.2781338170316856</v>
      </c>
      <c r="AH3541" s="2" t="str">
        <f ca="1"/>
        <v>OK</v>
      </c>
    </row>
    <row r="3542" spans="2:34">
      <c r="B3542" s="2">
        <f ca="1"/>
        <v>0.34361100754777585</v>
      </c>
      <c r="O3542" s="2">
        <f ca="1"/>
        <v>1.0033217483414303</v>
      </c>
      <c r="X3542" s="2">
        <f ca="1"/>
        <v>49.335037826904546</v>
      </c>
      <c r="AG3542" s="2">
        <f ca="1"/>
        <v>5.3354851378670132E-2</v>
      </c>
      <c r="AH3542" s="2" t="str">
        <f ca="1"/>
        <v>OK</v>
      </c>
    </row>
    <row r="3543" spans="2:34">
      <c r="B3543" s="2">
        <f ca="1"/>
        <v>1.3205652417429548E-3</v>
      </c>
      <c r="O3543" s="2">
        <f ca="1"/>
        <v>-1.397180928132975</v>
      </c>
      <c r="X3543" s="2">
        <f ca="1"/>
        <v>57.642863586332915</v>
      </c>
      <c r="AG3543" s="2">
        <f ca="1"/>
        <v>6.1904128780075895E-2</v>
      </c>
      <c r="AH3543" s="2" t="str">
        <f ca="1"/>
        <v>OK</v>
      </c>
    </row>
    <row r="3544" spans="2:34">
      <c r="B3544" s="2">
        <f ca="1"/>
        <v>0.64866978907578177</v>
      </c>
      <c r="O3544" s="2">
        <f ca="1"/>
        <v>0.89489634854002098</v>
      </c>
      <c r="X3544" s="2">
        <f ca="1"/>
        <v>28.202596136054328</v>
      </c>
      <c r="AG3544" s="2">
        <f ca="1"/>
        <v>0.3543832235293678</v>
      </c>
      <c r="AH3544" s="2" t="str">
        <f ca="1"/>
        <v>OK</v>
      </c>
    </row>
    <row r="3545" spans="2:34">
      <c r="B3545" s="2">
        <f ca="1"/>
        <v>0.59468333765876191</v>
      </c>
      <c r="O3545" s="2">
        <f ca="1"/>
        <v>0.80361229175043347</v>
      </c>
      <c r="X3545" s="2">
        <f ca="1"/>
        <v>33.84816543253875</v>
      </c>
      <c r="AG3545" s="2">
        <f ca="1"/>
        <v>0.8175351990338533</v>
      </c>
      <c r="AH3545" s="2" t="str">
        <f ca="1"/>
        <v>Bad</v>
      </c>
    </row>
    <row r="3546" spans="2:34">
      <c r="B3546" s="2">
        <f ca="1"/>
        <v>0.21002111765527354</v>
      </c>
      <c r="O3546" s="2">
        <f ca="1"/>
        <v>0.34475709633735241</v>
      </c>
      <c r="X3546" s="2">
        <f ca="1"/>
        <v>39.773075521016629</v>
      </c>
      <c r="AG3546" s="2">
        <f ca="1"/>
        <v>0.59968471620604769</v>
      </c>
      <c r="AH3546" s="2" t="str">
        <f ca="1"/>
        <v>Bad</v>
      </c>
    </row>
    <row r="3547" spans="2:34">
      <c r="B3547" s="2">
        <f ca="1"/>
        <v>0.80530497038902293</v>
      </c>
      <c r="O3547" s="2">
        <f ca="1"/>
        <v>-0.51722649709415236</v>
      </c>
      <c r="X3547" s="2">
        <f ca="1"/>
        <v>45.001039128567946</v>
      </c>
      <c r="AG3547" s="2">
        <f ca="1"/>
        <v>5.3156121121262778E-2</v>
      </c>
      <c r="AH3547" s="2" t="str">
        <f ca="1"/>
        <v>OK</v>
      </c>
    </row>
    <row r="3548" spans="2:34">
      <c r="B3548" s="2">
        <f ca="1"/>
        <v>0.3778141077192787</v>
      </c>
      <c r="O3548" s="2">
        <f ca="1"/>
        <v>0.39349766363512584</v>
      </c>
      <c r="X3548" s="2">
        <f ca="1"/>
        <v>15.4802961568878</v>
      </c>
      <c r="AG3548" s="2">
        <f ca="1"/>
        <v>0.29102797842658501</v>
      </c>
      <c r="AH3548" s="2" t="str">
        <f ca="1"/>
        <v>OK</v>
      </c>
    </row>
    <row r="3549" spans="2:34">
      <c r="B3549" s="2">
        <f ca="1"/>
        <v>0.78420222313254029</v>
      </c>
      <c r="O3549" s="2">
        <f ca="1"/>
        <v>-0.16009386892905289</v>
      </c>
      <c r="X3549" s="2">
        <f ca="1"/>
        <v>53.754613134238845</v>
      </c>
      <c r="AG3549" s="2">
        <f ca="1"/>
        <v>0.53163463599262384</v>
      </c>
      <c r="AH3549" s="2" t="str">
        <f ca="1"/>
        <v>Bad</v>
      </c>
    </row>
    <row r="3550" spans="2:34">
      <c r="B3550" s="2">
        <f ca="1"/>
        <v>0.38150870994697339</v>
      </c>
      <c r="O3550" s="2">
        <f ca="1"/>
        <v>5.5416295898654898E-2</v>
      </c>
      <c r="X3550" s="2">
        <f ca="1"/>
        <v>44.204162097307922</v>
      </c>
      <c r="AG3550" s="2">
        <f ca="1"/>
        <v>0.55508969104275585</v>
      </c>
      <c r="AH3550" s="2" t="str">
        <f ca="1"/>
        <v>Bad</v>
      </c>
    </row>
    <row r="3551" spans="2:34">
      <c r="B3551" s="2">
        <f ca="1"/>
        <v>0.23398077764960301</v>
      </c>
      <c r="O3551" s="2">
        <f ca="1"/>
        <v>0.67734837336626053</v>
      </c>
      <c r="X3551" s="2">
        <f ca="1"/>
        <v>47.680295728088005</v>
      </c>
      <c r="AG3551" s="2">
        <f ca="1"/>
        <v>0.33743100885208488</v>
      </c>
      <c r="AH3551" s="2" t="str">
        <f ca="1"/>
        <v>OK</v>
      </c>
    </row>
    <row r="3552" spans="2:34">
      <c r="B3552" s="2">
        <f ca="1"/>
        <v>0.72306590849637642</v>
      </c>
      <c r="O3552" s="2">
        <f ca="1"/>
        <v>1.2702828223172646</v>
      </c>
      <c r="X3552" s="2">
        <f ca="1"/>
        <v>29.382989215958588</v>
      </c>
      <c r="AG3552" s="2">
        <f ca="1"/>
        <v>0.75541085466643643</v>
      </c>
      <c r="AH3552" s="2" t="str">
        <f ca="1"/>
        <v>Bad</v>
      </c>
    </row>
    <row r="3553" spans="2:34">
      <c r="B3553" s="2">
        <f ca="1"/>
        <v>0.28265482187753732</v>
      </c>
      <c r="O3553" s="2">
        <f ca="1"/>
        <v>-1.1468028971622779</v>
      </c>
      <c r="X3553" s="2">
        <f ca="1"/>
        <v>40.615497797229878</v>
      </c>
      <c r="AG3553" s="2">
        <f ca="1"/>
        <v>0.49056248522906443</v>
      </c>
      <c r="AH3553" s="2" t="str">
        <f ca="1"/>
        <v>Bad</v>
      </c>
    </row>
    <row r="3554" spans="2:34">
      <c r="B3554" s="2">
        <f ca="1"/>
        <v>0.73271859999800015</v>
      </c>
      <c r="O3554" s="2">
        <f ca="1"/>
        <v>-1.5639248114401634</v>
      </c>
      <c r="X3554" s="2">
        <f ca="1"/>
        <v>26.582069846052306</v>
      </c>
      <c r="AG3554" s="2">
        <f ca="1"/>
        <v>0.97759611566001614</v>
      </c>
      <c r="AH3554" s="2" t="str">
        <f ca="1"/>
        <v>Bad</v>
      </c>
    </row>
    <row r="3555" spans="2:34">
      <c r="B3555" s="2">
        <f ca="1"/>
        <v>4.1540991366013635E-3</v>
      </c>
      <c r="O3555" s="2">
        <f ca="1"/>
        <v>0.1984658246690138</v>
      </c>
      <c r="X3555" s="2">
        <f ca="1"/>
        <v>73.141560957116326</v>
      </c>
      <c r="AG3555" s="2">
        <f ca="1"/>
        <v>0.13094063628376951</v>
      </c>
      <c r="AH3555" s="2" t="str">
        <f ca="1"/>
        <v>OK</v>
      </c>
    </row>
    <row r="3556" spans="2:34">
      <c r="B3556" s="2">
        <f ca="1"/>
        <v>0.78958575398393194</v>
      </c>
      <c r="O3556" s="2">
        <f ca="1"/>
        <v>1.0990583512320473</v>
      </c>
      <c r="X3556" s="2">
        <f ca="1"/>
        <v>35.433136814358988</v>
      </c>
      <c r="AG3556" s="2">
        <f ca="1"/>
        <v>0.19930825042834299</v>
      </c>
      <c r="AH3556" s="2" t="str">
        <f ca="1"/>
        <v>OK</v>
      </c>
    </row>
    <row r="3557" spans="2:34">
      <c r="B3557" s="2">
        <f ca="1"/>
        <v>0.34699892727481263</v>
      </c>
      <c r="O3557" s="2">
        <f ca="1"/>
        <v>-0.77625569375310277</v>
      </c>
      <c r="X3557" s="2">
        <f ca="1"/>
        <v>42.467708298645057</v>
      </c>
      <c r="AG3557" s="2">
        <f ca="1"/>
        <v>0.7789850997061345</v>
      </c>
      <c r="AH3557" s="2" t="str">
        <f ca="1"/>
        <v>Bad</v>
      </c>
    </row>
    <row r="3558" spans="2:34">
      <c r="B3558" s="2">
        <f ca="1"/>
        <v>0.28234450445762138</v>
      </c>
      <c r="O3558" s="2">
        <f ca="1"/>
        <v>0.70638698007061251</v>
      </c>
      <c r="X3558" s="2">
        <f ca="1"/>
        <v>62.097488750045954</v>
      </c>
      <c r="AG3558" s="2">
        <f ca="1"/>
        <v>0.99392207126399823</v>
      </c>
      <c r="AH3558" s="2" t="str">
        <f ca="1"/>
        <v>Bad</v>
      </c>
    </row>
    <row r="3559" spans="2:34">
      <c r="B3559" s="2">
        <f ca="1"/>
        <v>0.13525622073919541</v>
      </c>
      <c r="O3559" s="2">
        <f ca="1"/>
        <v>-1.0525577490176086</v>
      </c>
      <c r="X3559" s="2">
        <f ca="1"/>
        <v>34.183376890756875</v>
      </c>
      <c r="AG3559" s="2">
        <f ca="1"/>
        <v>0.79166177870372523</v>
      </c>
      <c r="AH3559" s="2" t="str">
        <f ca="1"/>
        <v>Bad</v>
      </c>
    </row>
    <row r="3560" spans="2:34">
      <c r="B3560" s="2">
        <f ca="1"/>
        <v>0.88832778726673189</v>
      </c>
      <c r="O3560" s="2">
        <f ca="1"/>
        <v>-0.29414537632133192</v>
      </c>
      <c r="X3560" s="2">
        <f ca="1"/>
        <v>30.591275293050192</v>
      </c>
      <c r="AG3560" s="2">
        <f ca="1"/>
        <v>0.68568517578971866</v>
      </c>
      <c r="AH3560" s="2" t="str">
        <f ca="1"/>
        <v>Bad</v>
      </c>
    </row>
    <row r="3561" spans="2:34">
      <c r="B3561" s="2">
        <f ca="1"/>
        <v>0.66592798354291238</v>
      </c>
      <c r="O3561" s="2">
        <f ca="1"/>
        <v>0.18538776512636382</v>
      </c>
      <c r="X3561" s="2">
        <f ca="1"/>
        <v>50.214534899345011</v>
      </c>
      <c r="AG3561" s="2">
        <f ca="1"/>
        <v>0.6889889630670416</v>
      </c>
      <c r="AH3561" s="2" t="str">
        <f ca="1"/>
        <v>Bad</v>
      </c>
    </row>
    <row r="3562" spans="2:34">
      <c r="B3562" s="2">
        <f ca="1"/>
        <v>0.57647239941273831</v>
      </c>
      <c r="O3562" s="2">
        <f ca="1"/>
        <v>-0.93865908988819458</v>
      </c>
      <c r="X3562" s="2">
        <f ca="1"/>
        <v>59.016392967232761</v>
      </c>
      <c r="AG3562" s="2">
        <f ca="1"/>
        <v>0.43536572970089682</v>
      </c>
      <c r="AH3562" s="2" t="str">
        <f ca="1"/>
        <v>Bad</v>
      </c>
    </row>
    <row r="3563" spans="2:34">
      <c r="B3563" s="2">
        <f ca="1"/>
        <v>0.41097010789623578</v>
      </c>
      <c r="O3563" s="2">
        <f ca="1"/>
        <v>1.8035122754509296</v>
      </c>
      <c r="X3563" s="2">
        <f ca="1"/>
        <v>38.378280210535607</v>
      </c>
      <c r="AG3563" s="2">
        <f ca="1"/>
        <v>0.10144689847661126</v>
      </c>
      <c r="AH3563" s="2" t="str">
        <f ca="1"/>
        <v>OK</v>
      </c>
    </row>
    <row r="3564" spans="2:34">
      <c r="B3564" s="2">
        <f ca="1"/>
        <v>0.85931770892290826</v>
      </c>
      <c r="O3564" s="2">
        <f ca="1"/>
        <v>0.27165839519464324</v>
      </c>
      <c r="X3564" s="2">
        <f ca="1"/>
        <v>54.135723184695067</v>
      </c>
      <c r="AG3564" s="2">
        <f ca="1"/>
        <v>0.20132698640404612</v>
      </c>
      <c r="AH3564" s="2" t="str">
        <f ca="1"/>
        <v>OK</v>
      </c>
    </row>
    <row r="3565" spans="2:34">
      <c r="B3565" s="2">
        <f ca="1"/>
        <v>0.84308898821751899</v>
      </c>
      <c r="O3565" s="2">
        <f ca="1"/>
        <v>-0.74478997638308231</v>
      </c>
      <c r="X3565" s="2">
        <f ca="1"/>
        <v>43.771440230909853</v>
      </c>
      <c r="AG3565" s="2">
        <f ca="1"/>
        <v>0.43211336007586132</v>
      </c>
      <c r="AH3565" s="2" t="str">
        <f ca="1"/>
        <v>Bad</v>
      </c>
    </row>
    <row r="3566" spans="2:34">
      <c r="B3566" s="2">
        <f ca="1"/>
        <v>0.56133549920144965</v>
      </c>
      <c r="O3566" s="2">
        <f ca="1"/>
        <v>1.2868748135277843</v>
      </c>
      <c r="X3566" s="2">
        <f ca="1"/>
        <v>24.531110692474293</v>
      </c>
      <c r="AG3566" s="2">
        <f ca="1"/>
        <v>0.90659650795361491</v>
      </c>
      <c r="AH3566" s="2" t="str">
        <f ca="1"/>
        <v>Bad</v>
      </c>
    </row>
    <row r="3567" spans="2:34">
      <c r="B3567" s="2">
        <f ca="1"/>
        <v>0.57726491759609444</v>
      </c>
      <c r="O3567" s="2">
        <f ca="1"/>
        <v>-0.38377089048700341</v>
      </c>
      <c r="X3567" s="2">
        <f ca="1"/>
        <v>45.596027741338844</v>
      </c>
      <c r="AG3567" s="2">
        <f ca="1"/>
        <v>0.63503077754193171</v>
      </c>
      <c r="AH3567" s="2" t="str">
        <f ca="1"/>
        <v>Bad</v>
      </c>
    </row>
    <row r="3568" spans="2:34">
      <c r="B3568" s="2">
        <f ca="1"/>
        <v>0.42760937058775772</v>
      </c>
      <c r="O3568" s="2">
        <f ca="1"/>
        <v>-1.7481069103933351</v>
      </c>
      <c r="X3568" s="2">
        <f ca="1"/>
        <v>55.732535269499373</v>
      </c>
      <c r="AG3568" s="2">
        <f ca="1"/>
        <v>0.31286405243104221</v>
      </c>
      <c r="AH3568" s="2" t="str">
        <f ca="1"/>
        <v>OK</v>
      </c>
    </row>
    <row r="3569" spans="2:34">
      <c r="B3569" s="2">
        <f ca="1"/>
        <v>3.9579658840565246E-2</v>
      </c>
      <c r="O3569" s="2">
        <f ca="1"/>
        <v>-1.6873463351816427</v>
      </c>
      <c r="X3569" s="2">
        <f ca="1"/>
        <v>52.130183960151165</v>
      </c>
      <c r="AG3569" s="2">
        <f ca="1"/>
        <v>0.83270900058535768</v>
      </c>
      <c r="AH3569" s="2" t="str">
        <f ca="1"/>
        <v>Bad</v>
      </c>
    </row>
    <row r="3570" spans="2:34">
      <c r="B3570" s="2">
        <f ca="1"/>
        <v>0.59810271085173317</v>
      </c>
      <c r="O3570" s="2">
        <f ca="1"/>
        <v>-0.62382844131732107</v>
      </c>
      <c r="X3570" s="2">
        <f ca="1"/>
        <v>41.765907393655908</v>
      </c>
      <c r="AG3570" s="2">
        <f ca="1"/>
        <v>0.60858187923773976</v>
      </c>
      <c r="AH3570" s="2" t="str">
        <f ca="1"/>
        <v>Bad</v>
      </c>
    </row>
    <row r="3571" spans="2:34">
      <c r="B3571" s="2">
        <f ca="1"/>
        <v>0.93038693797614913</v>
      </c>
      <c r="O3571" s="2">
        <f ca="1"/>
        <v>-0.90869573795715219</v>
      </c>
      <c r="X3571" s="2">
        <f ca="1"/>
        <v>43.490992374923906</v>
      </c>
      <c r="AG3571" s="2">
        <f ca="1"/>
        <v>0.39236797051377104</v>
      </c>
      <c r="AH3571" s="2" t="str">
        <f ca="1"/>
        <v>OK</v>
      </c>
    </row>
    <row r="3572" spans="2:34">
      <c r="B3572" s="2">
        <f ca="1"/>
        <v>9.1226262563082194E-3</v>
      </c>
      <c r="O3572" s="2">
        <f ca="1"/>
        <v>3.5906893015639123</v>
      </c>
      <c r="X3572" s="2">
        <f ca="1"/>
        <v>41.152030492607629</v>
      </c>
      <c r="AG3572" s="2">
        <f ca="1"/>
        <v>0.82025165454303717</v>
      </c>
      <c r="AH3572" s="2" t="str">
        <f ca="1"/>
        <v>Bad</v>
      </c>
    </row>
    <row r="3573" spans="2:34">
      <c r="B3573" s="2">
        <f ca="1"/>
        <v>0.20904827272965765</v>
      </c>
      <c r="O3573" s="2">
        <f ca="1"/>
        <v>-1.3457724671159086E-2</v>
      </c>
      <c r="X3573" s="2">
        <f ca="1"/>
        <v>59.510916901808919</v>
      </c>
      <c r="AG3573" s="2">
        <f ca="1"/>
        <v>0.60866756723753568</v>
      </c>
      <c r="AH3573" s="2" t="str">
        <f ca="1"/>
        <v>Bad</v>
      </c>
    </row>
    <row r="3574" spans="2:34">
      <c r="B3574" s="2">
        <f ca="1"/>
        <v>0.17038651204470878</v>
      </c>
      <c r="O3574" s="2">
        <f ca="1"/>
        <v>-0.10909989212391123</v>
      </c>
      <c r="X3574" s="2">
        <f ca="1"/>
        <v>25.547299571051422</v>
      </c>
      <c r="AG3574" s="2">
        <f ca="1"/>
        <v>0.72618426712636541</v>
      </c>
      <c r="AH3574" s="2" t="str">
        <f ca="1"/>
        <v>Bad</v>
      </c>
    </row>
    <row r="3575" spans="2:34">
      <c r="B3575" s="2">
        <f ca="1"/>
        <v>0.80919782817893227</v>
      </c>
      <c r="O3575" s="2">
        <f ca="1"/>
        <v>1.3048193711108109</v>
      </c>
      <c r="X3575" s="2">
        <f ca="1"/>
        <v>53.309279065256526</v>
      </c>
      <c r="AG3575" s="2">
        <f ca="1"/>
        <v>0.52945453484680494</v>
      </c>
      <c r="AH3575" s="2" t="str">
        <f ca="1"/>
        <v>Bad</v>
      </c>
    </row>
    <row r="3576" spans="2:34">
      <c r="B3576" s="2">
        <f ca="1"/>
        <v>0.37478151364806744</v>
      </c>
      <c r="O3576" s="2">
        <f ca="1"/>
        <v>-1.4563555782163653</v>
      </c>
      <c r="X3576" s="2">
        <f ca="1"/>
        <v>58.163006318111385</v>
      </c>
      <c r="AG3576" s="2">
        <f ca="1"/>
        <v>0.63235162215211083</v>
      </c>
      <c r="AH3576" s="2" t="str">
        <f ca="1"/>
        <v>Bad</v>
      </c>
    </row>
    <row r="3577" spans="2:34">
      <c r="B3577" s="2">
        <f ca="1"/>
        <v>0.10976450299446361</v>
      </c>
      <c r="O3577" s="2">
        <f ca="1"/>
        <v>-0.20269214259270232</v>
      </c>
      <c r="X3577" s="2">
        <f ca="1"/>
        <v>46.274228916176639</v>
      </c>
      <c r="AG3577" s="2">
        <f ca="1"/>
        <v>0.36712750843060715</v>
      </c>
      <c r="AH3577" s="2" t="str">
        <f ca="1"/>
        <v>OK</v>
      </c>
    </row>
    <row r="3578" spans="2:34">
      <c r="B3578" s="2">
        <f ca="1"/>
        <v>0.3172314870521471</v>
      </c>
      <c r="O3578" s="2">
        <f ca="1"/>
        <v>0.79028163652084493</v>
      </c>
      <c r="X3578" s="2">
        <f ca="1"/>
        <v>70.020756563437359</v>
      </c>
      <c r="AG3578" s="2">
        <f ca="1"/>
        <v>0.10189315377834851</v>
      </c>
      <c r="AH3578" s="2" t="str">
        <f ca="1"/>
        <v>OK</v>
      </c>
    </row>
    <row r="3579" spans="2:34">
      <c r="B3579" s="2">
        <f ca="1"/>
        <v>0.85326404298133185</v>
      </c>
      <c r="O3579" s="2">
        <f ca="1"/>
        <v>0.83217006188158682</v>
      </c>
      <c r="X3579" s="2">
        <f ca="1"/>
        <v>33.699336075931406</v>
      </c>
      <c r="AG3579" s="2">
        <f ca="1"/>
        <v>0.63448703061447809</v>
      </c>
      <c r="AH3579" s="2" t="str">
        <f ca="1"/>
        <v>Bad</v>
      </c>
    </row>
    <row r="3580" spans="2:34">
      <c r="B3580" s="2">
        <f ca="1"/>
        <v>0.6140162158776632</v>
      </c>
      <c r="O3580" s="2">
        <f ca="1"/>
        <v>-0.85729478221106292</v>
      </c>
      <c r="X3580" s="2">
        <f ca="1"/>
        <v>51.989111934098212</v>
      </c>
      <c r="AG3580" s="2">
        <f ca="1"/>
        <v>0.55697132453090781</v>
      </c>
      <c r="AH3580" s="2" t="str">
        <f ca="1"/>
        <v>Bad</v>
      </c>
    </row>
    <row r="3581" spans="2:34">
      <c r="B3581" s="2">
        <f ca="1"/>
        <v>0.27679784639101213</v>
      </c>
      <c r="O3581" s="2">
        <f ca="1"/>
        <v>-1.3111992243527455</v>
      </c>
      <c r="X3581" s="2">
        <f ca="1"/>
        <v>59.144999794632128</v>
      </c>
      <c r="AG3581" s="2">
        <f ca="1"/>
        <v>0.80683986683482978</v>
      </c>
      <c r="AH3581" s="2" t="str">
        <f ca="1"/>
        <v>Bad</v>
      </c>
    </row>
    <row r="3582" spans="2:34">
      <c r="B3582" s="2">
        <f ca="1"/>
        <v>0.343793175566111</v>
      </c>
      <c r="O3582" s="2">
        <f ca="1"/>
        <v>0.61292105425748167</v>
      </c>
      <c r="X3582" s="2">
        <f ca="1"/>
        <v>31.90083069353259</v>
      </c>
      <c r="AG3582" s="2">
        <f ca="1"/>
        <v>0.69577318299192337</v>
      </c>
      <c r="AH3582" s="2" t="str">
        <f ca="1"/>
        <v>Bad</v>
      </c>
    </row>
    <row r="3583" spans="2:34">
      <c r="B3583" s="2">
        <f ca="1"/>
        <v>0.6863642951591904</v>
      </c>
      <c r="O3583" s="2">
        <f ca="1"/>
        <v>-1.9605564891383431</v>
      </c>
      <c r="X3583" s="2">
        <f ca="1"/>
        <v>31.822635952781305</v>
      </c>
      <c r="AG3583" s="2">
        <f ca="1"/>
        <v>0.14892772917627095</v>
      </c>
      <c r="AH3583" s="2" t="str">
        <f ca="1"/>
        <v>OK</v>
      </c>
    </row>
    <row r="3584" spans="2:34">
      <c r="B3584" s="2">
        <f ca="1"/>
        <v>0.7975798370339453</v>
      </c>
      <c r="O3584" s="2">
        <f ca="1"/>
        <v>-8.4113848563624166E-2</v>
      </c>
      <c r="X3584" s="2">
        <f ca="1"/>
        <v>31.785827289244942</v>
      </c>
      <c r="AG3584" s="2">
        <f ca="1"/>
        <v>0.43419323211634131</v>
      </c>
      <c r="AH3584" s="2" t="str">
        <f ca="1"/>
        <v>Bad</v>
      </c>
    </row>
    <row r="3585" spans="2:34">
      <c r="B3585" s="2">
        <f ca="1"/>
        <v>0.52860314391093888</v>
      </c>
      <c r="O3585" s="2">
        <f ca="1"/>
        <v>-0.1341031516834077</v>
      </c>
      <c r="X3585" s="2">
        <f ca="1"/>
        <v>39.572484265860638</v>
      </c>
      <c r="AG3585" s="2">
        <f ca="1"/>
        <v>0.34033269057145277</v>
      </c>
      <c r="AH3585" s="2" t="str">
        <f ca="1"/>
        <v>OK</v>
      </c>
    </row>
    <row r="3586" spans="2:34">
      <c r="B3586" s="2">
        <f ca="1"/>
        <v>0.24760542086531578</v>
      </c>
      <c r="O3586" s="2">
        <f ca="1"/>
        <v>1.1799549450978959</v>
      </c>
      <c r="X3586" s="2">
        <f ca="1"/>
        <v>30.083134177421297</v>
      </c>
      <c r="AG3586" s="2">
        <f ca="1"/>
        <v>0.14649847808036798</v>
      </c>
      <c r="AH3586" s="2" t="str">
        <f ca="1"/>
        <v>OK</v>
      </c>
    </row>
    <row r="3587" spans="2:34">
      <c r="B3587" s="2">
        <f ca="1"/>
        <v>0.24971144619789176</v>
      </c>
      <c r="O3587" s="2">
        <f ca="1"/>
        <v>0.8477407534311866</v>
      </c>
      <c r="X3587" s="2">
        <f ca="1"/>
        <v>60.281950777945035</v>
      </c>
      <c r="AG3587" s="2">
        <f ca="1"/>
        <v>0.14943591606666828</v>
      </c>
      <c r="AH3587" s="2" t="str">
        <f ca="1"/>
        <v>OK</v>
      </c>
    </row>
    <row r="3588" spans="2:34">
      <c r="B3588" s="2">
        <f ca="1"/>
        <v>8.7674878395777922E-2</v>
      </c>
      <c r="O3588" s="2">
        <f ca="1"/>
        <v>0.92623978379887462</v>
      </c>
      <c r="X3588" s="2">
        <f ca="1"/>
        <v>30.845448450335461</v>
      </c>
      <c r="AG3588" s="2">
        <f ca="1"/>
        <v>4.6215766455583784E-2</v>
      </c>
      <c r="AH3588" s="2" t="str">
        <f ca="1"/>
        <v>Good</v>
      </c>
    </row>
    <row r="3589" spans="2:34">
      <c r="B3589" s="2">
        <f ca="1"/>
        <v>0.93950637260791448</v>
      </c>
      <c r="O3589" s="2">
        <f ca="1"/>
        <v>0.79377612005325593</v>
      </c>
      <c r="X3589" s="2">
        <f ca="1"/>
        <v>27.544529284398877</v>
      </c>
      <c r="AG3589" s="2">
        <f ca="1"/>
        <v>0.89390565038584646</v>
      </c>
      <c r="AH3589" s="2" t="str">
        <f ca="1"/>
        <v>Bad</v>
      </c>
    </row>
    <row r="3590" spans="2:34">
      <c r="B3590" s="2">
        <f ca="1"/>
        <v>0.5766987665495793</v>
      </c>
      <c r="O3590" s="2">
        <f ca="1"/>
        <v>-0.11826133370503372</v>
      </c>
      <c r="X3590" s="2">
        <f ca="1"/>
        <v>44.750472208818799</v>
      </c>
      <c r="AG3590" s="2">
        <f ca="1"/>
        <v>0.58051189475173914</v>
      </c>
      <c r="AH3590" s="2" t="str">
        <f ca="1"/>
        <v>Bad</v>
      </c>
    </row>
    <row r="3591" spans="2:34">
      <c r="B3591" s="2">
        <f ca="1"/>
        <v>0.32314115104146124</v>
      </c>
      <c r="O3591" s="2">
        <f ca="1"/>
        <v>-0.83977147638214211</v>
      </c>
      <c r="X3591" s="2">
        <f ca="1"/>
        <v>37.500905811879605</v>
      </c>
      <c r="AG3591" s="2">
        <f ca="1"/>
        <v>0.92106218862308786</v>
      </c>
      <c r="AH3591" s="2" t="str">
        <f ca="1"/>
        <v>Bad</v>
      </c>
    </row>
    <row r="3592" spans="2:34">
      <c r="B3592" s="2">
        <f ca="1"/>
        <v>0.79818359646803949</v>
      </c>
      <c r="O3592" s="2">
        <f ca="1"/>
        <v>-0.25049941360850803</v>
      </c>
      <c r="X3592" s="2">
        <f ca="1"/>
        <v>35.167718566469659</v>
      </c>
      <c r="AG3592" s="2">
        <f ca="1"/>
        <v>0.28497608178757838</v>
      </c>
      <c r="AH3592" s="2" t="str">
        <f ca="1"/>
        <v>OK</v>
      </c>
    </row>
    <row r="3593" spans="2:34">
      <c r="B3593" s="2">
        <f ca="1"/>
        <v>0.1140370579362302</v>
      </c>
      <c r="O3593" s="2">
        <f ca="1"/>
        <v>0.24515120255519177</v>
      </c>
      <c r="X3593" s="2">
        <f ca="1"/>
        <v>36.234107340403042</v>
      </c>
      <c r="AG3593" s="2">
        <f ca="1"/>
        <v>0.68430812291926557</v>
      </c>
      <c r="AH3593" s="2" t="str">
        <f ca="1"/>
        <v>Bad</v>
      </c>
    </row>
    <row r="3594" spans="2:34">
      <c r="B3594" s="2">
        <f ca="1"/>
        <v>0.98965901855070859</v>
      </c>
      <c r="O3594" s="2">
        <f ca="1"/>
        <v>-0.4209293923037366</v>
      </c>
      <c r="X3594" s="2">
        <f ca="1"/>
        <v>48.426856004882879</v>
      </c>
      <c r="AG3594" s="2">
        <f ca="1"/>
        <v>0.45824058052772498</v>
      </c>
      <c r="AH3594" s="2" t="str">
        <f ca="1"/>
        <v>Bad</v>
      </c>
    </row>
    <row r="3595" spans="2:34">
      <c r="B3595" s="2">
        <f ca="1"/>
        <v>0.60002281859425177</v>
      </c>
      <c r="O3595" s="2">
        <f ca="1"/>
        <v>-0.16758701456337374</v>
      </c>
      <c r="X3595" s="2">
        <f ca="1"/>
        <v>29.981330242294597</v>
      </c>
      <c r="AG3595" s="2">
        <f ca="1"/>
        <v>0.53232791617629838</v>
      </c>
      <c r="AH3595" s="2" t="str">
        <f ca="1"/>
        <v>Bad</v>
      </c>
    </row>
    <row r="3596" spans="2:34">
      <c r="B3596" s="2">
        <f ca="1"/>
        <v>0.66094534653273529</v>
      </c>
      <c r="O3596" s="2">
        <f ca="1"/>
        <v>1.0153019812939283</v>
      </c>
      <c r="X3596" s="2">
        <f ca="1"/>
        <v>77.324574595477159</v>
      </c>
      <c r="AG3596" s="2">
        <f ca="1"/>
        <v>0.28789555949434442</v>
      </c>
      <c r="AH3596" s="2" t="str">
        <f ca="1"/>
        <v>OK</v>
      </c>
    </row>
    <row r="3597" spans="2:34">
      <c r="B3597" s="2">
        <f ca="1"/>
        <v>0.14298859029845934</v>
      </c>
      <c r="O3597" s="2">
        <f ca="1"/>
        <v>0.72387228055864172</v>
      </c>
      <c r="X3597" s="2">
        <f ca="1"/>
        <v>50.055171431275937</v>
      </c>
      <c r="AG3597" s="2">
        <f ca="1"/>
        <v>0.49216008245798837</v>
      </c>
      <c r="AH3597" s="2" t="str">
        <f ca="1"/>
        <v>Bad</v>
      </c>
    </row>
    <row r="3598" spans="2:34">
      <c r="B3598" s="2">
        <f ca="1"/>
        <v>0.30528030981321796</v>
      </c>
      <c r="O3598" s="2">
        <f ca="1"/>
        <v>-0.86233254654474223</v>
      </c>
      <c r="X3598" s="2">
        <f ca="1"/>
        <v>32.976341323392226</v>
      </c>
      <c r="AG3598" s="2">
        <f ca="1"/>
        <v>0.51254751620211025</v>
      </c>
      <c r="AH3598" s="2" t="str">
        <f ca="1"/>
        <v>Bad</v>
      </c>
    </row>
    <row r="3599" spans="2:34">
      <c r="B3599" s="2">
        <f ca="1"/>
        <v>0.321556625247434</v>
      </c>
      <c r="O3599" s="2">
        <f ca="1"/>
        <v>0.65397948878485379</v>
      </c>
      <c r="X3599" s="2">
        <f ca="1"/>
        <v>48.747223051236801</v>
      </c>
      <c r="AG3599" s="2">
        <f ca="1"/>
        <v>0.68646898451189431</v>
      </c>
      <c r="AH3599" s="2" t="str">
        <f ca="1"/>
        <v>Bad</v>
      </c>
    </row>
    <row r="3600" spans="2:34">
      <c r="B3600" s="2">
        <f ca="1"/>
        <v>8.7179746858259133E-2</v>
      </c>
      <c r="O3600" s="2">
        <f ca="1"/>
        <v>-1.1987540348185046</v>
      </c>
      <c r="X3600" s="2">
        <f ca="1"/>
        <v>32.29037308980508</v>
      </c>
      <c r="AG3600" s="2">
        <f ca="1"/>
        <v>0.17402551193697646</v>
      </c>
      <c r="AH3600" s="2" t="str">
        <f ca="1"/>
        <v>OK</v>
      </c>
    </row>
    <row r="3601" spans="2:34">
      <c r="B3601" s="2">
        <f ca="1"/>
        <v>2.530410638652536E-2</v>
      </c>
      <c r="O3601" s="2">
        <f ca="1"/>
        <v>1.218348803679536</v>
      </c>
      <c r="X3601" s="2">
        <f ca="1"/>
        <v>34.996119562970549</v>
      </c>
      <c r="AG3601" s="2">
        <f ca="1"/>
        <v>2.3804787118202997E-2</v>
      </c>
      <c r="AH3601" s="2" t="str">
        <f ca="1"/>
        <v>Good</v>
      </c>
    </row>
    <row r="3602" spans="2:34">
      <c r="B3602" s="2">
        <f ca="1"/>
        <v>0.38548193926133667</v>
      </c>
      <c r="O3602" s="2">
        <f ca="1"/>
        <v>-2.3063051020633467</v>
      </c>
      <c r="X3602" s="2">
        <f ca="1"/>
        <v>51.002522073398936</v>
      </c>
      <c r="AG3602" s="2">
        <f ca="1"/>
        <v>0.37267927609048268</v>
      </c>
      <c r="AH3602" s="2" t="str">
        <f ca="1"/>
        <v>OK</v>
      </c>
    </row>
    <row r="3603" spans="2:34">
      <c r="B3603" s="2">
        <f ca="1"/>
        <v>0.14629348501495665</v>
      </c>
      <c r="O3603" s="2">
        <f ca="1"/>
        <v>1.0562561221383571</v>
      </c>
      <c r="X3603" s="2">
        <f ca="1"/>
        <v>50.55949287215546</v>
      </c>
      <c r="AG3603" s="2">
        <f ca="1"/>
        <v>0.11700001446555097</v>
      </c>
      <c r="AH3603" s="2" t="str">
        <f ca="1"/>
        <v>OK</v>
      </c>
    </row>
    <row r="3604" spans="2:34">
      <c r="B3604" s="2">
        <f ca="1"/>
        <v>0.12399417791963385</v>
      </c>
      <c r="O3604" s="2">
        <f ca="1"/>
        <v>-1.6960310826593497</v>
      </c>
      <c r="X3604" s="2">
        <f ca="1"/>
        <v>47.990208881258482</v>
      </c>
      <c r="AG3604" s="2">
        <f ca="1"/>
        <v>0.49305651325009081</v>
      </c>
      <c r="AH3604" s="2" t="str">
        <f ca="1"/>
        <v>Bad</v>
      </c>
    </row>
    <row r="3605" spans="2:34">
      <c r="B3605" s="2">
        <f ca="1"/>
        <v>0.14100443655766104</v>
      </c>
      <c r="O3605" s="2">
        <f ca="1"/>
        <v>0.51026957554292607</v>
      </c>
      <c r="X3605" s="2">
        <f ca="1"/>
        <v>27.553467666128064</v>
      </c>
      <c r="AG3605" s="2">
        <f ca="1"/>
        <v>0.84101008417700251</v>
      </c>
      <c r="AH3605" s="2" t="str">
        <f ca="1"/>
        <v>Bad</v>
      </c>
    </row>
    <row r="3606" spans="2:34">
      <c r="B3606" s="2">
        <f ca="1"/>
        <v>0.28917411019957129</v>
      </c>
      <c r="O3606" s="2">
        <f ca="1"/>
        <v>6.0677214455746357E-2</v>
      </c>
      <c r="X3606" s="2">
        <f ca="1"/>
        <v>51.222990598004202</v>
      </c>
      <c r="AG3606" s="2">
        <f ca="1"/>
        <v>0.28797331275561522</v>
      </c>
      <c r="AH3606" s="2" t="str">
        <f ca="1"/>
        <v>OK</v>
      </c>
    </row>
    <row r="3607" spans="2:34">
      <c r="B3607" s="2">
        <f ca="1"/>
        <v>0.10579829062714285</v>
      </c>
      <c r="O3607" s="2">
        <f ca="1"/>
        <v>9.4113848538199402E-2</v>
      </c>
      <c r="X3607" s="2">
        <f ca="1"/>
        <v>49.661958943638069</v>
      </c>
      <c r="AG3607" s="2">
        <f ca="1"/>
        <v>0.86585926303079441</v>
      </c>
      <c r="AH3607" s="2" t="str">
        <f ca="1"/>
        <v>Bad</v>
      </c>
    </row>
    <row r="3608" spans="2:34">
      <c r="B3608" s="2">
        <f ca="1"/>
        <v>0.80796949587421985</v>
      </c>
      <c r="O3608" s="2">
        <f ca="1"/>
        <v>1.5216274527476983</v>
      </c>
      <c r="X3608" s="2">
        <f ca="1"/>
        <v>49.613635163189741</v>
      </c>
      <c r="AG3608" s="2">
        <f ca="1"/>
        <v>0.14574999147572232</v>
      </c>
      <c r="AH3608" s="2" t="str">
        <f ca="1"/>
        <v>OK</v>
      </c>
    </row>
    <row r="3609" spans="2:34">
      <c r="B3609" s="2">
        <f ca="1"/>
        <v>0.23013451417413489</v>
      </c>
      <c r="O3609" s="2">
        <f ca="1"/>
        <v>0.45787040782385013</v>
      </c>
      <c r="X3609" s="2">
        <f ca="1"/>
        <v>59.12364222938649</v>
      </c>
      <c r="AG3609" s="2">
        <f ca="1"/>
        <v>0.5564092437352135</v>
      </c>
      <c r="AH3609" s="2" t="str">
        <f ca="1"/>
        <v>Bad</v>
      </c>
    </row>
    <row r="3610" spans="2:34">
      <c r="B3610" s="2">
        <f ca="1"/>
        <v>0.14043868790769687</v>
      </c>
      <c r="O3610" s="2">
        <f ca="1"/>
        <v>0.12212741049768633</v>
      </c>
      <c r="X3610" s="2">
        <f ca="1"/>
        <v>35.440421526883249</v>
      </c>
      <c r="AG3610" s="2">
        <f ca="1"/>
        <v>0.53278964145364127</v>
      </c>
      <c r="AH3610" s="2" t="str">
        <f ca="1"/>
        <v>Bad</v>
      </c>
    </row>
    <row r="3611" spans="2:34">
      <c r="B3611" s="2">
        <f ca="1"/>
        <v>0.90794871347318429</v>
      </c>
      <c r="O3611" s="2">
        <f ca="1"/>
        <v>-0.13443388823207042</v>
      </c>
      <c r="X3611" s="2">
        <f ca="1"/>
        <v>39.827446754951396</v>
      </c>
      <c r="AG3611" s="2">
        <f ca="1"/>
        <v>0.24880116897862647</v>
      </c>
      <c r="AH3611" s="2" t="str">
        <f ca="1"/>
        <v>OK</v>
      </c>
    </row>
    <row r="3612" spans="2:34">
      <c r="B3612" s="2">
        <f ca="1"/>
        <v>0.78637103329495761</v>
      </c>
      <c r="O3612" s="2">
        <f ca="1"/>
        <v>-1.3587364920528087</v>
      </c>
      <c r="X3612" s="2">
        <f ca="1"/>
        <v>70.504230301694207</v>
      </c>
      <c r="AG3612" s="2">
        <f ca="1"/>
        <v>0.19388765818984433</v>
      </c>
      <c r="AH3612" s="2" t="str">
        <f ca="1"/>
        <v>OK</v>
      </c>
    </row>
    <row r="3613" spans="2:34">
      <c r="B3613" s="2">
        <f ca="1"/>
        <v>0.11622869632314847</v>
      </c>
      <c r="O3613" s="2">
        <f ca="1"/>
        <v>-6.5340749419867852E-2</v>
      </c>
      <c r="X3613" s="2">
        <f ca="1"/>
        <v>43.82929807847453</v>
      </c>
      <c r="AG3613" s="2">
        <f ca="1"/>
        <v>0.18433278916387019</v>
      </c>
      <c r="AH3613" s="2" t="str">
        <f ca="1"/>
        <v>OK</v>
      </c>
    </row>
    <row r="3614" spans="2:34">
      <c r="B3614" s="2">
        <f ca="1"/>
        <v>0.18521440832712366</v>
      </c>
      <c r="O3614" s="2">
        <f ca="1"/>
        <v>-0.97952915195788615</v>
      </c>
      <c r="X3614" s="2">
        <f ca="1"/>
        <v>35.332284345875124</v>
      </c>
      <c r="AG3614" s="2">
        <f ca="1"/>
        <v>0.63045994266634886</v>
      </c>
      <c r="AH3614" s="2" t="str">
        <f ca="1"/>
        <v>Bad</v>
      </c>
    </row>
    <row r="3615" spans="2:34">
      <c r="B3615" s="2">
        <f ca="1"/>
        <v>0.75618334972324597</v>
      </c>
      <c r="O3615" s="2">
        <f ca="1"/>
        <v>-1.7212836189720278</v>
      </c>
      <c r="X3615" s="2">
        <f ca="1"/>
        <v>71.004427209496811</v>
      </c>
      <c r="AG3615" s="2">
        <f ca="1"/>
        <v>0.38293119466558911</v>
      </c>
      <c r="AH3615" s="2" t="str">
        <f ca="1"/>
        <v>OK</v>
      </c>
    </row>
    <row r="3616" spans="2:34">
      <c r="B3616" s="2">
        <f ca="1"/>
        <v>0.6123359469641052</v>
      </c>
      <c r="O3616" s="2">
        <f ca="1"/>
        <v>0.62223371884478662</v>
      </c>
      <c r="X3616" s="2">
        <f ca="1"/>
        <v>72.585172534310999</v>
      </c>
      <c r="AG3616" s="2">
        <f ca="1"/>
        <v>0.61073022432066937</v>
      </c>
      <c r="AH3616" s="2" t="str">
        <f ca="1"/>
        <v>Bad</v>
      </c>
    </row>
    <row r="3617" spans="2:34">
      <c r="B3617" s="2">
        <f ca="1"/>
        <v>0.14340845254540358</v>
      </c>
      <c r="O3617" s="2">
        <f ca="1"/>
        <v>-1.0067196196553461</v>
      </c>
      <c r="X3617" s="2">
        <f ca="1"/>
        <v>53.62087795975954</v>
      </c>
      <c r="AG3617" s="2">
        <f ca="1"/>
        <v>0.55888570660786208</v>
      </c>
      <c r="AH3617" s="2" t="str">
        <f ca="1"/>
        <v>Bad</v>
      </c>
    </row>
    <row r="3618" spans="2:34">
      <c r="B3618" s="2">
        <f ca="1"/>
        <v>0.20400324770543365</v>
      </c>
      <c r="O3618" s="2">
        <f ca="1"/>
        <v>0.9557124759288379</v>
      </c>
      <c r="X3618" s="2">
        <f ca="1"/>
        <v>63.774374504684786</v>
      </c>
      <c r="AG3618" s="2">
        <f ca="1"/>
        <v>0.41879182615621557</v>
      </c>
      <c r="AH3618" s="2" t="str">
        <f ca="1"/>
        <v>Bad</v>
      </c>
    </row>
    <row r="3619" spans="2:34">
      <c r="B3619" s="2">
        <f ca="1"/>
        <v>0.98942199260320485</v>
      </c>
      <c r="O3619" s="2">
        <f ca="1"/>
        <v>-1.0169280225304012</v>
      </c>
      <c r="X3619" s="2">
        <f ca="1"/>
        <v>78.397384917564509</v>
      </c>
      <c r="AG3619" s="2">
        <f ca="1"/>
        <v>0.17495988647004324</v>
      </c>
      <c r="AH3619" s="2" t="str">
        <f ca="1"/>
        <v>OK</v>
      </c>
    </row>
    <row r="3620" spans="2:34">
      <c r="B3620" s="2">
        <f ca="1"/>
        <v>0.92609895809313314</v>
      </c>
      <c r="O3620" s="2">
        <f ca="1"/>
        <v>0.69616181433042545</v>
      </c>
      <c r="X3620" s="2">
        <f ca="1"/>
        <v>32.543758209574804</v>
      </c>
      <c r="AG3620" s="2">
        <f ca="1"/>
        <v>0.34086924984242795</v>
      </c>
      <c r="AH3620" s="2" t="str">
        <f ca="1"/>
        <v>OK</v>
      </c>
    </row>
    <row r="3621" spans="2:34">
      <c r="B3621" s="2">
        <f ca="1"/>
        <v>0.4316716628659274</v>
      </c>
      <c r="O3621" s="2">
        <f ca="1"/>
        <v>-0.36037592790473838</v>
      </c>
      <c r="X3621" s="2">
        <f ca="1"/>
        <v>46.244092681981201</v>
      </c>
      <c r="AG3621" s="2">
        <f ca="1"/>
        <v>0.96259627819607885</v>
      </c>
      <c r="AH3621" s="2" t="str">
        <f ca="1"/>
        <v>Bad</v>
      </c>
    </row>
    <row r="3622" spans="2:34">
      <c r="B3622" s="2">
        <f ca="1"/>
        <v>0.83380597911665832</v>
      </c>
      <c r="O3622" s="2">
        <f ca="1"/>
        <v>0.32349646087451583</v>
      </c>
      <c r="X3622" s="2">
        <f ca="1"/>
        <v>52.182397227781998</v>
      </c>
      <c r="AG3622" s="2">
        <f ca="1"/>
        <v>0.75494253920158205</v>
      </c>
      <c r="AH3622" s="2" t="str">
        <f ca="1"/>
        <v>Bad</v>
      </c>
    </row>
    <row r="3623" spans="2:34">
      <c r="B3623" s="2">
        <f ca="1"/>
        <v>0.75362070090978173</v>
      </c>
      <c r="O3623" s="2">
        <f ca="1"/>
        <v>0.67895464455583487</v>
      </c>
      <c r="X3623" s="2">
        <f ca="1"/>
        <v>45.515915685763943</v>
      </c>
      <c r="AG3623" s="2">
        <f ca="1"/>
        <v>0.40665522424007539</v>
      </c>
      <c r="AH3623" s="2" t="str">
        <f ca="1"/>
        <v>Bad</v>
      </c>
    </row>
    <row r="3624" spans="2:34">
      <c r="B3624" s="2">
        <f ca="1"/>
        <v>0.1943384857349999</v>
      </c>
      <c r="O3624" s="2">
        <f ca="1"/>
        <v>0.73419576017134636</v>
      </c>
      <c r="X3624" s="2">
        <f ca="1"/>
        <v>19.949891883225156</v>
      </c>
      <c r="AG3624" s="2">
        <f ca="1"/>
        <v>0.96788213402859768</v>
      </c>
      <c r="AH3624" s="2" t="str">
        <f ca="1"/>
        <v>Bad</v>
      </c>
    </row>
    <row r="3625" spans="2:34">
      <c r="B3625" s="2">
        <f ca="1"/>
        <v>0.10733122246940718</v>
      </c>
      <c r="O3625" s="2">
        <f ca="1"/>
        <v>-0.53224387578963439</v>
      </c>
      <c r="X3625" s="2">
        <f ca="1"/>
        <v>42.993056509860423</v>
      </c>
      <c r="AG3625" s="2">
        <f ca="1"/>
        <v>0.34409456520385562</v>
      </c>
      <c r="AH3625" s="2" t="str">
        <f ca="1"/>
        <v>OK</v>
      </c>
    </row>
    <row r="3626" spans="2:34">
      <c r="B3626" s="2">
        <f ca="1"/>
        <v>0.64487128280482087</v>
      </c>
      <c r="O3626" s="2">
        <f ca="1"/>
        <v>1.1446902412917823</v>
      </c>
      <c r="X3626" s="2">
        <f ca="1"/>
        <v>24.711875027338269</v>
      </c>
      <c r="AG3626" s="2">
        <f ca="1"/>
        <v>0.91166712520420279</v>
      </c>
      <c r="AH3626" s="2" t="str">
        <f ca="1"/>
        <v>Bad</v>
      </c>
    </row>
    <row r="3627" spans="2:34">
      <c r="B3627" s="2">
        <f ca="1"/>
        <v>0.33770040253471389</v>
      </c>
      <c r="O3627" s="2">
        <f ca="1"/>
        <v>0.39293908155494156</v>
      </c>
      <c r="X3627" s="2">
        <f ca="1"/>
        <v>69.33422172406614</v>
      </c>
      <c r="AG3627" s="2">
        <f ca="1"/>
        <v>5.3811144160560431E-3</v>
      </c>
      <c r="AH3627" s="2" t="str">
        <f ca="1"/>
        <v>Good</v>
      </c>
    </row>
    <row r="3628" spans="2:34">
      <c r="B3628" s="2">
        <f ca="1"/>
        <v>0.45607779613938382</v>
      </c>
      <c r="O3628" s="2">
        <f ca="1"/>
        <v>1.6387211986826469</v>
      </c>
      <c r="X3628" s="2">
        <f ca="1"/>
        <v>55.047780957296084</v>
      </c>
      <c r="AG3628" s="2">
        <f ca="1"/>
        <v>0.24655381700507562</v>
      </c>
      <c r="AH3628" s="2" t="str">
        <f ca="1"/>
        <v>OK</v>
      </c>
    </row>
    <row r="3629" spans="2:34">
      <c r="B3629" s="2">
        <f ca="1"/>
        <v>0.73437386530077942</v>
      </c>
      <c r="O3629" s="2">
        <f ca="1"/>
        <v>-1.6860767667456766</v>
      </c>
      <c r="X3629" s="2">
        <f ca="1"/>
        <v>27.396414250090491</v>
      </c>
      <c r="AG3629" s="2">
        <f ca="1"/>
        <v>0.81365836129362967</v>
      </c>
      <c r="AH3629" s="2" t="str">
        <f ca="1"/>
        <v>Bad</v>
      </c>
    </row>
    <row r="3630" spans="2:34">
      <c r="B3630" s="2">
        <f ca="1"/>
        <v>0.72892725236125555</v>
      </c>
      <c r="O3630" s="2">
        <f ca="1"/>
        <v>-1.7557493614912332</v>
      </c>
      <c r="X3630" s="2">
        <f ca="1"/>
        <v>50.162353703680431</v>
      </c>
      <c r="AG3630" s="2">
        <f ca="1"/>
        <v>6.3895977826189387E-2</v>
      </c>
      <c r="AH3630" s="2" t="str">
        <f ca="1"/>
        <v>OK</v>
      </c>
    </row>
    <row r="3631" spans="2:34">
      <c r="B3631" s="2">
        <f ca="1"/>
        <v>0.594778239759989</v>
      </c>
      <c r="O3631" s="2">
        <f ca="1"/>
        <v>5.7926084222059152E-2</v>
      </c>
      <c r="X3631" s="2">
        <f ca="1"/>
        <v>58.983211084224251</v>
      </c>
      <c r="AG3631" s="2">
        <f ca="1"/>
        <v>0.53976168243064793</v>
      </c>
      <c r="AH3631" s="2" t="str">
        <f ca="1"/>
        <v>Bad</v>
      </c>
    </row>
    <row r="3632" spans="2:34">
      <c r="B3632" s="2">
        <f ca="1"/>
        <v>0.13310930432400747</v>
      </c>
      <c r="O3632" s="2">
        <f ca="1"/>
        <v>2.0329437720491104</v>
      </c>
      <c r="X3632" s="2">
        <f ca="1"/>
        <v>67.420611875503639</v>
      </c>
      <c r="AG3632" s="2">
        <f ca="1"/>
        <v>0.14008872100120606</v>
      </c>
      <c r="AH3632" s="2" t="str">
        <f ca="1"/>
        <v>OK</v>
      </c>
    </row>
    <row r="3633" spans="2:34">
      <c r="B3633" s="2">
        <f ca="1"/>
        <v>0.13293509057286057</v>
      </c>
      <c r="O3633" s="2">
        <f ca="1"/>
        <v>-0.66452876128026361</v>
      </c>
      <c r="X3633" s="2">
        <f ca="1"/>
        <v>52.560910537371186</v>
      </c>
      <c r="AG3633" s="2">
        <f ca="1"/>
        <v>0.34646343896246967</v>
      </c>
      <c r="AH3633" s="2" t="str">
        <f ca="1"/>
        <v>OK</v>
      </c>
    </row>
    <row r="3634" spans="2:34">
      <c r="B3634" s="2">
        <f ca="1"/>
        <v>0.50876622322196319</v>
      </c>
      <c r="O3634" s="2">
        <f ca="1"/>
        <v>0.25443211221899575</v>
      </c>
      <c r="X3634" s="2">
        <f ca="1"/>
        <v>59.879498541825797</v>
      </c>
      <c r="AG3634" s="2">
        <f ca="1"/>
        <v>0.44460642988117338</v>
      </c>
      <c r="AH3634" s="2" t="str">
        <f ca="1"/>
        <v>Bad</v>
      </c>
    </row>
    <row r="3635" spans="2:34">
      <c r="B3635" s="2">
        <f ca="1"/>
        <v>0.50336629859667492</v>
      </c>
      <c r="O3635" s="2">
        <f ca="1"/>
        <v>1.1795315715119539</v>
      </c>
      <c r="X3635" s="2">
        <f ca="1"/>
        <v>54.857662047819893</v>
      </c>
      <c r="AG3635" s="2">
        <f ca="1"/>
        <v>0.69624689408513074</v>
      </c>
      <c r="AH3635" s="2" t="str">
        <f ca="1"/>
        <v>Bad</v>
      </c>
    </row>
    <row r="3636" spans="2:34">
      <c r="B3636" s="2">
        <f ca="1"/>
        <v>6.5948799318832796E-2</v>
      </c>
      <c r="O3636" s="2">
        <f ca="1"/>
        <v>-9.5058144093308608E-2</v>
      </c>
      <c r="X3636" s="2">
        <f ca="1"/>
        <v>46.538418503267351</v>
      </c>
      <c r="AG3636" s="2">
        <f ca="1"/>
        <v>0.39727557677103986</v>
      </c>
      <c r="AH3636" s="2" t="str">
        <f ca="1"/>
        <v>OK</v>
      </c>
    </row>
    <row r="3637" spans="2:34">
      <c r="B3637" s="2">
        <f ca="1"/>
        <v>0.18856708009623735</v>
      </c>
      <c r="O3637" s="2">
        <f ca="1"/>
        <v>-6.0880102450641412E-2</v>
      </c>
      <c r="X3637" s="2">
        <f ca="1"/>
        <v>55.041003611976514</v>
      </c>
      <c r="AG3637" s="2">
        <f ca="1"/>
        <v>0.57281121204040275</v>
      </c>
      <c r="AH3637" s="2" t="str">
        <f ca="1"/>
        <v>Bad</v>
      </c>
    </row>
    <row r="3638" spans="2:34">
      <c r="B3638" s="2">
        <f ca="1"/>
        <v>0.90858446261399117</v>
      </c>
      <c r="O3638" s="2">
        <f ca="1"/>
        <v>-0.50321921338101028</v>
      </c>
      <c r="X3638" s="2">
        <f ca="1"/>
        <v>44.552485212227126</v>
      </c>
      <c r="AG3638" s="2">
        <f ca="1"/>
        <v>0.36723781476096118</v>
      </c>
      <c r="AH3638" s="2" t="str">
        <f ca="1"/>
        <v>OK</v>
      </c>
    </row>
    <row r="3639" spans="2:34">
      <c r="B3639" s="2">
        <f ca="1"/>
        <v>1.988435776180264E-2</v>
      </c>
      <c r="O3639" s="2">
        <f ca="1"/>
        <v>0.8888090405392286</v>
      </c>
      <c r="X3639" s="2">
        <f ca="1"/>
        <v>63.214351753156933</v>
      </c>
      <c r="AG3639" s="2">
        <f ca="1"/>
        <v>0.12854173955098447</v>
      </c>
      <c r="AH3639" s="2" t="str">
        <f ca="1"/>
        <v>OK</v>
      </c>
    </row>
    <row r="3640" spans="2:34">
      <c r="B3640" s="2">
        <f ca="1"/>
        <v>0.18243605588773892</v>
      </c>
      <c r="O3640" s="2">
        <f ca="1"/>
        <v>0.76292598589652716</v>
      </c>
      <c r="X3640" s="2">
        <f ca="1"/>
        <v>43.33121943445461</v>
      </c>
      <c r="AG3640" s="2">
        <f ca="1"/>
        <v>0.89796365153407387</v>
      </c>
      <c r="AH3640" s="2" t="str">
        <f ca="1"/>
        <v>Bad</v>
      </c>
    </row>
    <row r="3641" spans="2:34">
      <c r="B3641" s="2">
        <f ca="1"/>
        <v>0.67846692338380343</v>
      </c>
      <c r="O3641" s="2">
        <f ca="1"/>
        <v>0.67814324428659667</v>
      </c>
      <c r="X3641" s="2">
        <f ca="1"/>
        <v>79.213266416723314</v>
      </c>
      <c r="AG3641" s="2">
        <f ca="1"/>
        <v>0.90022789013906546</v>
      </c>
      <c r="AH3641" s="2" t="str">
        <f ca="1"/>
        <v>Bad</v>
      </c>
    </row>
    <row r="3642" spans="2:34">
      <c r="B3642" s="2">
        <f ca="1"/>
        <v>0.29572232132621878</v>
      </c>
      <c r="O3642" s="2">
        <f ca="1"/>
        <v>1.3480964102534041</v>
      </c>
      <c r="X3642" s="2">
        <f ca="1"/>
        <v>69.122720950068114</v>
      </c>
      <c r="AG3642" s="2">
        <f ca="1"/>
        <v>0.52779860654380273</v>
      </c>
      <c r="AH3642" s="2" t="str">
        <f ca="1"/>
        <v>Bad</v>
      </c>
    </row>
    <row r="3643" spans="2:34">
      <c r="B3643" s="2">
        <f ca="1"/>
        <v>0.16422518233221162</v>
      </c>
      <c r="O3643" s="2">
        <f ca="1"/>
        <v>-0.61986468806763706</v>
      </c>
      <c r="X3643" s="2">
        <f ca="1"/>
        <v>53.021505983058034</v>
      </c>
      <c r="AG3643" s="2">
        <f ca="1"/>
        <v>0.71761912515124382</v>
      </c>
      <c r="AH3643" s="2" t="str">
        <f ca="1"/>
        <v>Bad</v>
      </c>
    </row>
    <row r="3644" spans="2:34">
      <c r="B3644" s="2">
        <f ca="1"/>
        <v>0.8176507643771902</v>
      </c>
      <c r="O3644" s="2">
        <f ca="1"/>
        <v>-0.59594246962892194</v>
      </c>
      <c r="X3644" s="2">
        <f ca="1"/>
        <v>28.196118218807491</v>
      </c>
      <c r="AG3644" s="2">
        <f ca="1"/>
        <v>0.60099471261017134</v>
      </c>
      <c r="AH3644" s="2" t="str">
        <f ca="1"/>
        <v>Bad</v>
      </c>
    </row>
    <row r="3645" spans="2:34">
      <c r="B3645" s="2">
        <f ca="1"/>
        <v>0.66628390549170002</v>
      </c>
      <c r="O3645" s="2">
        <f ca="1"/>
        <v>0.33740539366558198</v>
      </c>
      <c r="X3645" s="2">
        <f ca="1"/>
        <v>56.26986727166166</v>
      </c>
      <c r="AG3645" s="2">
        <f ca="1"/>
        <v>0.12974343685728118</v>
      </c>
      <c r="AH3645" s="2" t="str">
        <f ca="1"/>
        <v>OK</v>
      </c>
    </row>
    <row r="3646" spans="2:34">
      <c r="B3646" s="2">
        <f ca="1"/>
        <v>0.86599052468137439</v>
      </c>
      <c r="O3646" s="2">
        <f ca="1"/>
        <v>-0.68220478239861593</v>
      </c>
      <c r="X3646" s="2">
        <f ca="1"/>
        <v>51.044099790846921</v>
      </c>
      <c r="AG3646" s="2">
        <f ca="1"/>
        <v>0.96392629968228727</v>
      </c>
      <c r="AH3646" s="2" t="str">
        <f ca="1"/>
        <v>Bad</v>
      </c>
    </row>
    <row r="3647" spans="2:34">
      <c r="B3647" s="2">
        <f ca="1"/>
        <v>0.96090247570827803</v>
      </c>
      <c r="O3647" s="2">
        <f ca="1"/>
        <v>0.20911918090830159</v>
      </c>
      <c r="X3647" s="2">
        <f ca="1"/>
        <v>62.792251652051483</v>
      </c>
      <c r="AG3647" s="2">
        <f ca="1"/>
        <v>0.56235013370622533</v>
      </c>
      <c r="AH3647" s="2" t="str">
        <f ca="1"/>
        <v>Bad</v>
      </c>
    </row>
    <row r="3648" spans="2:34">
      <c r="B3648" s="2">
        <f ca="1"/>
        <v>0.72374267223027844</v>
      </c>
      <c r="O3648" s="2">
        <f ca="1"/>
        <v>0.55583735080947172</v>
      </c>
      <c r="X3648" s="2">
        <f ca="1"/>
        <v>56.881443270536792</v>
      </c>
      <c r="AG3648" s="2">
        <f ca="1"/>
        <v>0.33996153163074783</v>
      </c>
      <c r="AH3648" s="2" t="str">
        <f ca="1"/>
        <v>OK</v>
      </c>
    </row>
    <row r="3649" spans="2:34">
      <c r="B3649" s="2">
        <f ca="1"/>
        <v>0.33771803103727471</v>
      </c>
      <c r="O3649" s="2">
        <f ca="1"/>
        <v>-0.30844346137747813</v>
      </c>
      <c r="X3649" s="2">
        <f ca="1"/>
        <v>80.135899858156762</v>
      </c>
      <c r="AG3649" s="2">
        <f ca="1"/>
        <v>0.72641612558441415</v>
      </c>
      <c r="AH3649" s="2" t="str">
        <f ca="1"/>
        <v>Bad</v>
      </c>
    </row>
    <row r="3650" spans="2:34">
      <c r="B3650" s="2">
        <f ca="1"/>
        <v>0.19650460512842871</v>
      </c>
      <c r="O3650" s="2">
        <f ca="1"/>
        <v>0.39979432345440413</v>
      </c>
      <c r="X3650" s="2">
        <f ca="1"/>
        <v>39.488244554899971</v>
      </c>
      <c r="AG3650" s="2">
        <f ca="1"/>
        <v>0.43461524975608601</v>
      </c>
      <c r="AH3650" s="2" t="str">
        <f ca="1"/>
        <v>Bad</v>
      </c>
    </row>
    <row r="3651" spans="2:34">
      <c r="B3651" s="2">
        <f ca="1"/>
        <v>0.23059832583497153</v>
      </c>
      <c r="O3651" s="2">
        <f ca="1"/>
        <v>1.3952942771218513</v>
      </c>
      <c r="X3651" s="2">
        <f ca="1"/>
        <v>34.972278347336172</v>
      </c>
      <c r="AG3651" s="2">
        <f ca="1"/>
        <v>0.70396773293585535</v>
      </c>
      <c r="AH3651" s="2" t="str">
        <f ca="1"/>
        <v>Bad</v>
      </c>
    </row>
    <row r="3652" spans="2:34">
      <c r="B3652" s="2">
        <f ca="1"/>
        <v>0.35001003884782667</v>
      </c>
      <c r="O3652" s="2">
        <f ca="1"/>
        <v>-0.52845224772258981</v>
      </c>
      <c r="X3652" s="2">
        <f ca="1"/>
        <v>40.975051076351349</v>
      </c>
      <c r="AG3652" s="2">
        <f ca="1"/>
        <v>6.2803295867590148E-2</v>
      </c>
      <c r="AH3652" s="2" t="str">
        <f ca="1"/>
        <v>OK</v>
      </c>
    </row>
    <row r="3653" spans="2:34">
      <c r="B3653" s="2">
        <f ca="1"/>
        <v>0.68185405318749903</v>
      </c>
      <c r="O3653" s="2">
        <f ca="1"/>
        <v>0.16846040741730572</v>
      </c>
      <c r="X3653" s="2">
        <f ca="1"/>
        <v>28.201448872752959</v>
      </c>
      <c r="AG3653" s="2">
        <f ca="1"/>
        <v>0.76140237701460678</v>
      </c>
      <c r="AH3653" s="2" t="str">
        <f ca="1"/>
        <v>Bad</v>
      </c>
    </row>
    <row r="3654" spans="2:34">
      <c r="B3654" s="2">
        <f ca="1"/>
        <v>0.52734455483627496</v>
      </c>
      <c r="O3654" s="2">
        <f ca="1"/>
        <v>-1.1396989297637889</v>
      </c>
      <c r="X3654" s="2">
        <f ca="1"/>
        <v>56.441161141837966</v>
      </c>
      <c r="AG3654" s="2">
        <f ca="1"/>
        <v>8.3287700044399671E-2</v>
      </c>
      <c r="AH3654" s="2" t="str">
        <f ca="1"/>
        <v>OK</v>
      </c>
    </row>
    <row r="3655" spans="2:34">
      <c r="B3655" s="2">
        <f ca="1"/>
        <v>0.3498793474955002</v>
      </c>
      <c r="O3655" s="2">
        <f ca="1"/>
        <v>-0.4765792122459323</v>
      </c>
      <c r="X3655" s="2">
        <f ca="1"/>
        <v>46.66147045279515</v>
      </c>
      <c r="AG3655" s="2">
        <f ca="1"/>
        <v>0.64794799540779802</v>
      </c>
      <c r="AH3655" s="2" t="str">
        <f ca="1"/>
        <v>Bad</v>
      </c>
    </row>
    <row r="3656" spans="2:34">
      <c r="B3656" s="2">
        <f ca="1"/>
        <v>0.9012823726332968</v>
      </c>
      <c r="O3656" s="2">
        <f ca="1"/>
        <v>-1.2336883623756165</v>
      </c>
      <c r="X3656" s="2">
        <f ca="1"/>
        <v>60.975057462718603</v>
      </c>
      <c r="AG3656" s="2">
        <f ca="1"/>
        <v>0.42609937311016921</v>
      </c>
      <c r="AH3656" s="2" t="str">
        <f ca="1"/>
        <v>Bad</v>
      </c>
    </row>
    <row r="3657" spans="2:34">
      <c r="B3657" s="2">
        <f ca="1"/>
        <v>0.57379965417463086</v>
      </c>
      <c r="O3657" s="2">
        <f ca="1"/>
        <v>1.063782898407116</v>
      </c>
      <c r="X3657" s="2">
        <f ca="1"/>
        <v>69.943489364795695</v>
      </c>
      <c r="AG3657" s="2">
        <f ca="1"/>
        <v>0.34578723083593488</v>
      </c>
      <c r="AH3657" s="2" t="str">
        <f ca="1"/>
        <v>OK</v>
      </c>
    </row>
    <row r="3658" spans="2:34">
      <c r="B3658" s="2">
        <f ca="1"/>
        <v>0.45125023603435666</v>
      </c>
      <c r="O3658" s="2">
        <f ca="1"/>
        <v>-2.5659502765907108E-3</v>
      </c>
      <c r="X3658" s="2">
        <f ca="1"/>
        <v>53.658652323705795</v>
      </c>
      <c r="AG3658" s="2">
        <f ca="1"/>
        <v>4.5676671678782865E-2</v>
      </c>
      <c r="AH3658" s="2" t="str">
        <f ca="1"/>
        <v>Good</v>
      </c>
    </row>
    <row r="3659" spans="2:34">
      <c r="B3659" s="2">
        <f ca="1"/>
        <v>0.17888092299124114</v>
      </c>
      <c r="O3659" s="2">
        <f ca="1"/>
        <v>-0.150108646145867</v>
      </c>
      <c r="X3659" s="2">
        <f ca="1"/>
        <v>40.68404572181656</v>
      </c>
      <c r="AG3659" s="2">
        <f ca="1"/>
        <v>0.68230147867498481</v>
      </c>
      <c r="AH3659" s="2" t="str">
        <f ca="1"/>
        <v>Bad</v>
      </c>
    </row>
    <row r="3660" spans="2:34">
      <c r="B3660" s="2">
        <f ca="1"/>
        <v>0.49951007302156181</v>
      </c>
      <c r="O3660" s="2">
        <f ca="1"/>
        <v>-0.53861302787474119</v>
      </c>
      <c r="X3660" s="2">
        <f ca="1"/>
        <v>37.677598799461911</v>
      </c>
      <c r="AG3660" s="2">
        <f ca="1"/>
        <v>0.4865202586410613</v>
      </c>
      <c r="AH3660" s="2" t="str">
        <f ca="1"/>
        <v>Bad</v>
      </c>
    </row>
    <row r="3661" spans="2:34">
      <c r="B3661" s="2">
        <f ca="1"/>
        <v>0.78428464700442713</v>
      </c>
      <c r="O3661" s="2">
        <f ca="1"/>
        <v>-1.0581367900141154</v>
      </c>
      <c r="X3661" s="2">
        <f ca="1"/>
        <v>31.097833917454683</v>
      </c>
      <c r="AG3661" s="2">
        <f ca="1"/>
        <v>0.18082462649099185</v>
      </c>
      <c r="AH3661" s="2" t="str">
        <f ca="1"/>
        <v>OK</v>
      </c>
    </row>
    <row r="3662" spans="2:34">
      <c r="B3662" s="2">
        <f ca="1"/>
        <v>0.50798518063531151</v>
      </c>
      <c r="O3662" s="2">
        <f ca="1"/>
        <v>-0.87961566055579599</v>
      </c>
      <c r="X3662" s="2">
        <f ca="1"/>
        <v>35.412189489935599</v>
      </c>
      <c r="AG3662" s="2">
        <f ca="1"/>
        <v>0.41586796830059503</v>
      </c>
      <c r="AH3662" s="2" t="str">
        <f ca="1"/>
        <v>Bad</v>
      </c>
    </row>
    <row r="3663" spans="2:34">
      <c r="B3663" s="2">
        <f ca="1"/>
        <v>0.81221946846003101</v>
      </c>
      <c r="O3663" s="2">
        <f ca="1"/>
        <v>-1.9099419488661551</v>
      </c>
      <c r="X3663" s="2">
        <f ca="1"/>
        <v>87.748924955370583</v>
      </c>
      <c r="AG3663" s="2">
        <f ca="1"/>
        <v>0.93796910452232574</v>
      </c>
      <c r="AH3663" s="2" t="str">
        <f ca="1"/>
        <v>Bad</v>
      </c>
    </row>
    <row r="3664" spans="2:34">
      <c r="B3664" s="2">
        <f ca="1"/>
        <v>0.35426392243532256</v>
      </c>
      <c r="O3664" s="2">
        <f ca="1"/>
        <v>1.0618347125167347</v>
      </c>
      <c r="X3664" s="2">
        <f ca="1"/>
        <v>70.336354010890133</v>
      </c>
      <c r="AG3664" s="2">
        <f ca="1"/>
        <v>0.90863194647057033</v>
      </c>
      <c r="AH3664" s="2" t="str">
        <f ca="1"/>
        <v>Bad</v>
      </c>
    </row>
    <row r="3665" spans="2:34">
      <c r="B3665" s="2">
        <f ca="1"/>
        <v>0.84415702156619066</v>
      </c>
      <c r="O3665" s="2">
        <f ca="1"/>
        <v>2.1394675126549725</v>
      </c>
      <c r="X3665" s="2">
        <f ca="1"/>
        <v>35.894683144107148</v>
      </c>
      <c r="AG3665" s="2">
        <f ca="1"/>
        <v>0.50651003491389868</v>
      </c>
      <c r="AH3665" s="2" t="str">
        <f ca="1"/>
        <v>Bad</v>
      </c>
    </row>
    <row r="3666" spans="2:34">
      <c r="B3666" s="2">
        <f ca="1"/>
        <v>5.3116085039853767E-2</v>
      </c>
      <c r="O3666" s="2">
        <f ca="1"/>
        <v>-0.55900616232810052</v>
      </c>
      <c r="X3666" s="2">
        <f ca="1"/>
        <v>72.264995780822716</v>
      </c>
      <c r="AG3666" s="2">
        <f ca="1"/>
        <v>1.6316113444681868E-2</v>
      </c>
      <c r="AH3666" s="2" t="str">
        <f ca="1"/>
        <v>Good</v>
      </c>
    </row>
    <row r="3667" spans="2:34">
      <c r="B3667" s="2">
        <f ca="1"/>
        <v>0.48858828208364935</v>
      </c>
      <c r="O3667" s="2">
        <f ca="1"/>
        <v>-0.99412355097413385</v>
      </c>
      <c r="X3667" s="2">
        <f ca="1"/>
        <v>48.235493383130049</v>
      </c>
      <c r="AG3667" s="2">
        <f ca="1"/>
        <v>0.43073685959586827</v>
      </c>
      <c r="AH3667" s="2" t="str">
        <f ca="1"/>
        <v>Bad</v>
      </c>
    </row>
    <row r="3668" spans="2:34">
      <c r="B3668" s="2">
        <f ca="1"/>
        <v>9.8923444960426599E-2</v>
      </c>
      <c r="O3668" s="2">
        <f ca="1"/>
        <v>-1.3593066528378277</v>
      </c>
      <c r="X3668" s="2">
        <f ca="1"/>
        <v>44.958813337517583</v>
      </c>
      <c r="AG3668" s="2">
        <f ca="1"/>
        <v>0.68496834152037112</v>
      </c>
      <c r="AH3668" s="2" t="str">
        <f ca="1"/>
        <v>Bad</v>
      </c>
    </row>
    <row r="3669" spans="2:34">
      <c r="B3669" s="2">
        <f ca="1"/>
        <v>0.12322245906034723</v>
      </c>
      <c r="O3669" s="2">
        <f ca="1"/>
        <v>1.8524865375073707</v>
      </c>
      <c r="X3669" s="2">
        <f ca="1"/>
        <v>77.358327514793757</v>
      </c>
      <c r="AG3669" s="2">
        <f ca="1"/>
        <v>0.33722618117250613</v>
      </c>
      <c r="AH3669" s="2" t="str">
        <f ca="1"/>
        <v>OK</v>
      </c>
    </row>
    <row r="3670" spans="2:34">
      <c r="B3670" s="2">
        <f ca="1"/>
        <v>0.87755802382857362</v>
      </c>
      <c r="O3670" s="2">
        <f ca="1"/>
        <v>-0.61723936620894548</v>
      </c>
      <c r="X3670" s="2">
        <f ca="1"/>
        <v>67.407864195981233</v>
      </c>
      <c r="AG3670" s="2">
        <f ca="1"/>
        <v>0.66910580667451702</v>
      </c>
      <c r="AH3670" s="2" t="str">
        <f ca="1"/>
        <v>Bad</v>
      </c>
    </row>
    <row r="3671" spans="2:34">
      <c r="B3671" s="2">
        <f ca="1"/>
        <v>0.18045063752093915</v>
      </c>
      <c r="O3671" s="2">
        <f ca="1"/>
        <v>-0.7253225829248553</v>
      </c>
      <c r="X3671" s="2">
        <f ca="1"/>
        <v>49.75021710657029</v>
      </c>
      <c r="AG3671" s="2">
        <f ca="1"/>
        <v>0.73506548465209143</v>
      </c>
      <c r="AH3671" s="2" t="str">
        <f ca="1"/>
        <v>Bad</v>
      </c>
    </row>
    <row r="3672" spans="2:34">
      <c r="B3672" s="2">
        <f ca="1"/>
        <v>0.19800615041239933</v>
      </c>
      <c r="O3672" s="2">
        <f ca="1"/>
        <v>1.1946447463003274</v>
      </c>
      <c r="X3672" s="2">
        <f ca="1"/>
        <v>24.536962816977919</v>
      </c>
      <c r="AG3672" s="2">
        <f ca="1"/>
        <v>0.18009824150899489</v>
      </c>
      <c r="AH3672" s="2" t="str">
        <f ca="1"/>
        <v>OK</v>
      </c>
    </row>
    <row r="3673" spans="2:34">
      <c r="B3673" s="2">
        <f ca="1"/>
        <v>0.97782607899906204</v>
      </c>
      <c r="O3673" s="2">
        <f ca="1"/>
        <v>0.68091060529511849</v>
      </c>
      <c r="X3673" s="2">
        <f ca="1"/>
        <v>29.391599757743151</v>
      </c>
      <c r="AG3673" s="2">
        <f ca="1"/>
        <v>0.6301786157389544</v>
      </c>
      <c r="AH3673" s="2" t="str">
        <f ca="1"/>
        <v>Bad</v>
      </c>
    </row>
    <row r="3674" spans="2:34">
      <c r="B3674" s="2">
        <f ca="1"/>
        <v>9.1588141975687654E-2</v>
      </c>
      <c r="O3674" s="2">
        <f ca="1"/>
        <v>1.5264988781932303</v>
      </c>
      <c r="X3674" s="2">
        <f ca="1"/>
        <v>62.93258100564416</v>
      </c>
      <c r="AG3674" s="2">
        <f ca="1"/>
        <v>0.40216006446959529</v>
      </c>
      <c r="AH3674" s="2" t="str">
        <f ca="1"/>
        <v>Bad</v>
      </c>
    </row>
    <row r="3675" spans="2:34">
      <c r="B3675" s="2">
        <f ca="1"/>
        <v>4.5297366256556781E-2</v>
      </c>
      <c r="O3675" s="2">
        <f ca="1"/>
        <v>-1.1415503554632533</v>
      </c>
      <c r="X3675" s="2">
        <f ca="1"/>
        <v>31.67371379833083</v>
      </c>
      <c r="AG3675" s="2">
        <f ca="1"/>
        <v>0.8318640062415914</v>
      </c>
      <c r="AH3675" s="2" t="str">
        <f ca="1"/>
        <v>Bad</v>
      </c>
    </row>
    <row r="3676" spans="2:34">
      <c r="B3676" s="2">
        <f ca="1"/>
        <v>0.77019287900931266</v>
      </c>
      <c r="O3676" s="2">
        <f ca="1"/>
        <v>1.1936988545074974</v>
      </c>
      <c r="X3676" s="2">
        <f ca="1"/>
        <v>72.316880076705161</v>
      </c>
      <c r="AG3676" s="2">
        <f ca="1"/>
        <v>0.82514596752740732</v>
      </c>
      <c r="AH3676" s="2" t="str">
        <f ca="1"/>
        <v>Bad</v>
      </c>
    </row>
    <row r="3677" spans="2:34">
      <c r="B3677" s="2">
        <f ca="1"/>
        <v>0.6618685752755129</v>
      </c>
      <c r="O3677" s="2">
        <f ca="1"/>
        <v>-0.55435605569124335</v>
      </c>
      <c r="X3677" s="2">
        <f ca="1"/>
        <v>39.042095351946912</v>
      </c>
      <c r="AG3677" s="2">
        <f ca="1"/>
        <v>0.23932251469331423</v>
      </c>
      <c r="AH3677" s="2" t="str">
        <f ca="1"/>
        <v>OK</v>
      </c>
    </row>
    <row r="3678" spans="2:34">
      <c r="B3678" s="2">
        <f ca="1"/>
        <v>0.49095198317333866</v>
      </c>
      <c r="O3678" s="2">
        <f ca="1"/>
        <v>0.82175112988654164</v>
      </c>
      <c r="X3678" s="2">
        <f ca="1"/>
        <v>41.39247470484154</v>
      </c>
      <c r="AG3678" s="2">
        <f ca="1"/>
        <v>0.17681394515491955</v>
      </c>
      <c r="AH3678" s="2" t="str">
        <f ca="1"/>
        <v>OK</v>
      </c>
    </row>
    <row r="3679" spans="2:34">
      <c r="B3679" s="2">
        <f ca="1"/>
        <v>0.95091457098205789</v>
      </c>
      <c r="O3679" s="2">
        <f ca="1"/>
        <v>0.4711387019509089</v>
      </c>
      <c r="X3679" s="2">
        <f ca="1"/>
        <v>35.098197789628948</v>
      </c>
      <c r="AG3679" s="2">
        <f ca="1"/>
        <v>0.1724117950183861</v>
      </c>
      <c r="AH3679" s="2" t="str">
        <f ca="1"/>
        <v>OK</v>
      </c>
    </row>
    <row r="3680" spans="2:34">
      <c r="B3680" s="2">
        <f ca="1"/>
        <v>0.77152718708188983</v>
      </c>
      <c r="O3680" s="2">
        <f ca="1"/>
        <v>0.95989780019947013</v>
      </c>
      <c r="X3680" s="2">
        <f ca="1"/>
        <v>48.231069122926257</v>
      </c>
      <c r="AG3680" s="2">
        <f ca="1"/>
        <v>0.45403795102499478</v>
      </c>
      <c r="AH3680" s="2" t="str">
        <f ca="1"/>
        <v>Bad</v>
      </c>
    </row>
    <row r="3681" spans="2:34">
      <c r="B3681" s="2">
        <f ca="1"/>
        <v>0.18301827742343524</v>
      </c>
      <c r="O3681" s="2">
        <f ca="1"/>
        <v>-0.48694420540422856</v>
      </c>
      <c r="X3681" s="2">
        <f ca="1"/>
        <v>46.23698565596645</v>
      </c>
      <c r="AG3681" s="2">
        <f ca="1"/>
        <v>0.63975063271343879</v>
      </c>
      <c r="AH3681" s="2" t="str">
        <f ca="1"/>
        <v>Bad</v>
      </c>
    </row>
    <row r="3682" spans="2:34">
      <c r="B3682" s="2">
        <f ca="1"/>
        <v>0.4223714809592598</v>
      </c>
      <c r="O3682" s="2">
        <f ca="1"/>
        <v>0.95152032217087512</v>
      </c>
      <c r="X3682" s="2">
        <f ca="1"/>
        <v>58.872139488788882</v>
      </c>
      <c r="AG3682" s="2">
        <f ca="1"/>
        <v>5.5569089463024302E-2</v>
      </c>
      <c r="AH3682" s="2" t="str">
        <f ca="1"/>
        <v>OK</v>
      </c>
    </row>
    <row r="3683" spans="2:34">
      <c r="B3683" s="2">
        <f ca="1"/>
        <v>0.43902969618090371</v>
      </c>
      <c r="O3683" s="2">
        <f ca="1"/>
        <v>-0.26662640088293532</v>
      </c>
      <c r="X3683" s="2">
        <f ca="1"/>
        <v>51.303205351765236</v>
      </c>
      <c r="AG3683" s="2">
        <f ca="1"/>
        <v>0.18087411609210591</v>
      </c>
      <c r="AH3683" s="2" t="str">
        <f ca="1"/>
        <v>OK</v>
      </c>
    </row>
    <row r="3684" spans="2:34">
      <c r="B3684" s="2">
        <f ca="1"/>
        <v>0.41113439544062502</v>
      </c>
      <c r="O3684" s="2">
        <f ca="1"/>
        <v>0.37972664108757614</v>
      </c>
      <c r="X3684" s="2">
        <f ca="1"/>
        <v>28.846219799803929</v>
      </c>
      <c r="AG3684" s="2">
        <f ca="1"/>
        <v>0.89587350396990573</v>
      </c>
      <c r="AH3684" s="2" t="str">
        <f ca="1"/>
        <v>Bad</v>
      </c>
    </row>
    <row r="3685" spans="2:34">
      <c r="B3685" s="2">
        <f ca="1"/>
        <v>0.52068168827558092</v>
      </c>
      <c r="O3685" s="2">
        <f ca="1"/>
        <v>1.9396944633152746</v>
      </c>
      <c r="X3685" s="2">
        <f ca="1"/>
        <v>19.689355271404128</v>
      </c>
      <c r="AG3685" s="2">
        <f ca="1"/>
        <v>0.90389898246657752</v>
      </c>
      <c r="AH3685" s="2" t="str">
        <f ca="1"/>
        <v>Bad</v>
      </c>
    </row>
    <row r="3686" spans="2:34">
      <c r="B3686" s="2">
        <f ca="1"/>
        <v>9.4324272844570123E-2</v>
      </c>
      <c r="O3686" s="2">
        <f ca="1"/>
        <v>-0.66299006436475116</v>
      </c>
      <c r="X3686" s="2">
        <f ca="1"/>
        <v>70.321942011177555</v>
      </c>
      <c r="AG3686" s="2">
        <f ca="1"/>
        <v>0.46930806426420268</v>
      </c>
      <c r="AH3686" s="2" t="str">
        <f ca="1"/>
        <v>Bad</v>
      </c>
    </row>
    <row r="3687" spans="2:34">
      <c r="B3687" s="2">
        <f ca="1"/>
        <v>0.94485290985624326</v>
      </c>
      <c r="O3687" s="2">
        <f ca="1"/>
        <v>1.8800220150724329</v>
      </c>
      <c r="X3687" s="2">
        <f ca="1"/>
        <v>64.128402781180142</v>
      </c>
      <c r="AG3687" s="2">
        <f ca="1"/>
        <v>0.81495905522676027</v>
      </c>
      <c r="AH3687" s="2" t="str">
        <f ca="1"/>
        <v>Bad</v>
      </c>
    </row>
    <row r="3688" spans="2:34">
      <c r="B3688" s="2">
        <f ca="1"/>
        <v>0.55810754422534825</v>
      </c>
      <c r="O3688" s="2">
        <f ca="1"/>
        <v>-4.9836058130315213E-2</v>
      </c>
      <c r="X3688" s="2">
        <f ca="1"/>
        <v>62.167146771635245</v>
      </c>
      <c r="AG3688" s="2">
        <f ca="1"/>
        <v>0.61803017124257908</v>
      </c>
      <c r="AH3688" s="2" t="str">
        <f ca="1"/>
        <v>Bad</v>
      </c>
    </row>
    <row r="3689" spans="2:34">
      <c r="B3689" s="2">
        <f ca="1"/>
        <v>0.67459024067145124</v>
      </c>
      <c r="O3689" s="2">
        <f ca="1"/>
        <v>0.47912346399155276</v>
      </c>
      <c r="X3689" s="2">
        <f ca="1"/>
        <v>46.820919001783039</v>
      </c>
      <c r="AG3689" s="2">
        <f ca="1"/>
        <v>0.86686786974615249</v>
      </c>
      <c r="AH3689" s="2" t="str">
        <f ca="1"/>
        <v>Bad</v>
      </c>
    </row>
    <row r="3690" spans="2:34">
      <c r="B3690" s="2">
        <f ca="1"/>
        <v>0.33992969843376541</v>
      </c>
      <c r="O3690" s="2">
        <f ca="1"/>
        <v>0.33718612618650856</v>
      </c>
      <c r="X3690" s="2">
        <f ca="1"/>
        <v>37.892239419029565</v>
      </c>
      <c r="AG3690" s="2">
        <f ca="1"/>
        <v>0.20889307821256931</v>
      </c>
      <c r="AH3690" s="2" t="str">
        <f ca="1"/>
        <v>OK</v>
      </c>
    </row>
    <row r="3691" spans="2:34">
      <c r="B3691" s="2">
        <f ca="1"/>
        <v>0.3314777011419614</v>
      </c>
      <c r="O3691" s="2">
        <f ca="1"/>
        <v>1.0086405672478893</v>
      </c>
      <c r="X3691" s="2">
        <f ca="1"/>
        <v>38.850109809989398</v>
      </c>
      <c r="AG3691" s="2">
        <f ca="1"/>
        <v>6.9595082149848109E-2</v>
      </c>
      <c r="AH3691" s="2" t="str">
        <f ca="1"/>
        <v>OK</v>
      </c>
    </row>
    <row r="3692" spans="2:34">
      <c r="B3692" s="2">
        <f ca="1"/>
        <v>0.29345186369446208</v>
      </c>
      <c r="O3692" s="2">
        <f ca="1"/>
        <v>-0.51466626980471664</v>
      </c>
      <c r="X3692" s="2">
        <f ca="1"/>
        <v>73.566879293868396</v>
      </c>
      <c r="AG3692" s="2">
        <f ca="1"/>
        <v>0.67287938118045254</v>
      </c>
      <c r="AH3692" s="2" t="str">
        <f ca="1"/>
        <v>Bad</v>
      </c>
    </row>
    <row r="3693" spans="2:34">
      <c r="B3693" s="2">
        <f ca="1"/>
        <v>6.3482642572836756E-2</v>
      </c>
      <c r="O3693" s="2">
        <f ca="1"/>
        <v>0.50169968416298305</v>
      </c>
      <c r="X3693" s="2">
        <f ca="1"/>
        <v>35.660212084453576</v>
      </c>
      <c r="AG3693" s="2">
        <f ca="1"/>
        <v>0.79059573681829387</v>
      </c>
      <c r="AH3693" s="2" t="str">
        <f ca="1"/>
        <v>Bad</v>
      </c>
    </row>
    <row r="3694" spans="2:34">
      <c r="B3694" s="2">
        <f ca="1"/>
        <v>0.4303976892291439</v>
      </c>
      <c r="O3694" s="2">
        <f ca="1"/>
        <v>1.6900846184206835</v>
      </c>
      <c r="X3694" s="2">
        <f ca="1"/>
        <v>42.180353028636468</v>
      </c>
      <c r="AG3694" s="2">
        <f ca="1"/>
        <v>0.34454545669766201</v>
      </c>
      <c r="AH3694" s="2" t="str">
        <f ca="1"/>
        <v>OK</v>
      </c>
    </row>
    <row r="3695" spans="2:34">
      <c r="B3695" s="2">
        <f ca="1"/>
        <v>0.40515244003790718</v>
      </c>
      <c r="O3695" s="2">
        <f ca="1"/>
        <v>0.40951479587804857</v>
      </c>
      <c r="X3695" s="2">
        <f ca="1"/>
        <v>37.025552245884889</v>
      </c>
      <c r="AG3695" s="2">
        <f ca="1"/>
        <v>0.2996869120305683</v>
      </c>
      <c r="AH3695" s="2" t="str">
        <f ca="1"/>
        <v>OK</v>
      </c>
    </row>
    <row r="3696" spans="2:34">
      <c r="B3696" s="2">
        <f ca="1"/>
        <v>0.34318798235112813</v>
      </c>
      <c r="O3696" s="2">
        <f ca="1"/>
        <v>-1.2057897767263013</v>
      </c>
      <c r="X3696" s="2">
        <f ca="1"/>
        <v>73.956771251749686</v>
      </c>
      <c r="AG3696" s="2">
        <f ca="1"/>
        <v>0.16643919787904604</v>
      </c>
      <c r="AH3696" s="2" t="str">
        <f ca="1"/>
        <v>OK</v>
      </c>
    </row>
    <row r="3697" spans="2:34">
      <c r="B3697" s="2">
        <f ca="1"/>
        <v>0.8675412396236164</v>
      </c>
      <c r="O3697" s="2">
        <f ca="1"/>
        <v>0.79802820749745018</v>
      </c>
      <c r="X3697" s="2">
        <f ca="1"/>
        <v>41.904164592745801</v>
      </c>
      <c r="AG3697" s="2">
        <f ca="1"/>
        <v>0.65206147394456115</v>
      </c>
      <c r="AH3697" s="2" t="str">
        <f ca="1"/>
        <v>Bad</v>
      </c>
    </row>
    <row r="3698" spans="2:34">
      <c r="B3698" s="2">
        <f ca="1"/>
        <v>7.8448104067871505E-2</v>
      </c>
      <c r="O3698" s="2">
        <f ca="1"/>
        <v>0.72192469368478995</v>
      </c>
      <c r="X3698" s="2">
        <f ca="1"/>
        <v>73.149554844347875</v>
      </c>
      <c r="AG3698" s="2">
        <f ca="1"/>
        <v>4.8591319562028445E-2</v>
      </c>
      <c r="AH3698" s="2" t="str">
        <f ca="1"/>
        <v>Good</v>
      </c>
    </row>
    <row r="3699" spans="2:34">
      <c r="B3699" s="2">
        <f ca="1"/>
        <v>0.50141596734868443</v>
      </c>
      <c r="O3699" s="2">
        <f ca="1"/>
        <v>0.71301095346908383</v>
      </c>
      <c r="X3699" s="2">
        <f ca="1"/>
        <v>24.125121052287493</v>
      </c>
      <c r="AG3699" s="2">
        <f ca="1"/>
        <v>0.54917771784019642</v>
      </c>
      <c r="AH3699" s="2" t="str">
        <f ca="1"/>
        <v>Bad</v>
      </c>
    </row>
    <row r="3700" spans="2:34">
      <c r="B3700" s="2">
        <f ca="1"/>
        <v>0.3556741774698835</v>
      </c>
      <c r="O3700" s="2">
        <f ca="1"/>
        <v>-0.51285951510781846</v>
      </c>
      <c r="X3700" s="2">
        <f ca="1"/>
        <v>71.635121818656756</v>
      </c>
      <c r="AG3700" s="2">
        <f ca="1"/>
        <v>0.24497682788050601</v>
      </c>
      <c r="AH3700" s="2" t="str">
        <f ca="1"/>
        <v>OK</v>
      </c>
    </row>
    <row r="3701" spans="2:34">
      <c r="B3701" s="2">
        <f ca="1"/>
        <v>0.62261823314760734</v>
      </c>
      <c r="O3701" s="2">
        <f ca="1"/>
        <v>-0.93857649087854655</v>
      </c>
      <c r="X3701" s="2">
        <f ca="1"/>
        <v>42.959256138122335</v>
      </c>
      <c r="AG3701" s="2">
        <f ca="1"/>
        <v>0.84515889146006518</v>
      </c>
      <c r="AH3701" s="2" t="str">
        <f ca="1"/>
        <v>Bad</v>
      </c>
    </row>
    <row r="3702" spans="2:34">
      <c r="B3702" s="2">
        <f ca="1"/>
        <v>0.88572533504059292</v>
      </c>
      <c r="O3702" s="2">
        <f ca="1"/>
        <v>-1.2806178786481117</v>
      </c>
      <c r="X3702" s="2">
        <f ca="1"/>
        <v>39.400774008260541</v>
      </c>
      <c r="AG3702" s="2">
        <f ca="1"/>
        <v>0.77001365998017102</v>
      </c>
      <c r="AH3702" s="2" t="str">
        <f ca="1"/>
        <v>Bad</v>
      </c>
    </row>
    <row r="3703" spans="2:34">
      <c r="B3703" s="2">
        <f ca="1"/>
        <v>0.11601089419797939</v>
      </c>
      <c r="O3703" s="2">
        <f ca="1"/>
        <v>0.91650667238729833</v>
      </c>
      <c r="X3703" s="2">
        <f ca="1"/>
        <v>36.806054595229931</v>
      </c>
      <c r="AG3703" s="2">
        <f ca="1"/>
        <v>0.16523775336317437</v>
      </c>
      <c r="AH3703" s="2" t="str">
        <f ca="1"/>
        <v>OK</v>
      </c>
    </row>
    <row r="3704" spans="2:34">
      <c r="B3704" s="2">
        <f ca="1"/>
        <v>0.25681521204486613</v>
      </c>
      <c r="O3704" s="2">
        <f ca="1"/>
        <v>0.53452503335066481</v>
      </c>
      <c r="X3704" s="2">
        <f ca="1"/>
        <v>85.68028111115774</v>
      </c>
      <c r="AG3704" s="2">
        <f ca="1"/>
        <v>0.77856091099485636</v>
      </c>
      <c r="AH3704" s="2" t="str">
        <f ca="1"/>
        <v>Bad</v>
      </c>
    </row>
    <row r="3705" spans="2:34">
      <c r="B3705" s="2">
        <f ca="1"/>
        <v>0.91008322802632802</v>
      </c>
      <c r="O3705" s="2">
        <f ca="1"/>
        <v>0.66145717385419733</v>
      </c>
      <c r="X3705" s="2">
        <f ca="1"/>
        <v>33.271627372449998</v>
      </c>
      <c r="AG3705" s="2">
        <f ca="1"/>
        <v>0.43479411593939732</v>
      </c>
      <c r="AH3705" s="2" t="str">
        <f ca="1"/>
        <v>Bad</v>
      </c>
    </row>
    <row r="3706" spans="2:34">
      <c r="B3706" s="2">
        <f ca="1"/>
        <v>0.25773177346334797</v>
      </c>
      <c r="O3706" s="2">
        <f ca="1"/>
        <v>0.21367607173152905</v>
      </c>
      <c r="X3706" s="2">
        <f ca="1"/>
        <v>30.167056156777598</v>
      </c>
      <c r="AG3706" s="2">
        <f ca="1"/>
        <v>0.30675073770328898</v>
      </c>
      <c r="AH3706" s="2" t="str">
        <f ca="1"/>
        <v>OK</v>
      </c>
    </row>
    <row r="3707" spans="2:34">
      <c r="B3707" s="2">
        <f ca="1"/>
        <v>5.6046465044958582E-2</v>
      </c>
      <c r="O3707" s="2">
        <f ca="1"/>
        <v>1.3211083285834124</v>
      </c>
      <c r="X3707" s="2">
        <f ca="1"/>
        <v>32.971820477736912</v>
      </c>
      <c r="AG3707" s="2">
        <f ca="1"/>
        <v>0.10284160951569654</v>
      </c>
      <c r="AH3707" s="2" t="str">
        <f ca="1"/>
        <v>OK</v>
      </c>
    </row>
    <row r="3708" spans="2:34">
      <c r="B3708" s="2">
        <f ca="1"/>
        <v>0.19062358937077151</v>
      </c>
      <c r="O3708" s="2">
        <f ca="1"/>
        <v>0.70191573446327016</v>
      </c>
      <c r="X3708" s="2">
        <f ca="1"/>
        <v>33.147434565899317</v>
      </c>
      <c r="AG3708" s="2">
        <f ca="1"/>
        <v>0.12930714382378472</v>
      </c>
      <c r="AH3708" s="2" t="str">
        <f ca="1"/>
        <v>OK</v>
      </c>
    </row>
    <row r="3709" spans="2:34">
      <c r="B3709" s="2">
        <f ca="1"/>
        <v>0.85979449704272515</v>
      </c>
      <c r="O3709" s="2">
        <f ca="1"/>
        <v>-0.88232197854550332</v>
      </c>
      <c r="X3709" s="2">
        <f ca="1"/>
        <v>67.040127749624816</v>
      </c>
      <c r="AG3709" s="2">
        <f ca="1"/>
        <v>0.73703438208809446</v>
      </c>
      <c r="AH3709" s="2" t="str">
        <f ca="1"/>
        <v>Bad</v>
      </c>
    </row>
    <row r="3710" spans="2:34">
      <c r="B3710" s="2">
        <f ca="1"/>
        <v>0.81271338222187706</v>
      </c>
      <c r="O3710" s="2">
        <f ca="1"/>
        <v>0.66848018395393982</v>
      </c>
      <c r="X3710" s="2">
        <f ca="1"/>
        <v>71.384972591199244</v>
      </c>
      <c r="AG3710" s="2">
        <f ca="1"/>
        <v>8.416896818893993E-2</v>
      </c>
      <c r="AH3710" s="2" t="str">
        <f ca="1"/>
        <v>OK</v>
      </c>
    </row>
    <row r="3711" spans="2:34">
      <c r="B3711" s="2">
        <f ca="1"/>
        <v>0.28436088920023761</v>
      </c>
      <c r="O3711" s="2">
        <f ca="1"/>
        <v>-0.9347057431588035</v>
      </c>
      <c r="X3711" s="2">
        <f ca="1"/>
        <v>52.751422709068819</v>
      </c>
      <c r="AG3711" s="2">
        <f ca="1"/>
        <v>0.24832092488942714</v>
      </c>
      <c r="AH3711" s="2" t="str">
        <f ca="1"/>
        <v>OK</v>
      </c>
    </row>
    <row r="3712" spans="2:34">
      <c r="B3712" s="2">
        <f ca="1"/>
        <v>0.78038415809935047</v>
      </c>
      <c r="O3712" s="2">
        <f ca="1"/>
        <v>-0.52937027352755361</v>
      </c>
      <c r="X3712" s="2">
        <f ca="1"/>
        <v>44.37439366444454</v>
      </c>
      <c r="AG3712" s="2">
        <f ca="1"/>
        <v>0.91955908788347429</v>
      </c>
      <c r="AH3712" s="2" t="str">
        <f ca="1"/>
        <v>Bad</v>
      </c>
    </row>
    <row r="3713" spans="2:34">
      <c r="B3713" s="2">
        <f ca="1"/>
        <v>0.34483904089261874</v>
      </c>
      <c r="O3713" s="2">
        <f ca="1"/>
        <v>7.2509011326973669E-2</v>
      </c>
      <c r="X3713" s="2">
        <f ca="1"/>
        <v>40.577406453612532</v>
      </c>
      <c r="AG3713" s="2">
        <f ca="1"/>
        <v>0.85982730023833409</v>
      </c>
      <c r="AH3713" s="2" t="str">
        <f ca="1"/>
        <v>Bad</v>
      </c>
    </row>
    <row r="3714" spans="2:34">
      <c r="B3714" s="2">
        <f ca="1"/>
        <v>0.82020993411901388</v>
      </c>
      <c r="O3714" s="2">
        <f ca="1"/>
        <v>-2.0088219514097143</v>
      </c>
      <c r="X3714" s="2">
        <f ca="1"/>
        <v>43.405578083407661</v>
      </c>
      <c r="AG3714" s="2">
        <f ca="1"/>
        <v>0.18605449267540397</v>
      </c>
      <c r="AH3714" s="2" t="str">
        <f ca="1"/>
        <v>OK</v>
      </c>
    </row>
    <row r="3715" spans="2:34">
      <c r="B3715" s="2">
        <f ca="1"/>
        <v>8.9793322637088613E-2</v>
      </c>
      <c r="O3715" s="2">
        <f ca="1"/>
        <v>0.78112152753660513</v>
      </c>
      <c r="X3715" s="2">
        <f ca="1"/>
        <v>52.034189131532258</v>
      </c>
      <c r="AG3715" s="2">
        <f ca="1"/>
        <v>0.40330623143241651</v>
      </c>
      <c r="AH3715" s="2" t="str">
        <f ca="1"/>
        <v>Bad</v>
      </c>
    </row>
    <row r="3716" spans="2:34">
      <c r="B3716" s="2">
        <f ca="1"/>
        <v>0.36227142767388409</v>
      </c>
      <c r="O3716" s="2">
        <f ca="1"/>
        <v>1.6244848663489995</v>
      </c>
      <c r="X3716" s="2">
        <f ca="1"/>
        <v>54.605137457453161</v>
      </c>
      <c r="AG3716" s="2">
        <f ca="1"/>
        <v>0.20433861174191259</v>
      </c>
      <c r="AH3716" s="2" t="str">
        <f ca="1"/>
        <v>OK</v>
      </c>
    </row>
    <row r="3717" spans="2:34">
      <c r="B3717" s="2">
        <f ca="1"/>
        <v>8.7257787433807188E-2</v>
      </c>
      <c r="O3717" s="2">
        <f ca="1"/>
        <v>-0.46300959918662449</v>
      </c>
      <c r="X3717" s="2">
        <f ca="1"/>
        <v>41.733190256678057</v>
      </c>
      <c r="AG3717" s="2">
        <f ca="1"/>
        <v>0.79853283064056479</v>
      </c>
      <c r="AH3717" s="2" t="str">
        <f ca="1"/>
        <v>Bad</v>
      </c>
    </row>
    <row r="3718" spans="2:34">
      <c r="B3718" s="2">
        <f ca="1"/>
        <v>0.53852718017988122</v>
      </c>
      <c r="O3718" s="2">
        <f ca="1"/>
        <v>0.14344140067860131</v>
      </c>
      <c r="X3718" s="2">
        <f ca="1"/>
        <v>68.831583660209901</v>
      </c>
      <c r="AG3718" s="2">
        <f ca="1"/>
        <v>0.87335271726100938</v>
      </c>
      <c r="AH3718" s="2" t="str">
        <f ca="1"/>
        <v>Bad</v>
      </c>
    </row>
    <row r="3719" spans="2:34">
      <c r="B3719" s="2">
        <f ca="1"/>
        <v>8.0342094008402976E-2</v>
      </c>
      <c r="O3719" s="2">
        <f ca="1"/>
        <v>0.95487434825584216</v>
      </c>
      <c r="X3719" s="2">
        <f ca="1"/>
        <v>58.405487227062494</v>
      </c>
      <c r="AG3719" s="2">
        <f ca="1"/>
        <v>0.85339406919841299</v>
      </c>
      <c r="AH3719" s="2" t="str">
        <f ca="1"/>
        <v>Bad</v>
      </c>
    </row>
    <row r="3720" spans="2:34">
      <c r="B3720" s="2">
        <f ca="1"/>
        <v>7.2861157199734405E-2</v>
      </c>
      <c r="O3720" s="2">
        <f ca="1"/>
        <v>-1.760990213535784</v>
      </c>
      <c r="X3720" s="2">
        <f ca="1"/>
        <v>23.530809474038911</v>
      </c>
      <c r="AG3720" s="2">
        <f ca="1"/>
        <v>0.18405679441742695</v>
      </c>
      <c r="AH3720" s="2" t="str">
        <f ca="1"/>
        <v>OK</v>
      </c>
    </row>
    <row r="3721" spans="2:34">
      <c r="B3721" s="2">
        <f ca="1"/>
        <v>0.27798210193170725</v>
      </c>
      <c r="O3721" s="2">
        <f ca="1"/>
        <v>0.73439596705373311</v>
      </c>
      <c r="X3721" s="2">
        <f ca="1"/>
        <v>47.553754922995495</v>
      </c>
      <c r="AG3721" s="2">
        <f ca="1"/>
        <v>0.9893390102799875</v>
      </c>
      <c r="AH3721" s="2" t="str">
        <f ca="1"/>
        <v>Bad</v>
      </c>
    </row>
    <row r="3722" spans="2:34">
      <c r="B3722" s="2">
        <f ca="1"/>
        <v>0.57567146051563189</v>
      </c>
      <c r="O3722" s="2">
        <f ca="1"/>
        <v>-0.53622482204841349</v>
      </c>
      <c r="X3722" s="2">
        <f ca="1"/>
        <v>54.484374870335003</v>
      </c>
      <c r="AG3722" s="2">
        <f ca="1"/>
        <v>0.90913189236555314</v>
      </c>
      <c r="AH3722" s="2" t="str">
        <f ca="1"/>
        <v>Bad</v>
      </c>
    </row>
    <row r="3723" spans="2:34">
      <c r="B3723" s="2">
        <f ca="1"/>
        <v>0.82989124975522888</v>
      </c>
      <c r="O3723" s="2">
        <f ca="1"/>
        <v>-0.39592888867200166</v>
      </c>
      <c r="X3723" s="2">
        <f ca="1"/>
        <v>64.872909454202969</v>
      </c>
      <c r="AG3723" s="2">
        <f ca="1"/>
        <v>0.59491522864083102</v>
      </c>
      <c r="AH3723" s="2" t="str">
        <f ca="1"/>
        <v>Bad</v>
      </c>
    </row>
    <row r="3724" spans="2:34">
      <c r="B3724" s="2">
        <f ca="1"/>
        <v>9.7515013178768761E-2</v>
      </c>
      <c r="O3724" s="2">
        <f ca="1"/>
        <v>-0.70170121907403338</v>
      </c>
      <c r="X3724" s="2">
        <f ca="1"/>
        <v>41.577740657544894</v>
      </c>
      <c r="AG3724" s="2">
        <f ca="1"/>
        <v>0.30793694648867143</v>
      </c>
      <c r="AH3724" s="2" t="str">
        <f ca="1"/>
        <v>OK</v>
      </c>
    </row>
    <row r="3725" spans="2:34">
      <c r="B3725" s="2">
        <f ca="1"/>
        <v>0.5595239975976265</v>
      </c>
      <c r="O3725" s="2">
        <f ca="1"/>
        <v>-0.56389247610694448</v>
      </c>
      <c r="X3725" s="2">
        <f ca="1"/>
        <v>54.819792874070316</v>
      </c>
      <c r="AG3725" s="2">
        <f ca="1"/>
        <v>1.1095864586307069E-2</v>
      </c>
      <c r="AH3725" s="2" t="str">
        <f ca="1"/>
        <v>Good</v>
      </c>
    </row>
    <row r="3726" spans="2:34">
      <c r="B3726" s="2">
        <f ca="1"/>
        <v>0.12791656399349915</v>
      </c>
      <c r="O3726" s="2">
        <f ca="1"/>
        <v>2.610928825227679</v>
      </c>
      <c r="X3726" s="2">
        <f ca="1"/>
        <v>37.425688488554698</v>
      </c>
      <c r="AG3726" s="2">
        <f ca="1"/>
        <v>0.34019458615878384</v>
      </c>
      <c r="AH3726" s="2" t="str">
        <f ca="1"/>
        <v>OK</v>
      </c>
    </row>
    <row r="3727" spans="2:34">
      <c r="B3727" s="2">
        <f ca="1"/>
        <v>0.10200734838142567</v>
      </c>
      <c r="O3727" s="2">
        <f ca="1"/>
        <v>-0.18002681289187458</v>
      </c>
      <c r="X3727" s="2">
        <f ca="1"/>
        <v>35.02929288056761</v>
      </c>
      <c r="AG3727" s="2">
        <f ca="1"/>
        <v>0.25869494162880646</v>
      </c>
      <c r="AH3727" s="2" t="str">
        <f ca="1"/>
        <v>OK</v>
      </c>
    </row>
    <row r="3728" spans="2:34">
      <c r="B3728" s="2">
        <f ca="1"/>
        <v>0.91447678760990625</v>
      </c>
      <c r="O3728" s="2">
        <f ca="1"/>
        <v>0.67069473693537118</v>
      </c>
      <c r="X3728" s="2">
        <f ca="1"/>
        <v>78.309938750170517</v>
      </c>
      <c r="AG3728" s="2">
        <f ca="1"/>
        <v>2.4578144538987434E-2</v>
      </c>
      <c r="AH3728" s="2" t="str">
        <f ca="1"/>
        <v>Good</v>
      </c>
    </row>
    <row r="3729" spans="2:34">
      <c r="B3729" s="2">
        <f ca="1"/>
        <v>0.49152336209537451</v>
      </c>
      <c r="O3729" s="2">
        <f ca="1"/>
        <v>-7.5139358325669564E-2</v>
      </c>
      <c r="X3729" s="2">
        <f ca="1"/>
        <v>48.903633048346364</v>
      </c>
      <c r="AG3729" s="2">
        <f ca="1"/>
        <v>0.35980185928506381</v>
      </c>
      <c r="AH3729" s="2" t="str">
        <f ca="1"/>
        <v>OK</v>
      </c>
    </row>
    <row r="3730" spans="2:34">
      <c r="B3730" s="2">
        <f ca="1"/>
        <v>0.81233532738047631</v>
      </c>
      <c r="O3730" s="2">
        <f ca="1"/>
        <v>0.95144078479921457</v>
      </c>
      <c r="X3730" s="2">
        <f ca="1"/>
        <v>34.728887640405269</v>
      </c>
      <c r="AG3730" s="2">
        <f ca="1"/>
        <v>0.20950302335709625</v>
      </c>
      <c r="AH3730" s="2" t="str">
        <f ca="1"/>
        <v>OK</v>
      </c>
    </row>
    <row r="3731" spans="2:34">
      <c r="B3731" s="2">
        <f ca="1"/>
        <v>7.1466866654696704E-2</v>
      </c>
      <c r="O3731" s="2">
        <f ca="1"/>
        <v>-0.9380781976586785</v>
      </c>
      <c r="X3731" s="2">
        <f ca="1"/>
        <v>66.402734571819565</v>
      </c>
      <c r="AG3731" s="2">
        <f ca="1"/>
        <v>0.75147097671833163</v>
      </c>
      <c r="AH3731" s="2" t="str">
        <f ca="1"/>
        <v>Bad</v>
      </c>
    </row>
    <row r="3732" spans="2:34">
      <c r="B3732" s="2">
        <f ca="1"/>
        <v>0.6037285947776061</v>
      </c>
      <c r="O3732" s="2">
        <f ca="1"/>
        <v>-1.8634468089155398</v>
      </c>
      <c r="X3732" s="2">
        <f ca="1"/>
        <v>34.929762830519891</v>
      </c>
      <c r="AG3732" s="2">
        <f ca="1"/>
        <v>0.29415759521610507</v>
      </c>
      <c r="AH3732" s="2" t="str">
        <f ca="1"/>
        <v>OK</v>
      </c>
    </row>
    <row r="3733" spans="2:34">
      <c r="B3733" s="2">
        <f ca="1"/>
        <v>0.19327132539979108</v>
      </c>
      <c r="O3733" s="2">
        <f ca="1"/>
        <v>-0.86755389796006999</v>
      </c>
      <c r="X3733" s="2">
        <f ca="1"/>
        <v>44.855807841138585</v>
      </c>
      <c r="AG3733" s="2">
        <f ca="1"/>
        <v>0.43628726849572819</v>
      </c>
      <c r="AH3733" s="2" t="str">
        <f ca="1"/>
        <v>Bad</v>
      </c>
    </row>
    <row r="3734" spans="2:34">
      <c r="B3734" s="2">
        <f ca="1"/>
        <v>0.40994745086451645</v>
      </c>
      <c r="O3734" s="2">
        <f ca="1"/>
        <v>1.0813521640519193</v>
      </c>
      <c r="X3734" s="2">
        <f ca="1"/>
        <v>28.946546131396993</v>
      </c>
      <c r="AG3734" s="2">
        <f ca="1"/>
        <v>0.81747019296017753</v>
      </c>
      <c r="AH3734" s="2" t="str">
        <f ca="1"/>
        <v>Bad</v>
      </c>
    </row>
    <row r="3735" spans="2:34">
      <c r="B3735" s="2">
        <f ca="1"/>
        <v>0.98460615278679953</v>
      </c>
      <c r="O3735" s="2">
        <f ca="1"/>
        <v>-1.2694515865699818</v>
      </c>
      <c r="X3735" s="2">
        <f ca="1"/>
        <v>49.070402717128864</v>
      </c>
      <c r="AG3735" s="2">
        <f ca="1"/>
        <v>0.63035458579668169</v>
      </c>
      <c r="AH3735" s="2" t="str">
        <f ca="1"/>
        <v>Bad</v>
      </c>
    </row>
    <row r="3736" spans="2:34">
      <c r="B3736" s="2">
        <f ca="1"/>
        <v>0.75528383371343533</v>
      </c>
      <c r="O3736" s="2">
        <f ca="1"/>
        <v>0.67543497569263122</v>
      </c>
      <c r="X3736" s="2">
        <f ca="1"/>
        <v>56.371579451421766</v>
      </c>
      <c r="AG3736" s="2">
        <f ca="1"/>
        <v>0.71852089352096615</v>
      </c>
      <c r="AH3736" s="2" t="str">
        <f ca="1"/>
        <v>Bad</v>
      </c>
    </row>
    <row r="3737" spans="2:34">
      <c r="B3737" s="2">
        <f ca="1"/>
        <v>0.61774419282196669</v>
      </c>
      <c r="O3737" s="2">
        <f ca="1"/>
        <v>1.3937985826586567</v>
      </c>
      <c r="X3737" s="2">
        <f ca="1"/>
        <v>34.637394960979393</v>
      </c>
      <c r="AG3737" s="2">
        <f ca="1"/>
        <v>0.86987808554908974</v>
      </c>
      <c r="AH3737" s="2" t="str">
        <f ca="1"/>
        <v>Bad</v>
      </c>
    </row>
    <row r="3738" spans="2:34">
      <c r="B3738" s="2">
        <f ca="1"/>
        <v>0.40782814604788631</v>
      </c>
      <c r="O3738" s="2">
        <f ca="1"/>
        <v>-1.4972137709507976</v>
      </c>
      <c r="X3738" s="2">
        <f ca="1"/>
        <v>35.78501170001519</v>
      </c>
      <c r="AG3738" s="2">
        <f ca="1"/>
        <v>0.45084378939941661</v>
      </c>
      <c r="AH3738" s="2" t="str">
        <f ca="1"/>
        <v>Bad</v>
      </c>
    </row>
    <row r="3739" spans="2:34">
      <c r="B3739" s="2">
        <f ca="1"/>
        <v>0.2594446386293392</v>
      </c>
      <c r="O3739" s="2">
        <f ca="1"/>
        <v>-1.1365419207173255</v>
      </c>
      <c r="X3739" s="2">
        <f ca="1"/>
        <v>33.584515029773641</v>
      </c>
      <c r="AG3739" s="2">
        <f ca="1"/>
        <v>0.95699328567114095</v>
      </c>
      <c r="AH3739" s="2" t="str">
        <f ca="1"/>
        <v>Bad</v>
      </c>
    </row>
    <row r="3740" spans="2:34">
      <c r="B3740" s="2">
        <f ca="1"/>
        <v>0.86163116829442843</v>
      </c>
      <c r="O3740" s="2">
        <f ca="1"/>
        <v>-0.89587805674441734</v>
      </c>
      <c r="X3740" s="2">
        <f ca="1"/>
        <v>75.523223695186786</v>
      </c>
      <c r="AG3740" s="2">
        <f ca="1"/>
        <v>0.83376617101652295</v>
      </c>
      <c r="AH3740" s="2" t="str">
        <f ca="1"/>
        <v>Bad</v>
      </c>
    </row>
    <row r="3741" spans="2:34">
      <c r="B3741" s="2">
        <f ca="1"/>
        <v>0.45267171075969492</v>
      </c>
      <c r="O3741" s="2">
        <f ca="1"/>
        <v>-0.90960365888231887</v>
      </c>
      <c r="X3741" s="2">
        <f ca="1"/>
        <v>46.668961780862773</v>
      </c>
      <c r="AG3741" s="2">
        <f ca="1"/>
        <v>0.45441654331248604</v>
      </c>
      <c r="AH3741" s="2" t="str">
        <f ca="1"/>
        <v>Bad</v>
      </c>
    </row>
    <row r="3742" spans="2:34">
      <c r="B3742" s="2">
        <f ca="1"/>
        <v>0.5293772527159526</v>
      </c>
      <c r="O3742" s="2">
        <f ca="1"/>
        <v>-0.64799515512367722</v>
      </c>
      <c r="X3742" s="2">
        <f ca="1"/>
        <v>32.250676457041237</v>
      </c>
      <c r="AG3742" s="2">
        <f ca="1"/>
        <v>9.8743925677122535E-2</v>
      </c>
      <c r="AH3742" s="2" t="str">
        <f ca="1"/>
        <v>OK</v>
      </c>
    </row>
    <row r="3743" spans="2:34">
      <c r="B3743" s="2">
        <f ca="1"/>
        <v>6.3860868138574389E-3</v>
      </c>
      <c r="O3743" s="2">
        <f ca="1"/>
        <v>-1.2327366555066577</v>
      </c>
      <c r="X3743" s="2">
        <f ca="1"/>
        <v>42.40416120099848</v>
      </c>
      <c r="AG3743" s="2">
        <f ca="1"/>
        <v>0.10531186670122428</v>
      </c>
      <c r="AH3743" s="2" t="str">
        <f ca="1"/>
        <v>OK</v>
      </c>
    </row>
    <row r="3744" spans="2:34">
      <c r="B3744" s="2">
        <f ca="1"/>
        <v>0.92509926996632164</v>
      </c>
      <c r="O3744" s="2">
        <f ca="1"/>
        <v>2.3960954687089502</v>
      </c>
      <c r="X3744" s="2">
        <f ca="1"/>
        <v>52.517760945758809</v>
      </c>
      <c r="AG3744" s="2">
        <f ca="1"/>
        <v>0.87088254728069625</v>
      </c>
      <c r="AH3744" s="2" t="str">
        <f ca="1"/>
        <v>Bad</v>
      </c>
    </row>
    <row r="3745" spans="2:34">
      <c r="B3745" s="2">
        <f ca="1"/>
        <v>0.91989509464728458</v>
      </c>
      <c r="O3745" s="2">
        <f ca="1"/>
        <v>1.2736150264849571</v>
      </c>
      <c r="X3745" s="2">
        <f ca="1"/>
        <v>53.066811055208767</v>
      </c>
      <c r="AG3745" s="2">
        <f ca="1"/>
        <v>0.38120463310874597</v>
      </c>
      <c r="AH3745" s="2" t="str">
        <f ca="1"/>
        <v>OK</v>
      </c>
    </row>
    <row r="3746" spans="2:34">
      <c r="B3746" s="2">
        <f ca="1"/>
        <v>0.25209697722509805</v>
      </c>
      <c r="O3746" s="2">
        <f ca="1"/>
        <v>-5.3999991476330583E-2</v>
      </c>
      <c r="X3746" s="2">
        <f ca="1"/>
        <v>17.98871984132872</v>
      </c>
      <c r="AG3746" s="2">
        <f ca="1"/>
        <v>0.1741537421944408</v>
      </c>
      <c r="AH3746" s="2" t="str">
        <f ca="1"/>
        <v>OK</v>
      </c>
    </row>
    <row r="3747" spans="2:34">
      <c r="B3747" s="2">
        <f ca="1"/>
        <v>1.4404291731081376E-2</v>
      </c>
      <c r="O3747" s="2">
        <f ca="1"/>
        <v>0.74386506614665038</v>
      </c>
      <c r="X3747" s="2">
        <f ca="1"/>
        <v>33.033955891215406</v>
      </c>
      <c r="AG3747" s="2">
        <f ca="1"/>
        <v>0.12057963497333746</v>
      </c>
      <c r="AH3747" s="2" t="str">
        <f ca="1"/>
        <v>OK</v>
      </c>
    </row>
    <row r="3748" spans="2:34">
      <c r="B3748" s="2">
        <f ca="1"/>
        <v>0.95237676752044242</v>
      </c>
      <c r="O3748" s="2">
        <f ca="1"/>
        <v>-0.98964679177288772</v>
      </c>
      <c r="X3748" s="2">
        <f ca="1"/>
        <v>52.563359913772267</v>
      </c>
      <c r="AG3748" s="2">
        <f ca="1"/>
        <v>0.28248374743385063</v>
      </c>
      <c r="AH3748" s="2" t="str">
        <f ca="1"/>
        <v>OK</v>
      </c>
    </row>
    <row r="3749" spans="2:34">
      <c r="B3749" s="2">
        <f ca="1"/>
        <v>0.29699226070013651</v>
      </c>
      <c r="O3749" s="2">
        <f ca="1"/>
        <v>-0.35183697537217218</v>
      </c>
      <c r="X3749" s="2">
        <f ca="1"/>
        <v>33.713307066383976</v>
      </c>
      <c r="AG3749" s="2">
        <f ca="1"/>
        <v>0.49067699986299207</v>
      </c>
      <c r="AH3749" s="2" t="str">
        <f ca="1"/>
        <v>Bad</v>
      </c>
    </row>
    <row r="3750" spans="2:34">
      <c r="B3750" s="2">
        <f ca="1"/>
        <v>0.96512479755755987</v>
      </c>
      <c r="O3750" s="2">
        <f ca="1"/>
        <v>-0.9002152698897623</v>
      </c>
      <c r="X3750" s="2">
        <f ca="1"/>
        <v>33.239852951312237</v>
      </c>
      <c r="AG3750" s="2">
        <f ca="1"/>
        <v>0.10543496373509109</v>
      </c>
      <c r="AH3750" s="2" t="str">
        <f ca="1"/>
        <v>OK</v>
      </c>
    </row>
    <row r="3751" spans="2:34">
      <c r="B3751" s="2">
        <f ca="1"/>
        <v>0.82373735896368827</v>
      </c>
      <c r="O3751" s="2">
        <f ca="1"/>
        <v>1.5350573863318004</v>
      </c>
      <c r="X3751" s="2">
        <f ca="1"/>
        <v>47.334637075084522</v>
      </c>
      <c r="AG3751" s="2">
        <f ca="1"/>
        <v>0.16825707289038272</v>
      </c>
      <c r="AH3751" s="2" t="str">
        <f ca="1"/>
        <v>OK</v>
      </c>
    </row>
    <row r="3752" spans="2:34">
      <c r="B3752" s="2">
        <f ca="1"/>
        <v>0.72824486780101383</v>
      </c>
      <c r="O3752" s="2">
        <f ca="1"/>
        <v>-0.37674971031237009</v>
      </c>
      <c r="X3752" s="2">
        <f ca="1"/>
        <v>39.498055714329475</v>
      </c>
      <c r="AG3752" s="2">
        <f ca="1"/>
        <v>0.40707528702135964</v>
      </c>
      <c r="AH3752" s="2" t="str">
        <f ca="1"/>
        <v>Bad</v>
      </c>
    </row>
    <row r="3753" spans="2:34">
      <c r="B3753" s="2">
        <f ca="1"/>
        <v>0.15686661733501928</v>
      </c>
      <c r="O3753" s="2">
        <f ca="1"/>
        <v>-0.91067772109619682</v>
      </c>
      <c r="X3753" s="2">
        <f ca="1"/>
        <v>29.289622646924744</v>
      </c>
      <c r="AG3753" s="2">
        <f ca="1"/>
        <v>0.46773573403110835</v>
      </c>
      <c r="AH3753" s="2" t="str">
        <f ca="1"/>
        <v>Bad</v>
      </c>
    </row>
    <row r="3754" spans="2:34">
      <c r="B3754" s="2">
        <f ca="1"/>
        <v>8.5946034351304101E-2</v>
      </c>
      <c r="O3754" s="2">
        <f ca="1"/>
        <v>-1.6089243833439759</v>
      </c>
      <c r="X3754" s="2">
        <f ca="1"/>
        <v>39.485793321320031</v>
      </c>
      <c r="AG3754" s="2">
        <f ca="1"/>
        <v>0.89322986055408005</v>
      </c>
      <c r="AH3754" s="2" t="str">
        <f ca="1"/>
        <v>Bad</v>
      </c>
    </row>
    <row r="3755" spans="2:34">
      <c r="B3755" s="2">
        <f ca="1"/>
        <v>0.74778353137939146</v>
      </c>
      <c r="O3755" s="2">
        <f ca="1"/>
        <v>0.85471793215041292</v>
      </c>
      <c r="X3755" s="2">
        <f ca="1"/>
        <v>61.98932609362452</v>
      </c>
      <c r="AG3755" s="2">
        <f ca="1"/>
        <v>8.3935136805139754E-2</v>
      </c>
      <c r="AH3755" s="2" t="str">
        <f ca="1"/>
        <v>OK</v>
      </c>
    </row>
    <row r="3756" spans="2:34">
      <c r="B3756" s="2">
        <f ca="1"/>
        <v>0.40757366286263941</v>
      </c>
      <c r="O3756" s="2">
        <f ca="1"/>
        <v>-0.44743573133619796</v>
      </c>
      <c r="X3756" s="2">
        <f ca="1"/>
        <v>25.601263535889448</v>
      </c>
      <c r="AG3756" s="2">
        <f ca="1"/>
        <v>0.82879086625958021</v>
      </c>
      <c r="AH3756" s="2" t="str">
        <f ca="1"/>
        <v>Bad</v>
      </c>
    </row>
    <row r="3757" spans="2:34">
      <c r="B3757" s="2">
        <f ca="1"/>
        <v>0.174457269556203</v>
      </c>
      <c r="O3757" s="2">
        <f ca="1"/>
        <v>-0.49905954623711835</v>
      </c>
      <c r="X3757" s="2">
        <f ca="1"/>
        <v>55.456923072099457</v>
      </c>
      <c r="AG3757" s="2">
        <f ca="1"/>
        <v>0.77015419802902163</v>
      </c>
      <c r="AH3757" s="2" t="str">
        <f ca="1"/>
        <v>Bad</v>
      </c>
    </row>
    <row r="3758" spans="2:34">
      <c r="B3758" s="2">
        <f ca="1"/>
        <v>0.37018656567639896</v>
      </c>
      <c r="O3758" s="2">
        <f ca="1"/>
        <v>-1.2257364823013632</v>
      </c>
      <c r="X3758" s="2">
        <f ca="1"/>
        <v>36.740708385166023</v>
      </c>
      <c r="AG3758" s="2">
        <f ca="1"/>
        <v>0.81277878821264271</v>
      </c>
      <c r="AH3758" s="2" t="str">
        <f ca="1"/>
        <v>Bad</v>
      </c>
    </row>
    <row r="3759" spans="2:34">
      <c r="B3759" s="2">
        <f ca="1"/>
        <v>0.44282338984586578</v>
      </c>
      <c r="O3759" s="2">
        <f ca="1"/>
        <v>4.1050932370741623E-2</v>
      </c>
      <c r="X3759" s="2">
        <f ca="1"/>
        <v>31.314544369380215</v>
      </c>
      <c r="AG3759" s="2">
        <f ca="1"/>
        <v>0.45698505943428525</v>
      </c>
      <c r="AH3759" s="2" t="str">
        <f ca="1"/>
        <v>Bad</v>
      </c>
    </row>
    <row r="3760" spans="2:34">
      <c r="B3760" s="2">
        <f ca="1"/>
        <v>5.787623688336252E-2</v>
      </c>
      <c r="O3760" s="2">
        <f ca="1"/>
        <v>1.7236840144266432</v>
      </c>
      <c r="X3760" s="2">
        <f ca="1"/>
        <v>31.813110966843002</v>
      </c>
      <c r="AG3760" s="2">
        <f ca="1"/>
        <v>0.65839736319069297</v>
      </c>
      <c r="AH3760" s="2" t="str">
        <f ca="1"/>
        <v>Bad</v>
      </c>
    </row>
    <row r="3761" spans="2:34">
      <c r="B3761" s="2">
        <f ca="1"/>
        <v>0.60462513059998391</v>
      </c>
      <c r="O3761" s="2">
        <f ca="1"/>
        <v>-0.57256796278425215</v>
      </c>
      <c r="X3761" s="2">
        <f ca="1"/>
        <v>49.513136763495879</v>
      </c>
      <c r="AG3761" s="2">
        <f ca="1"/>
        <v>0.77180600902817598</v>
      </c>
      <c r="AH3761" s="2" t="str">
        <f ca="1"/>
        <v>Bad</v>
      </c>
    </row>
    <row r="3762" spans="2:34">
      <c r="B3762" s="2">
        <f ca="1"/>
        <v>0.76805590280032399</v>
      </c>
      <c r="O3762" s="2">
        <f ca="1"/>
        <v>-0.3134900117058283</v>
      </c>
      <c r="X3762" s="2">
        <f ca="1"/>
        <v>55.667212119018373</v>
      </c>
      <c r="AG3762" s="2">
        <f ca="1"/>
        <v>0.75643493771409975</v>
      </c>
      <c r="AH3762" s="2" t="str">
        <f ca="1"/>
        <v>Bad</v>
      </c>
    </row>
    <row r="3763" spans="2:34">
      <c r="B3763" s="2">
        <f ca="1"/>
        <v>0.76609745255217199</v>
      </c>
      <c r="O3763" s="2">
        <f ca="1"/>
        <v>-0.1559611521240323</v>
      </c>
      <c r="X3763" s="2">
        <f ca="1"/>
        <v>55.826019388763712</v>
      </c>
      <c r="AG3763" s="2">
        <f ca="1"/>
        <v>0.67327762110969447</v>
      </c>
      <c r="AH3763" s="2" t="str">
        <f ca="1"/>
        <v>Bad</v>
      </c>
    </row>
    <row r="3764" spans="2:34">
      <c r="B3764" s="2">
        <f ca="1"/>
        <v>0.42061797792551525</v>
      </c>
      <c r="O3764" s="2">
        <f ca="1"/>
        <v>-0.48027965511978687</v>
      </c>
      <c r="X3764" s="2">
        <f ca="1"/>
        <v>44.231424238643989</v>
      </c>
      <c r="AG3764" s="2">
        <f ca="1"/>
        <v>0.45784670291443375</v>
      </c>
      <c r="AH3764" s="2" t="str">
        <f ca="1"/>
        <v>Bad</v>
      </c>
    </row>
    <row r="3765" spans="2:34">
      <c r="B3765" s="2">
        <f ca="1"/>
        <v>0.72512899118103058</v>
      </c>
      <c r="O3765" s="2">
        <f ca="1"/>
        <v>-1.5258013492163554</v>
      </c>
      <c r="X3765" s="2">
        <f ca="1"/>
        <v>42.054655001988166</v>
      </c>
      <c r="AG3765" s="2">
        <f ca="1"/>
        <v>0.39114992706758756</v>
      </c>
      <c r="AH3765" s="2" t="str">
        <f ca="1"/>
        <v>OK</v>
      </c>
    </row>
    <row r="3766" spans="2:34">
      <c r="B3766" s="2">
        <f ca="1"/>
        <v>0.77176340163145052</v>
      </c>
      <c r="O3766" s="2">
        <f ca="1"/>
        <v>-0.55396522631415934</v>
      </c>
      <c r="X3766" s="2">
        <f ca="1"/>
        <v>52.310304131550438</v>
      </c>
      <c r="AG3766" s="2">
        <f ca="1"/>
        <v>0.9295534295595187</v>
      </c>
      <c r="AH3766" s="2" t="str">
        <f ca="1"/>
        <v>Bad</v>
      </c>
    </row>
    <row r="3767" spans="2:34">
      <c r="B3767" s="2">
        <f ca="1"/>
        <v>0.83729063044433905</v>
      </c>
      <c r="O3767" s="2">
        <f ca="1"/>
        <v>0.62113813717896782</v>
      </c>
      <c r="X3767" s="2">
        <f ca="1"/>
        <v>47.73748134431608</v>
      </c>
      <c r="AG3767" s="2">
        <f ca="1"/>
        <v>0.35068065405423621</v>
      </c>
      <c r="AH3767" s="2" t="str">
        <f ca="1"/>
        <v>OK</v>
      </c>
    </row>
    <row r="3768" spans="2:34">
      <c r="B3768" s="2">
        <f ca="1"/>
        <v>0.79902079601358578</v>
      </c>
      <c r="O3768" s="2">
        <f ca="1"/>
        <v>0.62072696639139757</v>
      </c>
      <c r="X3768" s="2">
        <f ca="1"/>
        <v>44.795463998163925</v>
      </c>
      <c r="AG3768" s="2">
        <f ca="1"/>
        <v>0.23223496513431763</v>
      </c>
      <c r="AH3768" s="2" t="str">
        <f ca="1"/>
        <v>OK</v>
      </c>
    </row>
    <row r="3769" spans="2:34">
      <c r="B3769" s="2">
        <f ca="1"/>
        <v>0.53462737839264696</v>
      </c>
      <c r="O3769" s="2">
        <f ca="1"/>
        <v>0.46001549933035629</v>
      </c>
      <c r="X3769" s="2">
        <f ca="1"/>
        <v>41.996213562987464</v>
      </c>
      <c r="AG3769" s="2">
        <f ca="1"/>
        <v>0.10817141039730171</v>
      </c>
      <c r="AH3769" s="2" t="str">
        <f ca="1"/>
        <v>OK</v>
      </c>
    </row>
    <row r="3770" spans="2:34">
      <c r="B3770" s="2">
        <f ca="1"/>
        <v>0.36415482206384286</v>
      </c>
      <c r="O3770" s="2">
        <f ca="1"/>
        <v>0.54176397760024342</v>
      </c>
      <c r="X3770" s="2">
        <f ca="1"/>
        <v>59.743553708870536</v>
      </c>
      <c r="AG3770" s="2">
        <f ca="1"/>
        <v>0.81384361898001867</v>
      </c>
      <c r="AH3770" s="2" t="str">
        <f ca="1"/>
        <v>Bad</v>
      </c>
    </row>
    <row r="3771" spans="2:34">
      <c r="B3771" s="2">
        <f ca="1"/>
        <v>0.87883609329278678</v>
      </c>
      <c r="O3771" s="2">
        <f ca="1"/>
        <v>1.0978512752653191</v>
      </c>
      <c r="X3771" s="2">
        <f ca="1"/>
        <v>62.033691861718118</v>
      </c>
      <c r="AG3771" s="2">
        <f ca="1"/>
        <v>0.52711338705690514</v>
      </c>
      <c r="AH3771" s="2" t="str">
        <f ca="1"/>
        <v>Bad</v>
      </c>
    </row>
    <row r="3772" spans="2:34">
      <c r="B3772" s="2">
        <f ca="1"/>
        <v>0.39335825437293925</v>
      </c>
      <c r="O3772" s="2">
        <f ca="1"/>
        <v>1.3812404215888834</v>
      </c>
      <c r="X3772" s="2">
        <f ca="1"/>
        <v>52.786572271139462</v>
      </c>
      <c r="AG3772" s="2">
        <f ca="1"/>
        <v>0.88790306057931789</v>
      </c>
      <c r="AH3772" s="2" t="str">
        <f ca="1"/>
        <v>Bad</v>
      </c>
    </row>
    <row r="3773" spans="2:34">
      <c r="B3773" s="2">
        <f ca="1"/>
        <v>0.89705339543679052</v>
      </c>
      <c r="O3773" s="2">
        <f ca="1"/>
        <v>4.5386594951147177E-2</v>
      </c>
      <c r="X3773" s="2">
        <f ca="1"/>
        <v>52.532973791996945</v>
      </c>
      <c r="AG3773" s="2">
        <f ca="1"/>
        <v>0.87848420772966129</v>
      </c>
      <c r="AH3773" s="2" t="str">
        <f ca="1"/>
        <v>Bad</v>
      </c>
    </row>
    <row r="3774" spans="2:34">
      <c r="B3774" s="2">
        <f ca="1"/>
        <v>0.1617519488031014</v>
      </c>
      <c r="O3774" s="2">
        <f ca="1"/>
        <v>4.4985230289640937E-2</v>
      </c>
      <c r="X3774" s="2">
        <f ca="1"/>
        <v>64.129557181773421</v>
      </c>
      <c r="AG3774" s="2">
        <f ca="1"/>
        <v>0.96796283821300921</v>
      </c>
      <c r="AH3774" s="2" t="str">
        <f ca="1"/>
        <v>Bad</v>
      </c>
    </row>
    <row r="3775" spans="2:34">
      <c r="B3775" s="2">
        <f ca="1"/>
        <v>0.10017679717877903</v>
      </c>
      <c r="O3775" s="2">
        <f ca="1"/>
        <v>0.58332057020697692</v>
      </c>
      <c r="X3775" s="2">
        <f ca="1"/>
        <v>38.004808387285763</v>
      </c>
      <c r="AG3775" s="2">
        <f ca="1"/>
        <v>0.68797067206851548</v>
      </c>
      <c r="AH3775" s="2" t="str">
        <f ca="1"/>
        <v>Bad</v>
      </c>
    </row>
    <row r="3776" spans="2:34">
      <c r="B3776" s="2">
        <f ca="1"/>
        <v>0.17578887818345201</v>
      </c>
      <c r="O3776" s="2">
        <f ca="1"/>
        <v>-6.0922475051387863E-2</v>
      </c>
      <c r="X3776" s="2">
        <f ca="1"/>
        <v>41.380830440615021</v>
      </c>
      <c r="AG3776" s="2">
        <f ca="1"/>
        <v>0.58330927226403406</v>
      </c>
      <c r="AH3776" s="2" t="str">
        <f ca="1"/>
        <v>Bad</v>
      </c>
    </row>
    <row r="3777" spans="2:34">
      <c r="B3777" s="2">
        <f ca="1"/>
        <v>0.40580449805705165</v>
      </c>
      <c r="O3777" s="2">
        <f ca="1"/>
        <v>0.22859842836625965</v>
      </c>
      <c r="X3777" s="2">
        <f ca="1"/>
        <v>48.138449388060707</v>
      </c>
      <c r="AG3777" s="2">
        <f ca="1"/>
        <v>0.45636481959216435</v>
      </c>
      <c r="AH3777" s="2" t="str">
        <f ca="1"/>
        <v>Bad</v>
      </c>
    </row>
    <row r="3778" spans="2:34">
      <c r="B3778" s="2">
        <f ca="1"/>
        <v>0.45172106585094629</v>
      </c>
      <c r="O3778" s="2">
        <f ca="1"/>
        <v>0.38940913442897013</v>
      </c>
      <c r="X3778" s="2">
        <f ca="1"/>
        <v>54.698051917078686</v>
      </c>
      <c r="AG3778" s="2">
        <f ca="1"/>
        <v>6.7682261278867006E-2</v>
      </c>
      <c r="AH3778" s="2" t="str">
        <f ca="1"/>
        <v>OK</v>
      </c>
    </row>
    <row r="3779" spans="2:34">
      <c r="B3779" s="2">
        <f ca="1"/>
        <v>0.53518045524342828</v>
      </c>
      <c r="O3779" s="2">
        <f ca="1"/>
        <v>-0.32580835386735851</v>
      </c>
      <c r="X3779" s="2">
        <f ca="1"/>
        <v>43.040761885214494</v>
      </c>
      <c r="AG3779" s="2">
        <f ca="1"/>
        <v>0.54218433968073709</v>
      </c>
      <c r="AH3779" s="2" t="str">
        <f ca="1"/>
        <v>Bad</v>
      </c>
    </row>
    <row r="3780" spans="2:34">
      <c r="B3780" s="2">
        <f ca="1"/>
        <v>0.45360620405885554</v>
      </c>
      <c r="O3780" s="2">
        <f ca="1"/>
        <v>0.76215814187721753</v>
      </c>
      <c r="X3780" s="2">
        <f ca="1"/>
        <v>47.781295624007363</v>
      </c>
      <c r="AG3780" s="2">
        <f ca="1"/>
        <v>0.79493903952136336</v>
      </c>
      <c r="AH3780" s="2" t="str">
        <f ca="1"/>
        <v>Bad</v>
      </c>
    </row>
    <row r="3781" spans="2:34">
      <c r="B3781" s="2">
        <f ca="1"/>
        <v>0.36754697256710722</v>
      </c>
      <c r="O3781" s="2">
        <f ca="1"/>
        <v>-0.58229657856697192</v>
      </c>
      <c r="X3781" s="2">
        <f ca="1"/>
        <v>32.184569165763634</v>
      </c>
      <c r="AG3781" s="2">
        <f ca="1"/>
        <v>0.90683751076246533</v>
      </c>
      <c r="AH3781" s="2" t="str">
        <f ca="1"/>
        <v>Bad</v>
      </c>
    </row>
    <row r="3782" spans="2:34">
      <c r="B3782" s="2">
        <f ca="1"/>
        <v>0.53470868133104532</v>
      </c>
      <c r="O3782" s="2">
        <f ca="1"/>
        <v>8.3245779238275877E-2</v>
      </c>
      <c r="X3782" s="2">
        <f ca="1"/>
        <v>103.75933204723295</v>
      </c>
      <c r="AG3782" s="2">
        <f ca="1"/>
        <v>0.6452468782995151</v>
      </c>
      <c r="AH3782" s="2" t="str">
        <f ca="1"/>
        <v>Bad</v>
      </c>
    </row>
    <row r="3783" spans="2:34">
      <c r="B3783" s="2">
        <f ca="1"/>
        <v>0.46036490503431993</v>
      </c>
      <c r="O3783" s="2">
        <f ca="1"/>
        <v>-2.2187849689932131</v>
      </c>
      <c r="X3783" s="2">
        <f ca="1"/>
        <v>55.133209072902574</v>
      </c>
      <c r="AG3783" s="2">
        <f ca="1"/>
        <v>0.43935816792057736</v>
      </c>
      <c r="AH3783" s="2" t="str">
        <f ca="1"/>
        <v>Bad</v>
      </c>
    </row>
    <row r="3784" spans="2:34">
      <c r="B3784" s="2">
        <f ca="1"/>
        <v>0.97429310553728676</v>
      </c>
      <c r="O3784" s="2">
        <f ca="1"/>
        <v>-0.5561555060585085</v>
      </c>
      <c r="X3784" s="2">
        <f ca="1"/>
        <v>34.817538878692055</v>
      </c>
      <c r="AG3784" s="2">
        <f ca="1"/>
        <v>0.27024214478344888</v>
      </c>
      <c r="AH3784" s="2" t="str">
        <f ca="1"/>
        <v>OK</v>
      </c>
    </row>
    <row r="3785" spans="2:34">
      <c r="B3785" s="2">
        <f ca="1"/>
        <v>0.57046393894862679</v>
      </c>
      <c r="O3785" s="2">
        <f ca="1"/>
        <v>0.68780340285620345</v>
      </c>
      <c r="X3785" s="2">
        <f ca="1"/>
        <v>22.70548464427991</v>
      </c>
      <c r="AG3785" s="2">
        <f ca="1"/>
        <v>0.93227464887579026</v>
      </c>
      <c r="AH3785" s="2" t="str">
        <f ca="1"/>
        <v>Bad</v>
      </c>
    </row>
    <row r="3786" spans="2:34">
      <c r="B3786" s="2">
        <f ca="1"/>
        <v>0.47447667310348973</v>
      </c>
      <c r="O3786" s="2">
        <f ca="1"/>
        <v>0.99692453366401712</v>
      </c>
      <c r="X3786" s="2">
        <f ca="1"/>
        <v>33.563959906907392</v>
      </c>
      <c r="AG3786" s="2">
        <f ca="1"/>
        <v>0.16739721778178374</v>
      </c>
      <c r="AH3786" s="2" t="str">
        <f ca="1"/>
        <v>OK</v>
      </c>
    </row>
    <row r="3787" spans="2:34">
      <c r="B3787" s="2">
        <f ca="1"/>
        <v>0.17951651074945296</v>
      </c>
      <c r="O3787" s="2">
        <f ca="1"/>
        <v>-0.31320268392977285</v>
      </c>
      <c r="X3787" s="2">
        <f ca="1"/>
        <v>36.934856808174594</v>
      </c>
      <c r="AG3787" s="2">
        <f ca="1"/>
        <v>0.6030785937697376</v>
      </c>
      <c r="AH3787" s="2" t="str">
        <f ca="1"/>
        <v>Bad</v>
      </c>
    </row>
    <row r="3788" spans="2:34">
      <c r="B3788" s="2">
        <f ca="1"/>
        <v>0.85472517301716344</v>
      </c>
      <c r="O3788" s="2">
        <f ca="1"/>
        <v>0.3701947343777573</v>
      </c>
      <c r="X3788" s="2">
        <f ca="1"/>
        <v>55.816370627906871</v>
      </c>
      <c r="AG3788" s="2">
        <f ca="1"/>
        <v>0.93292657857563488</v>
      </c>
      <c r="AH3788" s="2" t="str">
        <f ca="1"/>
        <v>Bad</v>
      </c>
    </row>
    <row r="3789" spans="2:34">
      <c r="B3789" s="2">
        <f ca="1"/>
        <v>0.86016582319540258</v>
      </c>
      <c r="O3789" s="2">
        <f ca="1"/>
        <v>-1.2194821587026647</v>
      </c>
      <c r="X3789" s="2">
        <f ca="1"/>
        <v>41.697778307757495</v>
      </c>
      <c r="AG3789" s="2">
        <f ca="1"/>
        <v>0.57936333691979969</v>
      </c>
      <c r="AH3789" s="2" t="str">
        <f ca="1"/>
        <v>Bad</v>
      </c>
    </row>
    <row r="3790" spans="2:34">
      <c r="B3790" s="2">
        <f ca="1"/>
        <v>0.24251272340708474</v>
      </c>
      <c r="O3790" s="2">
        <f ca="1"/>
        <v>-2.0127982022155275</v>
      </c>
      <c r="X3790" s="2">
        <f ca="1"/>
        <v>45.023763426200254</v>
      </c>
      <c r="AG3790" s="2">
        <f ca="1"/>
        <v>0.87310182082621157</v>
      </c>
      <c r="AH3790" s="2" t="str">
        <f ca="1"/>
        <v>Bad</v>
      </c>
    </row>
    <row r="3791" spans="2:34">
      <c r="B3791" s="2">
        <f ca="1"/>
        <v>0.54543045973829263</v>
      </c>
      <c r="O3791" s="2">
        <f ca="1"/>
        <v>2.5902297332573405</v>
      </c>
      <c r="X3791" s="2">
        <f ca="1"/>
        <v>59.103920918286057</v>
      </c>
      <c r="AG3791" s="2">
        <f ca="1"/>
        <v>0.73141444748275641</v>
      </c>
      <c r="AH3791" s="2" t="str">
        <f ca="1"/>
        <v>Bad</v>
      </c>
    </row>
    <row r="3792" spans="2:34">
      <c r="B3792" s="2">
        <f ca="1"/>
        <v>6.3116795642936152E-2</v>
      </c>
      <c r="O3792" s="2">
        <f ca="1"/>
        <v>-2.1201796838768665</v>
      </c>
      <c r="X3792" s="2">
        <f ca="1"/>
        <v>67.975326484609184</v>
      </c>
      <c r="AG3792" s="2">
        <f ca="1"/>
        <v>0.18609770612928145</v>
      </c>
      <c r="AH3792" s="2" t="str">
        <f ca="1"/>
        <v>OK</v>
      </c>
    </row>
    <row r="3793" spans="2:34">
      <c r="B3793" s="2">
        <f ca="1"/>
        <v>0.67019226184182679</v>
      </c>
      <c r="O3793" s="2">
        <f ca="1"/>
        <v>0.44461646581391634</v>
      </c>
      <c r="X3793" s="2">
        <f ca="1"/>
        <v>46.922207930475963</v>
      </c>
      <c r="AG3793" s="2">
        <f ca="1"/>
        <v>0.85187147726637913</v>
      </c>
      <c r="AH3793" s="2" t="str">
        <f ca="1"/>
        <v>Bad</v>
      </c>
    </row>
    <row r="3794" spans="2:34">
      <c r="B3794" s="2">
        <f ca="1"/>
        <v>0.65359958674120033</v>
      </c>
      <c r="O3794" s="2">
        <f ca="1"/>
        <v>0.66118621325768168</v>
      </c>
      <c r="X3794" s="2">
        <f ca="1"/>
        <v>64.464196034153176</v>
      </c>
      <c r="AG3794" s="2">
        <f ca="1"/>
        <v>0.31185912116328018</v>
      </c>
      <c r="AH3794" s="2" t="str">
        <f ca="1"/>
        <v>OK</v>
      </c>
    </row>
    <row r="3795" spans="2:34">
      <c r="B3795" s="2">
        <f ca="1"/>
        <v>0.59754248769778617</v>
      </c>
      <c r="O3795" s="2">
        <f ca="1"/>
        <v>-0.52025790947349049</v>
      </c>
      <c r="X3795" s="2">
        <f ca="1"/>
        <v>55.516989016238234</v>
      </c>
      <c r="AG3795" s="2">
        <f ca="1"/>
        <v>0.41843547364006217</v>
      </c>
      <c r="AH3795" s="2" t="str">
        <f ca="1"/>
        <v>Bad</v>
      </c>
    </row>
    <row r="3796" spans="2:34">
      <c r="B3796" s="2">
        <f ca="1"/>
        <v>0.46529302593970434</v>
      </c>
      <c r="O3796" s="2">
        <f ca="1"/>
        <v>0.53523231126479043</v>
      </c>
      <c r="X3796" s="2">
        <f ca="1"/>
        <v>20.25554313795983</v>
      </c>
      <c r="AG3796" s="2">
        <f ca="1"/>
        <v>9.9606116650135634E-2</v>
      </c>
      <c r="AH3796" s="2" t="str">
        <f ca="1"/>
        <v>OK</v>
      </c>
    </row>
    <row r="3797" spans="2:34">
      <c r="B3797" s="2">
        <f ca="1"/>
        <v>0.90394216848337061</v>
      </c>
      <c r="O3797" s="2">
        <f ca="1"/>
        <v>-0.70750920900577119</v>
      </c>
      <c r="X3797" s="2">
        <f ca="1"/>
        <v>23.872929839890542</v>
      </c>
      <c r="AG3797" s="2">
        <f ca="1"/>
        <v>0.6722823435509615</v>
      </c>
      <c r="AH3797" s="2" t="str">
        <f ca="1"/>
        <v>Bad</v>
      </c>
    </row>
    <row r="3798" spans="2:34">
      <c r="B3798" s="2">
        <f ca="1"/>
        <v>0.94348960654309111</v>
      </c>
      <c r="O3798" s="2">
        <f ca="1"/>
        <v>-0.11840305836122367</v>
      </c>
      <c r="X3798" s="2">
        <f ca="1"/>
        <v>61.393962944658483</v>
      </c>
      <c r="AG3798" s="2">
        <f ca="1"/>
        <v>0.49761261193802397</v>
      </c>
      <c r="AH3798" s="2" t="str">
        <f ca="1"/>
        <v>Bad</v>
      </c>
    </row>
    <row r="3799" spans="2:34">
      <c r="B3799" s="2">
        <f ca="1"/>
        <v>0.57658397311259546</v>
      </c>
      <c r="O3799" s="2">
        <f ca="1"/>
        <v>-0.29302991604485934</v>
      </c>
      <c r="X3799" s="2">
        <f ca="1"/>
        <v>56.807482145486361</v>
      </c>
      <c r="AG3799" s="2">
        <f ca="1"/>
        <v>0.79463604569032098</v>
      </c>
      <c r="AH3799" s="2" t="str">
        <f ca="1"/>
        <v>Bad</v>
      </c>
    </row>
    <row r="3800" spans="2:34">
      <c r="B3800" s="2">
        <f ca="1"/>
        <v>0.18732272158809682</v>
      </c>
      <c r="O3800" s="2">
        <f ca="1"/>
        <v>6.8505571820614827E-2</v>
      </c>
      <c r="X3800" s="2">
        <f ca="1"/>
        <v>27.20043015433</v>
      </c>
      <c r="AG3800" s="2">
        <f ca="1"/>
        <v>0.68957202478391699</v>
      </c>
      <c r="AH3800" s="2" t="str">
        <f ca="1"/>
        <v>Bad</v>
      </c>
    </row>
    <row r="3801" spans="2:34">
      <c r="B3801" s="2">
        <f ca="1"/>
        <v>0.35054535569083578</v>
      </c>
      <c r="O3801" s="2">
        <f ca="1"/>
        <v>0.45724241606714172</v>
      </c>
      <c r="X3801" s="2">
        <f ca="1"/>
        <v>39.604809991822002</v>
      </c>
      <c r="AG3801" s="2">
        <f ca="1"/>
        <v>8.9246248303209263E-2</v>
      </c>
      <c r="AH3801" s="2" t="str">
        <f ca="1"/>
        <v>OK</v>
      </c>
    </row>
    <row r="3802" spans="2:34">
      <c r="B3802" s="2">
        <f ca="1"/>
        <v>0.39424186179574838</v>
      </c>
      <c r="O3802" s="2">
        <f ca="1"/>
        <v>-0.10694218860241274</v>
      </c>
      <c r="X3802" s="2">
        <f ca="1"/>
        <v>46.251717073997483</v>
      </c>
      <c r="AG3802" s="2">
        <f ca="1"/>
        <v>0.16816411944454934</v>
      </c>
      <c r="AH3802" s="2" t="str">
        <f ca="1"/>
        <v>OK</v>
      </c>
    </row>
    <row r="3803" spans="2:34">
      <c r="B3803" s="2">
        <f ca="1"/>
        <v>2.3272587598743844E-3</v>
      </c>
      <c r="O3803" s="2">
        <f ca="1"/>
        <v>-0.13565611686808557</v>
      </c>
      <c r="X3803" s="2">
        <f ca="1"/>
        <v>51.141270903559331</v>
      </c>
      <c r="AG3803" s="2">
        <f ca="1"/>
        <v>0.52507905349499295</v>
      </c>
      <c r="AH3803" s="2" t="str">
        <f ca="1"/>
        <v>Bad</v>
      </c>
    </row>
    <row r="3804" spans="2:34">
      <c r="B3804" s="2">
        <f ca="1"/>
        <v>0.19353664316980179</v>
      </c>
      <c r="O3804" s="2">
        <f ca="1"/>
        <v>0.28462745513021803</v>
      </c>
      <c r="X3804" s="2">
        <f ca="1"/>
        <v>35.559741688207154</v>
      </c>
      <c r="AG3804" s="2">
        <f ca="1"/>
        <v>0.85725387471923842</v>
      </c>
      <c r="AH3804" s="2" t="str">
        <f ca="1"/>
        <v>Bad</v>
      </c>
    </row>
    <row r="3805" spans="2:34">
      <c r="B3805" s="2">
        <f ca="1"/>
        <v>0.15650257198685646</v>
      </c>
      <c r="O3805" s="2">
        <f ca="1"/>
        <v>0.13015044781713736</v>
      </c>
      <c r="X3805" s="2">
        <f ca="1"/>
        <v>45.059082685322132</v>
      </c>
      <c r="AG3805" s="2">
        <f ca="1"/>
        <v>4.3776005958362063E-2</v>
      </c>
      <c r="AH3805" s="2" t="str">
        <f ca="1"/>
        <v>Good</v>
      </c>
    </row>
    <row r="3806" spans="2:34">
      <c r="B3806" s="2">
        <f ca="1"/>
        <v>0.66073781245217544</v>
      </c>
      <c r="O3806" s="2">
        <f ca="1"/>
        <v>-1.0924441647118011</v>
      </c>
      <c r="X3806" s="2">
        <f ca="1"/>
        <v>75.743274594839846</v>
      </c>
      <c r="AG3806" s="2">
        <f ca="1"/>
        <v>0.57357422285776227</v>
      </c>
      <c r="AH3806" s="2" t="str">
        <f ca="1"/>
        <v>Bad</v>
      </c>
    </row>
    <row r="3807" spans="2:34">
      <c r="B3807" s="2">
        <f ca="1"/>
        <v>4.1288181873887941E-2</v>
      </c>
      <c r="O3807" s="2">
        <f ca="1"/>
        <v>0.22954162976176939</v>
      </c>
      <c r="X3807" s="2">
        <f ca="1"/>
        <v>41.574718198670197</v>
      </c>
      <c r="AG3807" s="2">
        <f ca="1"/>
        <v>0.37580653971432842</v>
      </c>
      <c r="AH3807" s="2" t="str">
        <f ca="1"/>
        <v>OK</v>
      </c>
    </row>
    <row r="3808" spans="2:34">
      <c r="B3808" s="2">
        <f ca="1"/>
        <v>0.30904077019467979</v>
      </c>
      <c r="O3808" s="2">
        <f ca="1"/>
        <v>-0.75582001391993325</v>
      </c>
      <c r="X3808" s="2">
        <f ca="1"/>
        <v>61.776038215609496</v>
      </c>
      <c r="AG3808" s="2">
        <f ca="1"/>
        <v>9.5211951492200519E-2</v>
      </c>
      <c r="AH3808" s="2" t="str">
        <f ca="1"/>
        <v>OK</v>
      </c>
    </row>
    <row r="3809" spans="2:34">
      <c r="B3809" s="2">
        <f ca="1"/>
        <v>0.70958731065571912</v>
      </c>
      <c r="O3809" s="2">
        <f ca="1"/>
        <v>-0.78623691912532734</v>
      </c>
      <c r="X3809" s="2">
        <f ca="1"/>
        <v>69.464981862118762</v>
      </c>
      <c r="AG3809" s="2">
        <f ca="1"/>
        <v>0.28716136234275602</v>
      </c>
      <c r="AH3809" s="2" t="str">
        <f ca="1"/>
        <v>OK</v>
      </c>
    </row>
    <row r="3810" spans="2:34">
      <c r="B3810" s="2">
        <f ca="1"/>
        <v>0.90447821991307853</v>
      </c>
      <c r="O3810" s="2">
        <f ca="1"/>
        <v>-0.55643357973977869</v>
      </c>
      <c r="X3810" s="2">
        <f ca="1"/>
        <v>80.539794489633536</v>
      </c>
      <c r="AG3810" s="2">
        <f ca="1"/>
        <v>0.1396652451006497</v>
      </c>
      <c r="AH3810" s="2" t="str">
        <f ca="1"/>
        <v>OK</v>
      </c>
    </row>
    <row r="3811" spans="2:34">
      <c r="B3811" s="2">
        <f ca="1"/>
        <v>0.54619468604321697</v>
      </c>
      <c r="O3811" s="2">
        <f ca="1"/>
        <v>1.1948442729169024</v>
      </c>
      <c r="X3811" s="2">
        <f ca="1"/>
        <v>72.325916464040091</v>
      </c>
      <c r="AG3811" s="2">
        <f ca="1"/>
        <v>0.74667201070587419</v>
      </c>
      <c r="AH3811" s="2" t="str">
        <f ca="1"/>
        <v>Bad</v>
      </c>
    </row>
    <row r="3812" spans="2:34">
      <c r="B3812" s="2">
        <f ca="1"/>
        <v>0.48026044816977964</v>
      </c>
      <c r="O3812" s="2">
        <f ca="1"/>
        <v>-1.3558128839785855</v>
      </c>
      <c r="X3812" s="2">
        <f ca="1"/>
        <v>52.126637520307497</v>
      </c>
      <c r="AG3812" s="2">
        <f ca="1"/>
        <v>5.4603547380308592E-2</v>
      </c>
      <c r="AH3812" s="2" t="str">
        <f ca="1"/>
        <v>OK</v>
      </c>
    </row>
    <row r="3813" spans="2:34">
      <c r="B3813" s="2">
        <f ca="1"/>
        <v>0.80283487020238686</v>
      </c>
      <c r="O3813" s="2">
        <f ca="1"/>
        <v>2.0772619291661205</v>
      </c>
      <c r="X3813" s="2">
        <f ca="1"/>
        <v>77.505118406207728</v>
      </c>
      <c r="AG3813" s="2">
        <f ca="1"/>
        <v>0.27632507205329504</v>
      </c>
      <c r="AH3813" s="2" t="str">
        <f ca="1"/>
        <v>OK</v>
      </c>
    </row>
    <row r="3814" spans="2:34">
      <c r="B3814" s="2">
        <f ca="1"/>
        <v>5.9611472647219443E-2</v>
      </c>
      <c r="O3814" s="2">
        <f ca="1"/>
        <v>0.15818693150182764</v>
      </c>
      <c r="X3814" s="2">
        <f ca="1"/>
        <v>68.418207805484187</v>
      </c>
      <c r="AG3814" s="2">
        <f ca="1"/>
        <v>0.83532602831520797</v>
      </c>
      <c r="AH3814" s="2" t="str">
        <f ca="1"/>
        <v>Bad</v>
      </c>
    </row>
    <row r="3815" spans="2:34">
      <c r="B3815" s="2">
        <f ca="1"/>
        <v>0.41224329454034758</v>
      </c>
      <c r="O3815" s="2">
        <f ca="1"/>
        <v>-1.4153168098120614</v>
      </c>
      <c r="X3815" s="2">
        <f ca="1"/>
        <v>59.885913977089558</v>
      </c>
      <c r="AG3815" s="2">
        <f ca="1"/>
        <v>6.9012977580654278E-2</v>
      </c>
      <c r="AH3815" s="2" t="str">
        <f ca="1"/>
        <v>OK</v>
      </c>
    </row>
    <row r="3816" spans="2:34">
      <c r="B3816" s="2">
        <f ca="1"/>
        <v>0.66781309954142221</v>
      </c>
      <c r="O3816" s="2">
        <f ca="1"/>
        <v>-1.4663686557229569</v>
      </c>
      <c r="X3816" s="2">
        <f ca="1"/>
        <v>44.023098244250242</v>
      </c>
      <c r="AG3816" s="2">
        <f ca="1"/>
        <v>0.85908214304855512</v>
      </c>
      <c r="AH3816" s="2" t="str">
        <f ca="1"/>
        <v>Bad</v>
      </c>
    </row>
    <row r="3817" spans="2:34">
      <c r="B3817" s="2">
        <f ca="1"/>
        <v>0.73361817832457832</v>
      </c>
      <c r="O3817" s="2">
        <f ca="1"/>
        <v>0.60357988855827593</v>
      </c>
      <c r="X3817" s="2">
        <f ca="1"/>
        <v>52.35344464508583</v>
      </c>
      <c r="AG3817" s="2">
        <f ca="1"/>
        <v>0.8539831229385455</v>
      </c>
      <c r="AH3817" s="2" t="str">
        <f ca="1"/>
        <v>Bad</v>
      </c>
    </row>
    <row r="3818" spans="2:34">
      <c r="B3818" s="2">
        <f ca="1"/>
        <v>0.15574860935792345</v>
      </c>
      <c r="O3818" s="2">
        <f ca="1"/>
        <v>-7.0805645175332013E-2</v>
      </c>
      <c r="X3818" s="2">
        <f ca="1"/>
        <v>72.384260040983037</v>
      </c>
      <c r="AG3818" s="2">
        <f ca="1"/>
        <v>0.9138610558333462</v>
      </c>
      <c r="AH3818" s="2" t="str">
        <f ca="1"/>
        <v>Bad</v>
      </c>
    </row>
    <row r="3819" spans="2:34">
      <c r="B3819" s="2">
        <f ca="1"/>
        <v>0.33078838781825581</v>
      </c>
      <c r="O3819" s="2">
        <f ca="1"/>
        <v>0.39917900197106265</v>
      </c>
      <c r="X3819" s="2">
        <f ca="1"/>
        <v>49.218504627076868</v>
      </c>
      <c r="AG3819" s="2">
        <f ca="1"/>
        <v>0.21895804698174848</v>
      </c>
      <c r="AH3819" s="2" t="str">
        <f ca="1"/>
        <v>OK</v>
      </c>
    </row>
    <row r="3820" spans="2:34">
      <c r="B3820" s="2">
        <f ca="1"/>
        <v>0.55857482336256425</v>
      </c>
      <c r="O3820" s="2">
        <f ca="1"/>
        <v>-8.9037026795032934E-2</v>
      </c>
      <c r="X3820" s="2">
        <f ca="1"/>
        <v>35.963496658848186</v>
      </c>
      <c r="AG3820" s="2">
        <f ca="1"/>
        <v>0.55207129463782123</v>
      </c>
      <c r="AH3820" s="2" t="str">
        <f ca="1"/>
        <v>Bad</v>
      </c>
    </row>
    <row r="3821" spans="2:34">
      <c r="B3821" s="2">
        <f ca="1"/>
        <v>0.30950469100949585</v>
      </c>
      <c r="O3821" s="2">
        <f ca="1"/>
        <v>-0.53966601482100385</v>
      </c>
      <c r="X3821" s="2">
        <f ca="1"/>
        <v>65.045510052492588</v>
      </c>
      <c r="AG3821" s="2">
        <f ca="1"/>
        <v>0.33845830776768304</v>
      </c>
      <c r="AH3821" s="2" t="str">
        <f ca="1"/>
        <v>OK</v>
      </c>
    </row>
    <row r="3822" spans="2:34">
      <c r="B3822" s="2">
        <f ca="1"/>
        <v>0.93153043697550175</v>
      </c>
      <c r="O3822" s="2">
        <f ca="1"/>
        <v>-0.94386714158194229</v>
      </c>
      <c r="X3822" s="2">
        <f ca="1"/>
        <v>63.864203005751826</v>
      </c>
      <c r="AG3822" s="2">
        <f ca="1"/>
        <v>0.1850152086994088</v>
      </c>
      <c r="AH3822" s="2" t="str">
        <f ca="1"/>
        <v>OK</v>
      </c>
    </row>
    <row r="3823" spans="2:34">
      <c r="B3823" s="2">
        <f ca="1"/>
        <v>0.69184546115500978</v>
      </c>
      <c r="O3823" s="2">
        <f ca="1"/>
        <v>0.51079219116601127</v>
      </c>
      <c r="X3823" s="2">
        <f ca="1"/>
        <v>69.93756789198703</v>
      </c>
      <c r="AG3823" s="2">
        <f ca="1"/>
        <v>0.79234921470148767</v>
      </c>
      <c r="AH3823" s="2" t="str">
        <f ca="1"/>
        <v>Bad</v>
      </c>
    </row>
    <row r="3824" spans="2:34">
      <c r="B3824" s="2">
        <f ca="1"/>
        <v>0.62713358331687075</v>
      </c>
      <c r="O3824" s="2">
        <f ca="1"/>
        <v>5.664219422870073E-3</v>
      </c>
      <c r="X3824" s="2">
        <f ca="1"/>
        <v>33.341660499299806</v>
      </c>
      <c r="AG3824" s="2">
        <f ca="1"/>
        <v>0.13928934883622945</v>
      </c>
      <c r="AH3824" s="2" t="str">
        <f ca="1"/>
        <v>OK</v>
      </c>
    </row>
    <row r="3825" spans="2:34">
      <c r="B3825" s="2">
        <f ca="1"/>
        <v>0.39605520989603171</v>
      </c>
      <c r="O3825" s="2">
        <f ca="1"/>
        <v>1.396360564360865</v>
      </c>
      <c r="X3825" s="2">
        <f ca="1"/>
        <v>68.216806612268044</v>
      </c>
      <c r="AG3825" s="2">
        <f ca="1"/>
        <v>0.2912006587427538</v>
      </c>
      <c r="AH3825" s="2" t="str">
        <f ca="1"/>
        <v>OK</v>
      </c>
    </row>
    <row r="3826" spans="2:34">
      <c r="B3826" s="2">
        <f ca="1"/>
        <v>0.21018263845406349</v>
      </c>
      <c r="O3826" s="2">
        <f ca="1"/>
        <v>-0.20688065982277717</v>
      </c>
      <c r="X3826" s="2">
        <f ca="1"/>
        <v>48.477791468526085</v>
      </c>
      <c r="AG3826" s="2">
        <f ca="1"/>
        <v>0.81412099689364359</v>
      </c>
      <c r="AH3826" s="2" t="str">
        <f ca="1"/>
        <v>Bad</v>
      </c>
    </row>
    <row r="3827" spans="2:34">
      <c r="B3827" s="2">
        <f ca="1"/>
        <v>0.21930021819638057</v>
      </c>
      <c r="O3827" s="2">
        <f ca="1"/>
        <v>-0.52564267442062151</v>
      </c>
      <c r="X3827" s="2">
        <f ca="1"/>
        <v>61.643919618600549</v>
      </c>
      <c r="AG3827" s="2">
        <f ca="1"/>
        <v>0.77418428741896972</v>
      </c>
      <c r="AH3827" s="2" t="str">
        <f ca="1"/>
        <v>Bad</v>
      </c>
    </row>
    <row r="3828" spans="2:34">
      <c r="B3828" s="2">
        <f ca="1"/>
        <v>0.73197811505026067</v>
      </c>
      <c r="O3828" s="2">
        <f ca="1"/>
        <v>-0.69497128772687233</v>
      </c>
      <c r="X3828" s="2">
        <f ca="1"/>
        <v>53.314253281013222</v>
      </c>
      <c r="AG3828" s="2">
        <f ca="1"/>
        <v>0.86591405858003223</v>
      </c>
      <c r="AH3828" s="2" t="str">
        <f ca="1"/>
        <v>Bad</v>
      </c>
    </row>
    <row r="3829" spans="2:34">
      <c r="B3829" s="2">
        <f ca="1"/>
        <v>6.926486333615034E-2</v>
      </c>
      <c r="O3829" s="2">
        <f ca="1"/>
        <v>-0.40531486165840097</v>
      </c>
      <c r="X3829" s="2">
        <f ca="1"/>
        <v>37.666213123760897</v>
      </c>
      <c r="AG3829" s="2">
        <f ca="1"/>
        <v>4.9975496348245274E-2</v>
      </c>
      <c r="AH3829" s="2" t="str">
        <f ca="1"/>
        <v>Good</v>
      </c>
    </row>
    <row r="3830" spans="2:34">
      <c r="B3830" s="2">
        <f ca="1"/>
        <v>0.5804316648819603</v>
      </c>
      <c r="O3830" s="2">
        <f ca="1"/>
        <v>-0.36258508290415575</v>
      </c>
      <c r="X3830" s="2">
        <f ca="1"/>
        <v>29.467840371842044</v>
      </c>
      <c r="AG3830" s="2">
        <f ca="1"/>
        <v>0.3461472546777411</v>
      </c>
      <c r="AH3830" s="2" t="str">
        <f ca="1"/>
        <v>OK</v>
      </c>
    </row>
    <row r="3831" spans="2:34">
      <c r="B3831" s="2">
        <f ca="1"/>
        <v>0.36289004624677434</v>
      </c>
      <c r="O3831" s="2">
        <f ca="1"/>
        <v>0.73363655150613538</v>
      </c>
      <c r="X3831" s="2">
        <f ca="1"/>
        <v>44.484082434423229</v>
      </c>
      <c r="AG3831" s="2">
        <f ca="1"/>
        <v>0.7114284519193137</v>
      </c>
      <c r="AH3831" s="2" t="str">
        <f ca="1"/>
        <v>Bad</v>
      </c>
    </row>
    <row r="3832" spans="2:34">
      <c r="B3832" s="2">
        <f ca="1"/>
        <v>0.25338097660880154</v>
      </c>
      <c r="O3832" s="2">
        <f ca="1"/>
        <v>0.56397950637676264</v>
      </c>
      <c r="X3832" s="2">
        <f ca="1"/>
        <v>48.967415567313367</v>
      </c>
      <c r="AG3832" s="2">
        <f ca="1"/>
        <v>0.43640850134177933</v>
      </c>
      <c r="AH3832" s="2" t="str">
        <f ca="1"/>
        <v>Bad</v>
      </c>
    </row>
    <row r="3833" spans="2:34">
      <c r="B3833" s="2">
        <f ca="1"/>
        <v>0.56014391912804862</v>
      </c>
      <c r="O3833" s="2">
        <f ca="1"/>
        <v>0.52002941356551391</v>
      </c>
      <c r="X3833" s="2">
        <f ca="1"/>
        <v>52.024022927655935</v>
      </c>
      <c r="AG3833" s="2">
        <f ca="1"/>
        <v>0.78288812506276773</v>
      </c>
      <c r="AH3833" s="2" t="str">
        <f ca="1"/>
        <v>Bad</v>
      </c>
    </row>
    <row r="3834" spans="2:34">
      <c r="B3834" s="2">
        <f ca="1"/>
        <v>0.530449534897244</v>
      </c>
      <c r="O3834" s="2">
        <f ca="1"/>
        <v>-0.16536421608767204</v>
      </c>
      <c r="X3834" s="2">
        <f ca="1"/>
        <v>36.183978369503713</v>
      </c>
      <c r="AG3834" s="2">
        <f ca="1"/>
        <v>0.37515697236755541</v>
      </c>
      <c r="AH3834" s="2" t="str">
        <f ca="1"/>
        <v>OK</v>
      </c>
    </row>
    <row r="3835" spans="2:34">
      <c r="B3835" s="2">
        <f ca="1"/>
        <v>2.1502534367520143E-2</v>
      </c>
      <c r="O3835" s="2">
        <f ca="1"/>
        <v>-0.76131808383625121</v>
      </c>
      <c r="X3835" s="2">
        <f ca="1"/>
        <v>49.30749376385527</v>
      </c>
      <c r="AG3835" s="2">
        <f ca="1"/>
        <v>0.92576086391220058</v>
      </c>
      <c r="AH3835" s="2" t="str">
        <f ca="1"/>
        <v>Bad</v>
      </c>
    </row>
    <row r="3836" spans="2:34">
      <c r="B3836" s="2">
        <f ca="1"/>
        <v>0.34154826052836951</v>
      </c>
      <c r="O3836" s="2">
        <f ca="1"/>
        <v>-1.1307329731908706</v>
      </c>
      <c r="X3836" s="2">
        <f ca="1"/>
        <v>37.432516567824756</v>
      </c>
      <c r="AG3836" s="2">
        <f ca="1"/>
        <v>0.25158090307504288</v>
      </c>
      <c r="AH3836" s="2" t="str">
        <f ca="1"/>
        <v>OK</v>
      </c>
    </row>
    <row r="3837" spans="2:34">
      <c r="B3837" s="2">
        <f ca="1"/>
        <v>0.27129055418606018</v>
      </c>
      <c r="O3837" s="2">
        <f ca="1"/>
        <v>-1.2202917569873997</v>
      </c>
      <c r="X3837" s="2">
        <f ca="1"/>
        <v>73.436143234877235</v>
      </c>
      <c r="AG3837" s="2">
        <f ca="1"/>
        <v>0.76372470253874836</v>
      </c>
      <c r="AH3837" s="2" t="str">
        <f ca="1"/>
        <v>Bad</v>
      </c>
    </row>
    <row r="3838" spans="2:34">
      <c r="B3838" s="2">
        <f ca="1"/>
        <v>0.24051379518091309</v>
      </c>
      <c r="O3838" s="2">
        <f ca="1"/>
        <v>-0.23157394499175951</v>
      </c>
      <c r="X3838" s="2">
        <f ca="1"/>
        <v>43.208443418522833</v>
      </c>
      <c r="AG3838" s="2">
        <f ca="1"/>
        <v>0.66407788894498632</v>
      </c>
      <c r="AH3838" s="2" t="str">
        <f ca="1"/>
        <v>Bad</v>
      </c>
    </row>
    <row r="3839" spans="2:34">
      <c r="B3839" s="2">
        <f ca="1"/>
        <v>0.70903528210859212</v>
      </c>
      <c r="O3839" s="2">
        <f ca="1"/>
        <v>-0.30352399634762867</v>
      </c>
      <c r="X3839" s="2">
        <f ca="1"/>
        <v>60.301478797265524</v>
      </c>
      <c r="AG3839" s="2">
        <f ca="1"/>
        <v>3.742668963700857E-2</v>
      </c>
      <c r="AH3839" s="2" t="str">
        <f ca="1"/>
        <v>Good</v>
      </c>
    </row>
    <row r="3840" spans="2:34">
      <c r="B3840" s="2">
        <f ca="1"/>
        <v>0.12213794702280412</v>
      </c>
      <c r="O3840" s="2">
        <f ca="1"/>
        <v>0.61681879557233577</v>
      </c>
      <c r="X3840" s="2">
        <f ca="1"/>
        <v>53.728597060707472</v>
      </c>
      <c r="AG3840" s="2">
        <f ca="1"/>
        <v>0.95311244494989866</v>
      </c>
      <c r="AH3840" s="2" t="str">
        <f ca="1"/>
        <v>Bad</v>
      </c>
    </row>
    <row r="3841" spans="2:34">
      <c r="B3841" s="2">
        <f ca="1"/>
        <v>0.92871097857193097</v>
      </c>
      <c r="O3841" s="2">
        <f ca="1"/>
        <v>0.53523075978195567</v>
      </c>
      <c r="X3841" s="2">
        <f ca="1"/>
        <v>46.061321918450744</v>
      </c>
      <c r="AG3841" s="2">
        <f ca="1"/>
        <v>0.68311917363530483</v>
      </c>
      <c r="AH3841" s="2" t="str">
        <f ca="1"/>
        <v>Bad</v>
      </c>
    </row>
    <row r="3842" spans="2:34">
      <c r="B3842" s="2">
        <f ca="1"/>
        <v>0.38978779497479077</v>
      </c>
      <c r="O3842" s="2">
        <f ca="1"/>
        <v>1.2863462729268109</v>
      </c>
      <c r="X3842" s="2">
        <f ca="1"/>
        <v>24.485707124216312</v>
      </c>
      <c r="AG3842" s="2">
        <f ca="1"/>
        <v>8.4276104152916975E-2</v>
      </c>
      <c r="AH3842" s="2" t="str">
        <f ca="1"/>
        <v>OK</v>
      </c>
    </row>
    <row r="3843" spans="2:34">
      <c r="B3843" s="2">
        <f ca="1"/>
        <v>0.53355724426398088</v>
      </c>
      <c r="O3843" s="2">
        <f ca="1"/>
        <v>-0.21395432713332402</v>
      </c>
      <c r="X3843" s="2">
        <f ca="1"/>
        <v>38.23699088226175</v>
      </c>
      <c r="AG3843" s="2">
        <f ca="1"/>
        <v>0.15910707210172337</v>
      </c>
      <c r="AH3843" s="2" t="str">
        <f ca="1"/>
        <v>OK</v>
      </c>
    </row>
    <row r="3844" spans="2:34">
      <c r="B3844" s="2">
        <f ca="1"/>
        <v>5.4506301611091379E-2</v>
      </c>
      <c r="O3844" s="2">
        <f ca="1"/>
        <v>-1.2920930707908853</v>
      </c>
      <c r="X3844" s="2">
        <f ca="1"/>
        <v>36.528209274541091</v>
      </c>
      <c r="AG3844" s="2">
        <f ca="1"/>
        <v>0.10863407179112916</v>
      </c>
      <c r="AH3844" s="2" t="str">
        <f ca="1"/>
        <v>OK</v>
      </c>
    </row>
    <row r="3845" spans="2:34">
      <c r="B3845" s="2">
        <f ca="1"/>
        <v>0.90080067385715012</v>
      </c>
      <c r="O3845" s="2">
        <f ca="1"/>
        <v>-0.31625415147043295</v>
      </c>
      <c r="X3845" s="2">
        <f ca="1"/>
        <v>49.05276248572423</v>
      </c>
      <c r="AG3845" s="2">
        <f ca="1"/>
        <v>0.95301460582222219</v>
      </c>
      <c r="AH3845" s="2" t="str">
        <f ca="1"/>
        <v>Bad</v>
      </c>
    </row>
    <row r="3846" spans="2:34">
      <c r="B3846" s="2">
        <f ca="1"/>
        <v>0.24405327307417912</v>
      </c>
      <c r="O3846" s="2">
        <f ca="1"/>
        <v>-0.28460163779183112</v>
      </c>
      <c r="X3846" s="2">
        <f ca="1"/>
        <v>64.778143927874964</v>
      </c>
      <c r="AG3846" s="2">
        <f ca="1"/>
        <v>0.7815722260259732</v>
      </c>
      <c r="AH3846" s="2" t="str">
        <f ca="1"/>
        <v>Bad</v>
      </c>
    </row>
    <row r="3847" spans="2:34">
      <c r="B3847" s="2">
        <f ca="1"/>
        <v>0.49617215597211728</v>
      </c>
      <c r="O3847" s="2">
        <f ca="1"/>
        <v>-0.57379784920617638</v>
      </c>
      <c r="X3847" s="2">
        <f ca="1"/>
        <v>66.099637842152944</v>
      </c>
      <c r="AG3847" s="2">
        <f ca="1"/>
        <v>0.70189639306832197</v>
      </c>
      <c r="AH3847" s="2" t="str">
        <f ca="1"/>
        <v>Bad</v>
      </c>
    </row>
    <row r="3848" spans="2:34">
      <c r="B3848" s="2">
        <f ca="1"/>
        <v>0.88637867050216479</v>
      </c>
      <c r="O3848" s="2">
        <f ca="1"/>
        <v>-1.7284339163807321</v>
      </c>
      <c r="X3848" s="2">
        <f ca="1"/>
        <v>53.33968183626726</v>
      </c>
      <c r="AG3848" s="2">
        <f ca="1"/>
        <v>0.91820604487593571</v>
      </c>
      <c r="AH3848" s="2" t="str">
        <f ca="1"/>
        <v>Bad</v>
      </c>
    </row>
    <row r="3849" spans="2:34">
      <c r="B3849" s="2">
        <f ca="1"/>
        <v>1.3872841867193175E-2</v>
      </c>
      <c r="O3849" s="2">
        <f ca="1"/>
        <v>-0.96546230252709209</v>
      </c>
      <c r="X3849" s="2">
        <f ca="1"/>
        <v>43.630968328123139</v>
      </c>
      <c r="AG3849" s="2">
        <f ca="1"/>
        <v>5.2131481870480556E-2</v>
      </c>
      <c r="AH3849" s="2" t="str">
        <f ca="1"/>
        <v>OK</v>
      </c>
    </row>
    <row r="3850" spans="2:34">
      <c r="B3850" s="2">
        <f ca="1"/>
        <v>0.40863175634986759</v>
      </c>
      <c r="O3850" s="2">
        <f ca="1"/>
        <v>1.4244022902074012</v>
      </c>
      <c r="X3850" s="2">
        <f ca="1"/>
        <v>53.603190623509406</v>
      </c>
      <c r="AG3850" s="2">
        <f ca="1"/>
        <v>0.21770094576848642</v>
      </c>
      <c r="AH3850" s="2" t="str">
        <f ca="1"/>
        <v>OK</v>
      </c>
    </row>
    <row r="3851" spans="2:34">
      <c r="B3851" s="2">
        <f ca="1"/>
        <v>0.990712391937141</v>
      </c>
      <c r="O3851" s="2">
        <f ca="1"/>
        <v>2.3799987001421424E-2</v>
      </c>
      <c r="X3851" s="2">
        <f ca="1"/>
        <v>45.277756196423951</v>
      </c>
      <c r="AG3851" s="2">
        <f ca="1"/>
        <v>0.73452363030921886</v>
      </c>
      <c r="AH3851" s="2" t="str">
        <f ca="1"/>
        <v>Bad</v>
      </c>
    </row>
    <row r="3852" spans="2:34">
      <c r="B3852" s="2">
        <f ca="1"/>
        <v>0.64019920210121573</v>
      </c>
      <c r="O3852" s="2">
        <f ca="1"/>
        <v>0.17003658099795868</v>
      </c>
      <c r="X3852" s="2">
        <f ca="1"/>
        <v>73.509856450375608</v>
      </c>
      <c r="AG3852" s="2">
        <f ca="1"/>
        <v>0.59401137518920866</v>
      </c>
      <c r="AH3852" s="2" t="str">
        <f ca="1"/>
        <v>Bad</v>
      </c>
    </row>
    <row r="3853" spans="2:34">
      <c r="B3853" s="2">
        <f ca="1"/>
        <v>0.33569067352802695</v>
      </c>
      <c r="O3853" s="2">
        <f ca="1"/>
        <v>0.3010342416027002</v>
      </c>
      <c r="X3853" s="2">
        <f ca="1"/>
        <v>63.494415144729913</v>
      </c>
      <c r="AG3853" s="2">
        <f ca="1"/>
        <v>0.95894994750868046</v>
      </c>
      <c r="AH3853" s="2" t="str">
        <f ca="1"/>
        <v>Bad</v>
      </c>
    </row>
    <row r="3854" spans="2:34">
      <c r="B3854" s="2">
        <f ca="1"/>
        <v>0.31056010881876794</v>
      </c>
      <c r="O3854" s="2">
        <f ca="1"/>
        <v>1.3263389234051695</v>
      </c>
      <c r="X3854" s="2">
        <f ca="1"/>
        <v>64.513670283134047</v>
      </c>
      <c r="AG3854" s="2">
        <f ca="1"/>
        <v>0.45189924819831218</v>
      </c>
      <c r="AH3854" s="2" t="str">
        <f ca="1"/>
        <v>Bad</v>
      </c>
    </row>
    <row r="3855" spans="2:34">
      <c r="B3855" s="2">
        <f ca="1"/>
        <v>0.69609470857474731</v>
      </c>
      <c r="O3855" s="2">
        <f ca="1"/>
        <v>0.74137590473164405</v>
      </c>
      <c r="X3855" s="2">
        <f ca="1"/>
        <v>39.279469183008679</v>
      </c>
      <c r="AG3855" s="2">
        <f ca="1"/>
        <v>0.90335617608640284</v>
      </c>
      <c r="AH3855" s="2" t="str">
        <f ca="1"/>
        <v>Bad</v>
      </c>
    </row>
    <row r="3856" spans="2:34">
      <c r="B3856" s="2">
        <f ca="1"/>
        <v>1.2623929480955143E-2</v>
      </c>
      <c r="O3856" s="2">
        <f ca="1"/>
        <v>-0.21501833673396492</v>
      </c>
      <c r="X3856" s="2">
        <f ca="1"/>
        <v>53.595857734683619</v>
      </c>
      <c r="AG3856" s="2">
        <f ca="1"/>
        <v>0.91456111474411506</v>
      </c>
      <c r="AH3856" s="2" t="str">
        <f ca="1"/>
        <v>Bad</v>
      </c>
    </row>
    <row r="3857" spans="2:34">
      <c r="B3857" s="2">
        <f ca="1"/>
        <v>0.25962062362237637</v>
      </c>
      <c r="O3857" s="2">
        <f ca="1"/>
        <v>0.49197551431453362</v>
      </c>
      <c r="X3857" s="2">
        <f ca="1"/>
        <v>78.511832927294989</v>
      </c>
      <c r="AG3857" s="2">
        <f ca="1"/>
        <v>0.24437856433887095</v>
      </c>
      <c r="AH3857" s="2" t="str">
        <f ca="1"/>
        <v>OK</v>
      </c>
    </row>
    <row r="3858" spans="2:34">
      <c r="B3858" s="2">
        <f ca="1"/>
        <v>0.16557502850144235</v>
      </c>
      <c r="O3858" s="2">
        <f ca="1"/>
        <v>-1.2954745234699099</v>
      </c>
      <c r="X3858" s="2">
        <f ca="1"/>
        <v>57.157024926486741</v>
      </c>
      <c r="AG3858" s="2">
        <f ca="1"/>
        <v>0.56197922772541054</v>
      </c>
      <c r="AH3858" s="2" t="str">
        <f ca="1"/>
        <v>Bad</v>
      </c>
    </row>
    <row r="3859" spans="2:34">
      <c r="B3859" s="2">
        <f ca="1"/>
        <v>0.24839416308167328</v>
      </c>
      <c r="O3859" s="2">
        <f ca="1"/>
        <v>-1.1099013235181707</v>
      </c>
      <c r="X3859" s="2">
        <f ca="1"/>
        <v>37.216998591021976</v>
      </c>
      <c r="AG3859" s="2">
        <f ca="1"/>
        <v>0.13691084904337614</v>
      </c>
      <c r="AH3859" s="2" t="str">
        <f ca="1"/>
        <v>OK</v>
      </c>
    </row>
    <row r="3860" spans="2:34">
      <c r="B3860" s="2">
        <f ca="1"/>
        <v>0.93507971902293718</v>
      </c>
      <c r="O3860" s="2">
        <f ca="1"/>
        <v>-1.5441869392706034</v>
      </c>
      <c r="X3860" s="2">
        <f ca="1"/>
        <v>38.569152232912465</v>
      </c>
      <c r="AG3860" s="2">
        <f ca="1"/>
        <v>0.25022325674239099</v>
      </c>
      <c r="AH3860" s="2" t="str">
        <f ca="1"/>
        <v>OK</v>
      </c>
    </row>
    <row r="3861" spans="2:34">
      <c r="B3861" s="2">
        <f ca="1"/>
        <v>0.22012995492578069</v>
      </c>
      <c r="O3861" s="2">
        <f ca="1"/>
        <v>0.91104506718662481</v>
      </c>
      <c r="X3861" s="2">
        <f ca="1"/>
        <v>30.389574920545968</v>
      </c>
      <c r="AG3861" s="2">
        <f ca="1"/>
        <v>0.21476093468101998</v>
      </c>
      <c r="AH3861" s="2" t="str">
        <f ca="1"/>
        <v>OK</v>
      </c>
    </row>
    <row r="3862" spans="2:34">
      <c r="B3862" s="2">
        <f ca="1"/>
        <v>0.50921513900786075</v>
      </c>
      <c r="O3862" s="2">
        <f ca="1"/>
        <v>1.368435612005465</v>
      </c>
      <c r="X3862" s="2">
        <f ca="1"/>
        <v>57.557307606610124</v>
      </c>
      <c r="AG3862" s="2">
        <f ca="1"/>
        <v>0.85997683052163332</v>
      </c>
      <c r="AH3862" s="2" t="str">
        <f ca="1"/>
        <v>Bad</v>
      </c>
    </row>
    <row r="3863" spans="2:34">
      <c r="B3863" s="2">
        <f ca="1"/>
        <v>0.2223704034322338</v>
      </c>
      <c r="O3863" s="2">
        <f ca="1"/>
        <v>0.25635744452121473</v>
      </c>
      <c r="X3863" s="2">
        <f ca="1"/>
        <v>59.752556502754189</v>
      </c>
      <c r="AG3863" s="2">
        <f ca="1"/>
        <v>0.71145707950609705</v>
      </c>
      <c r="AH3863" s="2" t="str">
        <f ca="1"/>
        <v>Bad</v>
      </c>
    </row>
    <row r="3864" spans="2:34">
      <c r="B3864" s="2">
        <f ca="1"/>
        <v>0.68377147616680678</v>
      </c>
      <c r="O3864" s="2">
        <f ca="1"/>
        <v>-0.4612461718392547</v>
      </c>
      <c r="X3864" s="2">
        <f ca="1"/>
        <v>40.975039237731899</v>
      </c>
      <c r="AG3864" s="2">
        <f ca="1"/>
        <v>7.2716475719806661E-2</v>
      </c>
      <c r="AH3864" s="2" t="str">
        <f ca="1"/>
        <v>OK</v>
      </c>
    </row>
    <row r="3865" spans="2:34">
      <c r="B3865" s="2">
        <f ca="1"/>
        <v>0.53070062439505272</v>
      </c>
      <c r="O3865" s="2">
        <f ca="1"/>
        <v>-0.40780603916923552</v>
      </c>
      <c r="X3865" s="2">
        <f ca="1"/>
        <v>35.337779195221522</v>
      </c>
      <c r="AG3865" s="2">
        <f ca="1"/>
        <v>0.34938425692398423</v>
      </c>
      <c r="AH3865" s="2" t="str">
        <f ca="1"/>
        <v>OK</v>
      </c>
    </row>
    <row r="3866" spans="2:34">
      <c r="B3866" s="2">
        <f ca="1"/>
        <v>7.3747366608002851E-2</v>
      </c>
      <c r="O3866" s="2">
        <f ca="1"/>
        <v>-1.782502154359785</v>
      </c>
      <c r="X3866" s="2">
        <f ca="1"/>
        <v>47.79511223934449</v>
      </c>
      <c r="AG3866" s="2">
        <f ca="1"/>
        <v>0.96588537448840728</v>
      </c>
      <c r="AH3866" s="2" t="str">
        <f ca="1"/>
        <v>Bad</v>
      </c>
    </row>
    <row r="3867" spans="2:34">
      <c r="B3867" s="2">
        <f ca="1"/>
        <v>0.89857634728757696</v>
      </c>
      <c r="O3867" s="2">
        <f ca="1"/>
        <v>-0.30970723994083516</v>
      </c>
      <c r="X3867" s="2">
        <f ca="1"/>
        <v>57.794908280643369</v>
      </c>
      <c r="AG3867" s="2">
        <f ca="1"/>
        <v>0.7869408682647554</v>
      </c>
      <c r="AH3867" s="2" t="str">
        <f ca="1"/>
        <v>Bad</v>
      </c>
    </row>
    <row r="3868" spans="2:34">
      <c r="B3868" s="2">
        <f ca="1"/>
        <v>6.6816653678858362E-2</v>
      </c>
      <c r="O3868" s="2">
        <f ca="1"/>
        <v>-0.32834057084688995</v>
      </c>
      <c r="X3868" s="2">
        <f ca="1"/>
        <v>68.55725191419144</v>
      </c>
      <c r="AG3868" s="2">
        <f ca="1"/>
        <v>0.95091064595863917</v>
      </c>
      <c r="AH3868" s="2" t="str">
        <f ca="1"/>
        <v>Bad</v>
      </c>
    </row>
    <row r="3869" spans="2:34">
      <c r="B3869" s="2">
        <f ca="1"/>
        <v>0.40178021615221815</v>
      </c>
      <c r="O3869" s="2">
        <f ca="1"/>
        <v>-2.1147987313162719</v>
      </c>
      <c r="X3869" s="2">
        <f ca="1"/>
        <v>30.459051192304685</v>
      </c>
      <c r="AG3869" s="2">
        <f ca="1"/>
        <v>0.31438505390239269</v>
      </c>
      <c r="AH3869" s="2" t="str">
        <f ca="1"/>
        <v>OK</v>
      </c>
    </row>
    <row r="3870" spans="2:34">
      <c r="B3870" s="2">
        <f ca="1"/>
        <v>0.80246573555887868</v>
      </c>
      <c r="O3870" s="2">
        <f ca="1"/>
        <v>-1.2480133783860419</v>
      </c>
      <c r="X3870" s="2">
        <f ca="1"/>
        <v>43.32889119194823</v>
      </c>
      <c r="AG3870" s="2">
        <f ca="1"/>
        <v>0.37993064899190832</v>
      </c>
      <c r="AH3870" s="2" t="str">
        <f ca="1"/>
        <v>OK</v>
      </c>
    </row>
    <row r="3871" spans="2:34">
      <c r="B3871" s="2">
        <f ca="1"/>
        <v>0.29056013736004238</v>
      </c>
      <c r="O3871" s="2">
        <f ca="1"/>
        <v>-0.70899341513481928</v>
      </c>
      <c r="X3871" s="2">
        <f ca="1"/>
        <v>45.858508927667927</v>
      </c>
      <c r="AG3871" s="2">
        <f ca="1"/>
        <v>0.51839829281194727</v>
      </c>
      <c r="AH3871" s="2" t="str">
        <f ca="1"/>
        <v>Bad</v>
      </c>
    </row>
    <row r="3872" spans="2:34">
      <c r="B3872" s="2">
        <f ca="1"/>
        <v>0.10185514805397466</v>
      </c>
      <c r="O3872" s="2">
        <f ca="1"/>
        <v>-0.38524090103947467</v>
      </c>
      <c r="X3872" s="2">
        <f ca="1"/>
        <v>48.2257129254847</v>
      </c>
      <c r="AG3872" s="2">
        <f ca="1"/>
        <v>0.86839535303651694</v>
      </c>
      <c r="AH3872" s="2" t="str">
        <f ca="1"/>
        <v>Bad</v>
      </c>
    </row>
    <row r="3873" spans="2:34">
      <c r="B3873" s="2">
        <f ca="1"/>
        <v>0.86287281577252029</v>
      </c>
      <c r="O3873" s="2">
        <f ca="1"/>
        <v>1.0366408354462531</v>
      </c>
      <c r="X3873" s="2">
        <f ca="1"/>
        <v>68.735098818950235</v>
      </c>
      <c r="AG3873" s="2">
        <f ca="1"/>
        <v>0.49761258952334808</v>
      </c>
      <c r="AH3873" s="2" t="str">
        <f ca="1"/>
        <v>Bad</v>
      </c>
    </row>
    <row r="3874" spans="2:34">
      <c r="B3874" s="2">
        <f ca="1"/>
        <v>0.14284166851029045</v>
      </c>
      <c r="O3874" s="2">
        <f ca="1"/>
        <v>0.6257942890552376</v>
      </c>
      <c r="X3874" s="2">
        <f ca="1"/>
        <v>57.543998571411436</v>
      </c>
      <c r="AG3874" s="2">
        <f ca="1"/>
        <v>0.35176609610301268</v>
      </c>
      <c r="AH3874" s="2" t="str">
        <f ca="1"/>
        <v>OK</v>
      </c>
    </row>
    <row r="3875" spans="2:34">
      <c r="B3875" s="2">
        <f ca="1"/>
        <v>0.56185671197823872</v>
      </c>
      <c r="O3875" s="2">
        <f ca="1"/>
        <v>1.3164354245175691</v>
      </c>
      <c r="X3875" s="2">
        <f ca="1"/>
        <v>56.447063788477465</v>
      </c>
      <c r="AG3875" s="2">
        <f ca="1"/>
        <v>0.44982877101247931</v>
      </c>
      <c r="AH3875" s="2" t="str">
        <f ca="1"/>
        <v>Bad</v>
      </c>
    </row>
    <row r="3876" spans="2:34">
      <c r="B3876" s="2">
        <f ca="1"/>
        <v>0.39664574317155754</v>
      </c>
      <c r="O3876" s="2">
        <f ca="1"/>
        <v>1.175383839210987</v>
      </c>
      <c r="X3876" s="2">
        <f ca="1"/>
        <v>52.257677370078909</v>
      </c>
      <c r="AG3876" s="2">
        <f ca="1"/>
        <v>0.31570130069231683</v>
      </c>
      <c r="AH3876" s="2" t="str">
        <f ca="1"/>
        <v>OK</v>
      </c>
    </row>
    <row r="3877" spans="2:34">
      <c r="B3877" s="2">
        <f ca="1"/>
        <v>0.42427470951313673</v>
      </c>
      <c r="O3877" s="2">
        <f ca="1"/>
        <v>0.27669060198025891</v>
      </c>
      <c r="X3877" s="2">
        <f ca="1"/>
        <v>70.078170666736739</v>
      </c>
      <c r="AG3877" s="2">
        <f ca="1"/>
        <v>0.88007156029422418</v>
      </c>
      <c r="AH3877" s="2" t="str">
        <f ca="1"/>
        <v>Bad</v>
      </c>
    </row>
    <row r="3878" spans="2:34">
      <c r="B3878" s="2">
        <f ca="1"/>
        <v>0.8287418842185752</v>
      </c>
      <c r="O3878" s="2">
        <f ca="1"/>
        <v>4.6525521449234671E-2</v>
      </c>
      <c r="X3878" s="2">
        <f ca="1"/>
        <v>88.164384718443955</v>
      </c>
      <c r="AG3878" s="2">
        <f ca="1"/>
        <v>0.61775041828104293</v>
      </c>
      <c r="AH3878" s="2" t="str">
        <f ca="1"/>
        <v>Bad</v>
      </c>
    </row>
    <row r="3879" spans="2:34">
      <c r="B3879" s="2">
        <f ca="1"/>
        <v>0.38192052039641289</v>
      </c>
      <c r="O3879" s="2">
        <f ca="1"/>
        <v>-0.73364663537192154</v>
      </c>
      <c r="X3879" s="2">
        <f ca="1"/>
        <v>23.492593475289848</v>
      </c>
      <c r="AG3879" s="2">
        <f ca="1"/>
        <v>0.51637338501691277</v>
      </c>
      <c r="AH3879" s="2" t="str">
        <f ca="1"/>
        <v>Bad</v>
      </c>
    </row>
    <row r="3880" spans="2:34">
      <c r="B3880" s="2">
        <f ca="1"/>
        <v>0.5903909380117125</v>
      </c>
      <c r="O3880" s="2">
        <f ca="1"/>
        <v>-0.43888323434252757</v>
      </c>
      <c r="X3880" s="2">
        <f ca="1"/>
        <v>60.896856407715504</v>
      </c>
      <c r="AG3880" s="2">
        <f ca="1"/>
        <v>7.4180496578868826E-2</v>
      </c>
      <c r="AH3880" s="2" t="str">
        <f ca="1"/>
        <v>OK</v>
      </c>
    </row>
    <row r="3881" spans="2:34">
      <c r="B3881" s="2">
        <f ca="1"/>
        <v>0.73827793354017457</v>
      </c>
      <c r="O3881" s="2">
        <f ca="1"/>
        <v>2.3070217443546754</v>
      </c>
      <c r="X3881" s="2">
        <f ca="1"/>
        <v>26.394122835189307</v>
      </c>
      <c r="AG3881" s="2">
        <f ca="1"/>
        <v>0.48881619228800188</v>
      </c>
      <c r="AH3881" s="2" t="str">
        <f ca="1"/>
        <v>Bad</v>
      </c>
    </row>
    <row r="3882" spans="2:34">
      <c r="B3882" s="2">
        <f ca="1"/>
        <v>0.69124775132526151</v>
      </c>
      <c r="O3882" s="2">
        <f ca="1"/>
        <v>0.30301714031887084</v>
      </c>
      <c r="X3882" s="2">
        <f ca="1"/>
        <v>62.088948373877443</v>
      </c>
      <c r="AG3882" s="2">
        <f ca="1"/>
        <v>3.015726903096061E-2</v>
      </c>
      <c r="AH3882" s="2" t="str">
        <f ca="1"/>
        <v>Good</v>
      </c>
    </row>
    <row r="3883" spans="2:34">
      <c r="B3883" s="2">
        <f ca="1"/>
        <v>0.6273064527495309</v>
      </c>
      <c r="O3883" s="2">
        <f ca="1"/>
        <v>-0.43557377402151959</v>
      </c>
      <c r="X3883" s="2">
        <f ca="1"/>
        <v>43.306700847951475</v>
      </c>
      <c r="AG3883" s="2">
        <f ca="1"/>
        <v>0.15376376733969543</v>
      </c>
      <c r="AH3883" s="2" t="str">
        <f ca="1"/>
        <v>OK</v>
      </c>
    </row>
    <row r="3884" spans="2:34">
      <c r="B3884" s="2">
        <f ca="1"/>
        <v>0.63057123153549743</v>
      </c>
      <c r="O3884" s="2">
        <f ca="1"/>
        <v>0.60628430196224437</v>
      </c>
      <c r="X3884" s="2">
        <f ca="1"/>
        <v>35.618392111287307</v>
      </c>
      <c r="AG3884" s="2">
        <f ca="1"/>
        <v>0.58381655649355024</v>
      </c>
      <c r="AH3884" s="2" t="str">
        <f ca="1"/>
        <v>Bad</v>
      </c>
    </row>
    <row r="3885" spans="2:34">
      <c r="B3885" s="2">
        <f ca="1"/>
        <v>0.38661194363311435</v>
      </c>
      <c r="O3885" s="2">
        <f ca="1"/>
        <v>1.3245978437722028</v>
      </c>
      <c r="X3885" s="2">
        <f ca="1"/>
        <v>46.352846052975679</v>
      </c>
      <c r="AG3885" s="2">
        <f ca="1"/>
        <v>0.72845517565682094</v>
      </c>
      <c r="AH3885" s="2" t="str">
        <f ca="1"/>
        <v>Bad</v>
      </c>
    </row>
    <row r="3886" spans="2:34">
      <c r="B3886" s="2">
        <f ca="1"/>
        <v>0.72475959721542127</v>
      </c>
      <c r="O3886" s="2">
        <f ca="1"/>
        <v>0.36035285510514864</v>
      </c>
      <c r="X3886" s="2">
        <f ca="1"/>
        <v>51.431105110072693</v>
      </c>
      <c r="AG3886" s="2">
        <f ca="1"/>
        <v>6.6371721205442658E-3</v>
      </c>
      <c r="AH3886" s="2" t="str">
        <f ca="1"/>
        <v>Good</v>
      </c>
    </row>
    <row r="3887" spans="2:34">
      <c r="B3887" s="2">
        <f ca="1"/>
        <v>4.3825231634036621E-2</v>
      </c>
      <c r="O3887" s="2">
        <f ca="1"/>
        <v>0.1171105324518977</v>
      </c>
      <c r="X3887" s="2">
        <f ca="1"/>
        <v>49.574641680301788</v>
      </c>
      <c r="AG3887" s="2">
        <f ca="1"/>
        <v>0.20208836033086297</v>
      </c>
      <c r="AH3887" s="2" t="str">
        <f ca="1"/>
        <v>OK</v>
      </c>
    </row>
    <row r="3888" spans="2:34">
      <c r="B3888" s="2">
        <f ca="1"/>
        <v>0.80187242357836319</v>
      </c>
      <c r="O3888" s="2">
        <f ca="1"/>
        <v>-1.1201130723562871</v>
      </c>
      <c r="X3888" s="2">
        <f ca="1"/>
        <v>46.903318538476285</v>
      </c>
      <c r="AG3888" s="2">
        <f ca="1"/>
        <v>0.51324554810875456</v>
      </c>
      <c r="AH3888" s="2" t="str">
        <f ca="1"/>
        <v>Bad</v>
      </c>
    </row>
    <row r="3889" spans="2:34">
      <c r="B3889" s="2">
        <f ca="1"/>
        <v>7.577671188437729E-2</v>
      </c>
      <c r="O3889" s="2">
        <f ca="1"/>
        <v>-3.1767101072350451E-2</v>
      </c>
      <c r="X3889" s="2">
        <f ca="1"/>
        <v>49.539621174485973</v>
      </c>
      <c r="AG3889" s="2">
        <f ca="1"/>
        <v>0.13477512318142071</v>
      </c>
      <c r="AH3889" s="2" t="str">
        <f ca="1"/>
        <v>OK</v>
      </c>
    </row>
    <row r="3890" spans="2:34">
      <c r="B3890" s="2">
        <f ca="1"/>
        <v>0.55928246423578321</v>
      </c>
      <c r="O3890" s="2">
        <f ca="1"/>
        <v>0.2229494402856497</v>
      </c>
      <c r="X3890" s="2">
        <f ca="1"/>
        <v>71.558405443324972</v>
      </c>
      <c r="AG3890" s="2">
        <f ca="1"/>
        <v>0.54617796036011312</v>
      </c>
      <c r="AH3890" s="2" t="str">
        <f ca="1"/>
        <v>Bad</v>
      </c>
    </row>
    <row r="3891" spans="2:34">
      <c r="B3891" s="2">
        <f ca="1"/>
        <v>0.15580931769597206</v>
      </c>
      <c r="O3891" s="2">
        <f ca="1"/>
        <v>1.5468591126567253</v>
      </c>
      <c r="X3891" s="2">
        <f ca="1"/>
        <v>77.666575097369432</v>
      </c>
      <c r="AG3891" s="2">
        <f ca="1"/>
        <v>6.9129901395992066E-2</v>
      </c>
      <c r="AH3891" s="2" t="str">
        <f ca="1"/>
        <v>OK</v>
      </c>
    </row>
    <row r="3892" spans="2:34">
      <c r="B3892" s="2">
        <f ca="1"/>
        <v>0.43338999524230748</v>
      </c>
      <c r="O3892" s="2">
        <f ca="1"/>
        <v>-1.3698619041555051</v>
      </c>
      <c r="X3892" s="2">
        <f ca="1"/>
        <v>52.358240372595979</v>
      </c>
      <c r="AG3892" s="2">
        <f ca="1"/>
        <v>0.93919225296652598</v>
      </c>
      <c r="AH3892" s="2" t="str">
        <f ca="1"/>
        <v>Bad</v>
      </c>
    </row>
    <row r="3893" spans="2:34">
      <c r="B3893" s="2">
        <f ca="1"/>
        <v>0.82227127427556512</v>
      </c>
      <c r="O3893" s="2">
        <f ca="1"/>
        <v>-2.7213008677760261E-2</v>
      </c>
      <c r="X3893" s="2">
        <f ca="1"/>
        <v>33.323373184082634</v>
      </c>
      <c r="AG3893" s="2">
        <f ca="1"/>
        <v>0.73663310437147689</v>
      </c>
      <c r="AH3893" s="2" t="str">
        <f ca="1"/>
        <v>Bad</v>
      </c>
    </row>
    <row r="3894" spans="2:34">
      <c r="B3894" s="2">
        <f ca="1"/>
        <v>0.41527489951072849</v>
      </c>
      <c r="O3894" s="2">
        <f ca="1"/>
        <v>2.1030210788820156</v>
      </c>
      <c r="X3894" s="2">
        <f ca="1"/>
        <v>42.263760991394825</v>
      </c>
      <c r="AG3894" s="2">
        <f ca="1"/>
        <v>0.58337537887171664</v>
      </c>
      <c r="AH3894" s="2" t="str">
        <f ca="1"/>
        <v>Bad</v>
      </c>
    </row>
    <row r="3895" spans="2:34">
      <c r="B3895" s="2">
        <f ca="1"/>
        <v>0.83527213655629851</v>
      </c>
      <c r="O3895" s="2">
        <f ca="1"/>
        <v>0.61309053693396343</v>
      </c>
      <c r="X3895" s="2">
        <f ca="1"/>
        <v>48.454508603660472</v>
      </c>
      <c r="AG3895" s="2">
        <f ca="1"/>
        <v>0.55525507792237416</v>
      </c>
      <c r="AH3895" s="2" t="str">
        <f ca="1"/>
        <v>Bad</v>
      </c>
    </row>
    <row r="3896" spans="2:34">
      <c r="B3896" s="2">
        <f ca="1"/>
        <v>0.11235043601827277</v>
      </c>
      <c r="O3896" s="2">
        <f ca="1"/>
        <v>-1.72128308558928</v>
      </c>
      <c r="X3896" s="2">
        <f ca="1"/>
        <v>39.607257335209937</v>
      </c>
      <c r="AG3896" s="2">
        <f ca="1"/>
        <v>0.26565134229763387</v>
      </c>
      <c r="AH3896" s="2" t="str">
        <f ca="1"/>
        <v>OK</v>
      </c>
    </row>
    <row r="3897" spans="2:34">
      <c r="B3897" s="2">
        <f ca="1"/>
        <v>0.23097217153545047</v>
      </c>
      <c r="O3897" s="2">
        <f ca="1"/>
        <v>0.18377637255493109</v>
      </c>
      <c r="X3897" s="2">
        <f ca="1"/>
        <v>31.358570795073369</v>
      </c>
      <c r="AG3897" s="2">
        <f ca="1"/>
        <v>0.61120315712437168</v>
      </c>
      <c r="AH3897" s="2" t="str">
        <f ca="1"/>
        <v>Bad</v>
      </c>
    </row>
    <row r="3898" spans="2:34">
      <c r="B3898" s="2">
        <f ca="1"/>
        <v>0.5320374118388087</v>
      </c>
      <c r="O3898" s="2">
        <f ca="1"/>
        <v>1.1465131223866198</v>
      </c>
      <c r="X3898" s="2">
        <f ca="1"/>
        <v>45.43082704538412</v>
      </c>
      <c r="AG3898" s="2">
        <f ca="1"/>
        <v>0.88532064266655475</v>
      </c>
      <c r="AH3898" s="2" t="str">
        <f ca="1"/>
        <v>Bad</v>
      </c>
    </row>
    <row r="3899" spans="2:34">
      <c r="B3899" s="2">
        <f ca="1"/>
        <v>0.91173428438520365</v>
      </c>
      <c r="O3899" s="2">
        <f ca="1"/>
        <v>-1.2564767097683947</v>
      </c>
      <c r="X3899" s="2">
        <f ca="1"/>
        <v>25.759829873157432</v>
      </c>
      <c r="AG3899" s="2">
        <f ca="1"/>
        <v>0.61556323938137414</v>
      </c>
      <c r="AH3899" s="2" t="str">
        <f ca="1"/>
        <v>Bad</v>
      </c>
    </row>
    <row r="3900" spans="2:34">
      <c r="B3900" s="2">
        <f ca="1"/>
        <v>0.64456992191950957</v>
      </c>
      <c r="O3900" s="2">
        <f ca="1"/>
        <v>-0.33334189957341953</v>
      </c>
      <c r="X3900" s="2">
        <f ca="1"/>
        <v>39.329022547287742</v>
      </c>
      <c r="AG3900" s="2">
        <f ca="1"/>
        <v>0.57889611595994372</v>
      </c>
      <c r="AH3900" s="2" t="str">
        <f ca="1"/>
        <v>Bad</v>
      </c>
    </row>
    <row r="3901" spans="2:34">
      <c r="B3901" s="2">
        <f ca="1"/>
        <v>0.31089444306603786</v>
      </c>
      <c r="O3901" s="2">
        <f ca="1"/>
        <v>-0.35422589894368578</v>
      </c>
      <c r="X3901" s="2">
        <f ca="1"/>
        <v>56.177550282706363</v>
      </c>
      <c r="AG3901" s="2">
        <f ca="1"/>
        <v>0.36271998314490328</v>
      </c>
      <c r="AH3901" s="2" t="str">
        <f ca="1"/>
        <v>OK</v>
      </c>
    </row>
    <row r="3902" spans="2:34">
      <c r="B3902" s="2">
        <f ca="1"/>
        <v>0.12513133205825677</v>
      </c>
      <c r="O3902" s="2">
        <f ca="1"/>
        <v>-0.18990070680161966</v>
      </c>
      <c r="X3902" s="2">
        <f ca="1"/>
        <v>47.046347219560985</v>
      </c>
      <c r="AG3902" s="2">
        <f ca="1"/>
        <v>0.11598211939698899</v>
      </c>
      <c r="AH3902" s="2" t="str">
        <f ca="1"/>
        <v>OK</v>
      </c>
    </row>
    <row r="3903" spans="2:34">
      <c r="B3903" s="2">
        <f ca="1"/>
        <v>0.20068987512613368</v>
      </c>
      <c r="O3903" s="2">
        <f ca="1"/>
        <v>-0.76100606037342799</v>
      </c>
      <c r="X3903" s="2">
        <f ca="1"/>
        <v>27.735826571517986</v>
      </c>
      <c r="AG3903" s="2">
        <f ca="1"/>
        <v>0.11149221365053141</v>
      </c>
      <c r="AH3903" s="2" t="str">
        <f ca="1"/>
        <v>OK</v>
      </c>
    </row>
    <row r="3904" spans="2:34">
      <c r="B3904" s="2">
        <f ca="1"/>
        <v>2.1929266468455166E-2</v>
      </c>
      <c r="O3904" s="2">
        <f ca="1"/>
        <v>0.29941085507196885</v>
      </c>
      <c r="X3904" s="2">
        <f ca="1"/>
        <v>66.123992749461706</v>
      </c>
      <c r="AG3904" s="2">
        <f ca="1"/>
        <v>0.83542106017221918</v>
      </c>
      <c r="AH3904" s="2" t="str">
        <f ca="1"/>
        <v>Bad</v>
      </c>
    </row>
    <row r="3905" spans="2:34">
      <c r="B3905" s="2">
        <f ca="1"/>
        <v>0.38542979210685391</v>
      </c>
      <c r="O3905" s="2">
        <f ca="1"/>
        <v>8.4265526146634892E-2</v>
      </c>
      <c r="X3905" s="2">
        <f ca="1"/>
        <v>72.329137128385796</v>
      </c>
      <c r="AG3905" s="2">
        <f ca="1"/>
        <v>0.65466877325254957</v>
      </c>
      <c r="AH3905" s="2" t="str">
        <f ca="1"/>
        <v>Bad</v>
      </c>
    </row>
    <row r="3906" spans="2:34">
      <c r="B3906" s="2">
        <f ca="1"/>
        <v>0.47857103336507856</v>
      </c>
      <c r="O3906" s="2">
        <f ca="1"/>
        <v>-0.23969620252823126</v>
      </c>
      <c r="X3906" s="2">
        <f ca="1"/>
        <v>57.595084462083854</v>
      </c>
      <c r="AG3906" s="2">
        <f ca="1"/>
        <v>0.23671597508513131</v>
      </c>
      <c r="AH3906" s="2" t="str">
        <f ca="1"/>
        <v>OK</v>
      </c>
    </row>
    <row r="3907" spans="2:34">
      <c r="B3907" s="2">
        <f ca="1"/>
        <v>0.6641636970774023</v>
      </c>
      <c r="O3907" s="2">
        <f ca="1"/>
        <v>-0.28368720524756974</v>
      </c>
      <c r="X3907" s="2">
        <f ca="1"/>
        <v>62.974250921490238</v>
      </c>
      <c r="AG3907" s="2">
        <f ca="1"/>
        <v>0.42326065598694051</v>
      </c>
      <c r="AH3907" s="2" t="str">
        <f ca="1"/>
        <v>Bad</v>
      </c>
    </row>
    <row r="3908" spans="2:34">
      <c r="B3908" s="2">
        <f ca="1"/>
        <v>0.71930479070031783</v>
      </c>
      <c r="O3908" s="2">
        <f ca="1"/>
        <v>-0.31576232464319698</v>
      </c>
      <c r="X3908" s="2">
        <f ca="1"/>
        <v>36.410770217700879</v>
      </c>
      <c r="AG3908" s="2">
        <f ca="1"/>
        <v>0.68953235388542855</v>
      </c>
      <c r="AH3908" s="2" t="str">
        <f ca="1"/>
        <v>Bad</v>
      </c>
    </row>
    <row r="3909" spans="2:34">
      <c r="B3909" s="2">
        <f ca="1"/>
        <v>0.61960190659152037</v>
      </c>
      <c r="O3909" s="2">
        <f ca="1"/>
        <v>-0.67780770943927449</v>
      </c>
      <c r="X3909" s="2">
        <f ca="1"/>
        <v>50.65935773899934</v>
      </c>
      <c r="AG3909" s="2">
        <f ca="1"/>
        <v>0.33317408625333034</v>
      </c>
      <c r="AH3909" s="2" t="str">
        <f ca="1"/>
        <v>OK</v>
      </c>
    </row>
    <row r="3910" spans="2:34">
      <c r="B3910" s="2">
        <f ca="1"/>
        <v>5.9600950740349434E-2</v>
      </c>
      <c r="O3910" s="2">
        <f ca="1"/>
        <v>-9.1649908714086806E-2</v>
      </c>
      <c r="X3910" s="2">
        <f ca="1"/>
        <v>65.696878653659653</v>
      </c>
      <c r="AG3910" s="2">
        <f ca="1"/>
        <v>2.2090153127611645E-2</v>
      </c>
      <c r="AH3910" s="2" t="str">
        <f ca="1"/>
        <v>Good</v>
      </c>
    </row>
    <row r="3911" spans="2:34">
      <c r="B3911" s="2">
        <f ca="1"/>
        <v>0.14538757706668703</v>
      </c>
      <c r="O3911" s="2">
        <f ca="1"/>
        <v>1.9390341394189388E-2</v>
      </c>
      <c r="X3911" s="2">
        <f ca="1"/>
        <v>55.653388382927034</v>
      </c>
      <c r="AG3911" s="2">
        <f ca="1"/>
        <v>0.68667360055383253</v>
      </c>
      <c r="AH3911" s="2" t="str">
        <f ca="1"/>
        <v>Bad</v>
      </c>
    </row>
    <row r="3912" spans="2:34">
      <c r="B3912" s="2">
        <f ca="1"/>
        <v>0.78517367427065698</v>
      </c>
      <c r="O3912" s="2">
        <f ca="1"/>
        <v>0.62961939628224362</v>
      </c>
      <c r="X3912" s="2">
        <f ca="1"/>
        <v>41.828550679676262</v>
      </c>
      <c r="AG3912" s="2">
        <f ca="1"/>
        <v>0.42120101120380138</v>
      </c>
      <c r="AH3912" s="2" t="str">
        <f ca="1"/>
        <v>Bad</v>
      </c>
    </row>
    <row r="3913" spans="2:34">
      <c r="B3913" s="2">
        <f ca="1"/>
        <v>0.49907656211303486</v>
      </c>
      <c r="O3913" s="2">
        <f ca="1"/>
        <v>1.5109729792847972</v>
      </c>
      <c r="X3913" s="2">
        <f ca="1"/>
        <v>34.85512420063101</v>
      </c>
      <c r="AG3913" s="2">
        <f ca="1"/>
        <v>0.47689705329636722</v>
      </c>
      <c r="AH3913" s="2" t="str">
        <f ca="1"/>
        <v>Bad</v>
      </c>
    </row>
    <row r="3914" spans="2:34">
      <c r="B3914" s="2">
        <f ca="1"/>
        <v>0.14506312279867095</v>
      </c>
      <c r="O3914" s="2">
        <f ca="1"/>
        <v>1.6074867410622369</v>
      </c>
      <c r="X3914" s="2">
        <f ca="1"/>
        <v>31.720888836574904</v>
      </c>
      <c r="AG3914" s="2">
        <f ca="1"/>
        <v>0.10491064831771091</v>
      </c>
      <c r="AH3914" s="2" t="str">
        <f ca="1"/>
        <v>OK</v>
      </c>
    </row>
    <row r="3915" spans="2:34">
      <c r="B3915" s="2">
        <f ca="1"/>
        <v>0.59974461304021953</v>
      </c>
      <c r="O3915" s="2">
        <f ca="1"/>
        <v>0.85978628541302649</v>
      </c>
      <c r="X3915" s="2">
        <f ca="1"/>
        <v>55.705572645903167</v>
      </c>
      <c r="AG3915" s="2">
        <f ca="1"/>
        <v>0.93736392425319259</v>
      </c>
      <c r="AH3915" s="2" t="str">
        <f ca="1"/>
        <v>Bad</v>
      </c>
    </row>
    <row r="3916" spans="2:34">
      <c r="B3916" s="2">
        <f ca="1"/>
        <v>4.1703818873324972E-2</v>
      </c>
      <c r="O3916" s="2">
        <f ca="1"/>
        <v>-0.1955334849993289</v>
      </c>
      <c r="X3916" s="2">
        <f ca="1"/>
        <v>49.423927386097063</v>
      </c>
      <c r="AG3916" s="2">
        <f ca="1"/>
        <v>5.2421444507229964E-2</v>
      </c>
      <c r="AH3916" s="2" t="str">
        <f ca="1"/>
        <v>OK</v>
      </c>
    </row>
    <row r="3917" spans="2:34">
      <c r="B3917" s="2">
        <f ca="1"/>
        <v>0.17985103955915371</v>
      </c>
      <c r="O3917" s="2">
        <f ca="1"/>
        <v>-0.26562661409314142</v>
      </c>
      <c r="X3917" s="2">
        <f ca="1"/>
        <v>49.301866012024377</v>
      </c>
      <c r="AG3917" s="2">
        <f ca="1"/>
        <v>0.34041180046387498</v>
      </c>
      <c r="AH3917" s="2" t="str">
        <f ca="1"/>
        <v>OK</v>
      </c>
    </row>
    <row r="3918" spans="2:34">
      <c r="B3918" s="2">
        <f ca="1"/>
        <v>0.15392322682439841</v>
      </c>
      <c r="O3918" s="2">
        <f ca="1"/>
        <v>-0.41123668718846396</v>
      </c>
      <c r="X3918" s="2">
        <f ca="1"/>
        <v>41.55243250209621</v>
      </c>
      <c r="AG3918" s="2">
        <f ca="1"/>
        <v>0.20417160091495679</v>
      </c>
      <c r="AH3918" s="2" t="str">
        <f ca="1"/>
        <v>OK</v>
      </c>
    </row>
    <row r="3919" spans="2:34">
      <c r="B3919" s="2">
        <f ca="1"/>
        <v>0.92152307631428187</v>
      </c>
      <c r="O3919" s="2">
        <f ca="1"/>
        <v>0.14456698337789742</v>
      </c>
      <c r="X3919" s="2">
        <f ca="1"/>
        <v>55.642905136355402</v>
      </c>
      <c r="AG3919" s="2">
        <f ca="1"/>
        <v>0.55526402452118062</v>
      </c>
      <c r="AH3919" s="2" t="str">
        <f ca="1"/>
        <v>Bad</v>
      </c>
    </row>
    <row r="3920" spans="2:34">
      <c r="B3920" s="2">
        <f ca="1"/>
        <v>0.4424839648982033</v>
      </c>
      <c r="O3920" s="2">
        <f ca="1"/>
        <v>-0.33368962021937182</v>
      </c>
      <c r="X3920" s="2">
        <f ca="1"/>
        <v>53.039051647325635</v>
      </c>
      <c r="AG3920" s="2">
        <f ca="1"/>
        <v>0.70591005869523871</v>
      </c>
      <c r="AH3920" s="2" t="str">
        <f ca="1"/>
        <v>Bad</v>
      </c>
    </row>
    <row r="3921" spans="2:34">
      <c r="B3921" s="2">
        <f ca="1"/>
        <v>0.99155345976292941</v>
      </c>
      <c r="O3921" s="2">
        <f ca="1"/>
        <v>0.32126983379143398</v>
      </c>
      <c r="X3921" s="2">
        <f ca="1"/>
        <v>52.406977922778211</v>
      </c>
      <c r="AG3921" s="2">
        <f ca="1"/>
        <v>0.22415368752599085</v>
      </c>
      <c r="AH3921" s="2" t="str">
        <f ca="1"/>
        <v>OK</v>
      </c>
    </row>
    <row r="3922" spans="2:34">
      <c r="B3922" s="2">
        <f ca="1"/>
        <v>0.89117959425873172</v>
      </c>
      <c r="O3922" s="2">
        <f ca="1"/>
        <v>0.92602575161311884</v>
      </c>
      <c r="X3922" s="2">
        <f ca="1"/>
        <v>41.916681944418066</v>
      </c>
      <c r="AG3922" s="2">
        <f ca="1"/>
        <v>0.79312279602217184</v>
      </c>
      <c r="AH3922" s="2" t="str">
        <f ca="1"/>
        <v>Bad</v>
      </c>
    </row>
    <row r="3923" spans="2:34">
      <c r="B3923" s="2">
        <f ca="1"/>
        <v>0.98170487186126687</v>
      </c>
      <c r="O3923" s="2">
        <f ca="1"/>
        <v>2.5830137172373639</v>
      </c>
      <c r="X3923" s="2">
        <f ca="1"/>
        <v>42.420145895896937</v>
      </c>
      <c r="AG3923" s="2">
        <f ca="1"/>
        <v>0.69775980940901716</v>
      </c>
      <c r="AH3923" s="2" t="str">
        <f ca="1"/>
        <v>Bad</v>
      </c>
    </row>
    <row r="3924" spans="2:34">
      <c r="B3924" s="2">
        <f ca="1"/>
        <v>0.79953583405721518</v>
      </c>
      <c r="O3924" s="2">
        <f ca="1"/>
        <v>-1.5362283360317506</v>
      </c>
      <c r="X3924" s="2">
        <f ca="1"/>
        <v>25.195867223971057</v>
      </c>
      <c r="AG3924" s="2">
        <f ca="1"/>
        <v>0.85019361785975223</v>
      </c>
      <c r="AH3924" s="2" t="str">
        <f ca="1"/>
        <v>Bad</v>
      </c>
    </row>
    <row r="3925" spans="2:34">
      <c r="B3925" s="2">
        <f ca="1"/>
        <v>0.16295121508037225</v>
      </c>
      <c r="O3925" s="2">
        <f ca="1"/>
        <v>0.40923104248031233</v>
      </c>
      <c r="X3925" s="2">
        <f ca="1"/>
        <v>48.012870255033619</v>
      </c>
      <c r="AG3925" s="2">
        <f ca="1"/>
        <v>0.70836041406577976</v>
      </c>
      <c r="AH3925" s="2" t="str">
        <f ca="1"/>
        <v>Bad</v>
      </c>
    </row>
    <row r="3926" spans="2:34">
      <c r="B3926" s="2">
        <f ca="1"/>
        <v>7.5055855297854857E-2</v>
      </c>
      <c r="O3926" s="2">
        <f ca="1"/>
        <v>0.59358593568414897</v>
      </c>
      <c r="X3926" s="2">
        <f ca="1"/>
        <v>48.580095367725782</v>
      </c>
      <c r="AG3926" s="2">
        <f ca="1"/>
        <v>7.1978729138677533E-2</v>
      </c>
      <c r="AH3926" s="2" t="str">
        <f ca="1"/>
        <v>OK</v>
      </c>
    </row>
    <row r="3927" spans="2:34">
      <c r="B3927" s="2">
        <f ca="1"/>
        <v>4.0391599393956978E-2</v>
      </c>
      <c r="O3927" s="2">
        <f ca="1"/>
        <v>-0.71266498890599117</v>
      </c>
      <c r="X3927" s="2">
        <f ca="1"/>
        <v>65.208079592922843</v>
      </c>
      <c r="AG3927" s="2">
        <f ca="1"/>
        <v>0.57708518372752793</v>
      </c>
      <c r="AH3927" s="2" t="str">
        <f ca="1"/>
        <v>Bad</v>
      </c>
    </row>
    <row r="3928" spans="2:34">
      <c r="B3928" s="2">
        <f ca="1"/>
        <v>0.15781896496518133</v>
      </c>
      <c r="O3928" s="2">
        <f ca="1"/>
        <v>-1.6190783543622236</v>
      </c>
      <c r="X3928" s="2">
        <f ca="1"/>
        <v>45.505675611382102</v>
      </c>
      <c r="AG3928" s="2">
        <f ca="1"/>
        <v>0.1204273984676858</v>
      </c>
      <c r="AH3928" s="2" t="str">
        <f ca="1"/>
        <v>OK</v>
      </c>
    </row>
    <row r="3929" spans="2:34">
      <c r="B3929" s="2">
        <f ca="1"/>
        <v>0.99138655034095069</v>
      </c>
      <c r="O3929" s="2">
        <f ca="1"/>
        <v>0.89406963133462014</v>
      </c>
      <c r="X3929" s="2">
        <f ca="1"/>
        <v>79.491079512513096</v>
      </c>
      <c r="AG3929" s="2">
        <f ca="1"/>
        <v>0.58672127589423217</v>
      </c>
      <c r="AH3929" s="2" t="str">
        <f ca="1"/>
        <v>Bad</v>
      </c>
    </row>
    <row r="3930" spans="2:34">
      <c r="B3930" s="2">
        <f ca="1"/>
        <v>0.34777494560459021</v>
      </c>
      <c r="O3930" s="2">
        <f ca="1"/>
        <v>2.8481732944077347E-2</v>
      </c>
      <c r="X3930" s="2">
        <f ca="1"/>
        <v>85.747396988722414</v>
      </c>
      <c r="AG3930" s="2">
        <f ca="1"/>
        <v>0.43249208397275885</v>
      </c>
      <c r="AH3930" s="2" t="str">
        <f ca="1"/>
        <v>Bad</v>
      </c>
    </row>
    <row r="3931" spans="2:34">
      <c r="B3931" s="2">
        <f ca="1"/>
        <v>0.73669158880177688</v>
      </c>
      <c r="O3931" s="2">
        <f ca="1"/>
        <v>-1.1912722724517852</v>
      </c>
      <c r="X3931" s="2">
        <f ca="1"/>
        <v>55.564300530586721</v>
      </c>
      <c r="AG3931" s="2">
        <f ca="1"/>
        <v>0.24812484245087174</v>
      </c>
      <c r="AH3931" s="2" t="str">
        <f ca="1"/>
        <v>OK</v>
      </c>
    </row>
    <row r="3932" spans="2:34">
      <c r="B3932" s="2">
        <f ca="1"/>
        <v>0.89823704260134574</v>
      </c>
      <c r="O3932" s="2">
        <f ca="1"/>
        <v>-0.83513285921689673</v>
      </c>
      <c r="X3932" s="2">
        <f ca="1"/>
        <v>41.200265470224096</v>
      </c>
      <c r="AG3932" s="2">
        <f ca="1"/>
        <v>0.88246330941811646</v>
      </c>
      <c r="AH3932" s="2" t="str">
        <f ca="1"/>
        <v>Bad</v>
      </c>
    </row>
    <row r="3933" spans="2:34">
      <c r="B3933" s="2">
        <f ca="1"/>
        <v>0.35069408117369871</v>
      </c>
      <c r="O3933" s="2">
        <f ca="1"/>
        <v>0.43308535522915143</v>
      </c>
      <c r="X3933" s="2">
        <f ca="1"/>
        <v>53.843052079348084</v>
      </c>
      <c r="AG3933" s="2">
        <f ca="1"/>
        <v>0.29005301760009283</v>
      </c>
      <c r="AH3933" s="2" t="str">
        <f ca="1"/>
        <v>OK</v>
      </c>
    </row>
    <row r="3934" spans="2:34">
      <c r="B3934" s="2">
        <f ca="1"/>
        <v>0.31099186405733192</v>
      </c>
      <c r="O3934" s="2">
        <f ca="1"/>
        <v>-0.65483968256311131</v>
      </c>
      <c r="X3934" s="2">
        <f ca="1"/>
        <v>43.724688155356326</v>
      </c>
      <c r="AG3934" s="2">
        <f ca="1"/>
        <v>0.32540882844608299</v>
      </c>
      <c r="AH3934" s="2" t="str">
        <f ca="1"/>
        <v>OK</v>
      </c>
    </row>
    <row r="3935" spans="2:34">
      <c r="B3935" s="2">
        <f ca="1"/>
        <v>0.79456388347100892</v>
      </c>
      <c r="O3935" s="2">
        <f ca="1"/>
        <v>0.12967789099738036</v>
      </c>
      <c r="X3935" s="2">
        <f ca="1"/>
        <v>38.750318876175022</v>
      </c>
      <c r="AG3935" s="2">
        <f ca="1"/>
        <v>0.24350653243191034</v>
      </c>
      <c r="AH3935" s="2" t="str">
        <f ca="1"/>
        <v>OK</v>
      </c>
    </row>
    <row r="3936" spans="2:34">
      <c r="B3936" s="2">
        <f ca="1"/>
        <v>0.34458963190766578</v>
      </c>
      <c r="O3936" s="2">
        <f ca="1"/>
        <v>-0.30654415996847556</v>
      </c>
      <c r="X3936" s="2">
        <f ca="1"/>
        <v>61.134081818462427</v>
      </c>
      <c r="AG3936" s="2">
        <f ca="1"/>
        <v>0.97735918464669402</v>
      </c>
      <c r="AH3936" s="2" t="str">
        <f ca="1"/>
        <v>Bad</v>
      </c>
    </row>
    <row r="3937" spans="2:34">
      <c r="B3937" s="2">
        <f ca="1"/>
        <v>0.18197410830008676</v>
      </c>
      <c r="O3937" s="2">
        <f ca="1"/>
        <v>1.5940428378842986</v>
      </c>
      <c r="X3937" s="2">
        <f ca="1"/>
        <v>68.146612053424633</v>
      </c>
      <c r="AG3937" s="2">
        <f ca="1"/>
        <v>0.18917822356310543</v>
      </c>
      <c r="AH3937" s="2" t="str">
        <f ca="1"/>
        <v>OK</v>
      </c>
    </row>
    <row r="3938" spans="2:34">
      <c r="B3938" s="2">
        <f ca="1"/>
        <v>0.28000049930176818</v>
      </c>
      <c r="O3938" s="2">
        <f ca="1"/>
        <v>-0.38429265323853029</v>
      </c>
      <c r="X3938" s="2">
        <f ca="1"/>
        <v>89.07301794809527</v>
      </c>
      <c r="AG3938" s="2">
        <f ca="1"/>
        <v>0.6210084331743202</v>
      </c>
      <c r="AH3938" s="2" t="str">
        <f ca="1"/>
        <v>Bad</v>
      </c>
    </row>
    <row r="3939" spans="2:34">
      <c r="B3939" s="2">
        <f ca="1"/>
        <v>0.13647419054453347</v>
      </c>
      <c r="O3939" s="2">
        <f ca="1"/>
        <v>0.63872661445056511</v>
      </c>
      <c r="X3939" s="2">
        <f ca="1"/>
        <v>41.420572339581398</v>
      </c>
      <c r="AG3939" s="2">
        <f ca="1"/>
        <v>0.47358385073190346</v>
      </c>
      <c r="AH3939" s="2" t="str">
        <f ca="1"/>
        <v>Bad</v>
      </c>
    </row>
    <row r="3940" spans="2:34">
      <c r="B3940" s="2">
        <f ca="1"/>
        <v>0.51017462275564296</v>
      </c>
      <c r="O3940" s="2">
        <f ca="1"/>
        <v>-0.73616375135862266</v>
      </c>
      <c r="X3940" s="2">
        <f ca="1"/>
        <v>71.218005868135123</v>
      </c>
      <c r="AG3940" s="2">
        <f ca="1"/>
        <v>0.8928188954148697</v>
      </c>
      <c r="AH3940" s="2" t="str">
        <f ca="1"/>
        <v>Bad</v>
      </c>
    </row>
    <row r="3941" spans="2:34">
      <c r="B3941" s="2">
        <f ca="1"/>
        <v>0.82999296956358903</v>
      </c>
      <c r="O3941" s="2">
        <f ca="1"/>
        <v>-1.4577186629837731</v>
      </c>
      <c r="X3941" s="2">
        <f ca="1"/>
        <v>95.297941948592282</v>
      </c>
      <c r="AG3941" s="2">
        <f ca="1"/>
        <v>0.31163951163552461</v>
      </c>
      <c r="AH3941" s="2" t="str">
        <f ca="1"/>
        <v>OK</v>
      </c>
    </row>
    <row r="3942" spans="2:34">
      <c r="B3942" s="2">
        <f ca="1"/>
        <v>0.67232992728159235</v>
      </c>
      <c r="O3942" s="2">
        <f ca="1"/>
        <v>0.2231813247235864</v>
      </c>
      <c r="X3942" s="2">
        <f ca="1"/>
        <v>67.857560383640433</v>
      </c>
      <c r="AG3942" s="2">
        <f ca="1"/>
        <v>0.46500664436949046</v>
      </c>
      <c r="AH3942" s="2" t="str">
        <f ca="1"/>
        <v>Bad</v>
      </c>
    </row>
    <row r="3943" spans="2:34">
      <c r="B3943" s="2">
        <f ca="1"/>
        <v>0.95698015454842</v>
      </c>
      <c r="O3943" s="2">
        <f ca="1"/>
        <v>1.064159387621284</v>
      </c>
      <c r="X3943" s="2">
        <f ca="1"/>
        <v>41.437111203236228</v>
      </c>
      <c r="AG3943" s="2">
        <f ca="1"/>
        <v>0.35595822456090787</v>
      </c>
      <c r="AH3943" s="2" t="str">
        <f ca="1"/>
        <v>OK</v>
      </c>
    </row>
    <row r="3944" spans="2:34">
      <c r="B3944" s="2">
        <f ca="1"/>
        <v>0.52993421236095539</v>
      </c>
      <c r="O3944" s="2">
        <f ca="1"/>
        <v>0.91236686685834179</v>
      </c>
      <c r="X3944" s="2">
        <f ca="1"/>
        <v>28.059862964525607</v>
      </c>
      <c r="AG3944" s="2">
        <f ca="1"/>
        <v>1.3571973977402951E-2</v>
      </c>
      <c r="AH3944" s="2" t="str">
        <f ca="1"/>
        <v>Good</v>
      </c>
    </row>
    <row r="3945" spans="2:34">
      <c r="B3945" s="2">
        <f ca="1"/>
        <v>0.54916739061482733</v>
      </c>
      <c r="O3945" s="2">
        <f ca="1"/>
        <v>-0.50080105314951906</v>
      </c>
      <c r="X3945" s="2">
        <f ca="1"/>
        <v>92.616827645406289</v>
      </c>
      <c r="AG3945" s="2">
        <f ca="1"/>
        <v>0.5457161692172301</v>
      </c>
      <c r="AH3945" s="2" t="str">
        <f ca="1"/>
        <v>Bad</v>
      </c>
    </row>
    <row r="3946" spans="2:34">
      <c r="B3946" s="2">
        <f ca="1"/>
        <v>0.61035281859628254</v>
      </c>
      <c r="O3946" s="2">
        <f ca="1"/>
        <v>-0.69870083104709824</v>
      </c>
      <c r="X3946" s="2">
        <f ca="1"/>
        <v>77.259157194705693</v>
      </c>
      <c r="AG3946" s="2">
        <f ca="1"/>
        <v>0.35642574502707935</v>
      </c>
      <c r="AH3946" s="2" t="str">
        <f ca="1"/>
        <v>OK</v>
      </c>
    </row>
    <row r="3947" spans="2:34">
      <c r="B3947" s="2">
        <f ca="1"/>
        <v>4.8391588480195091E-2</v>
      </c>
      <c r="O3947" s="2">
        <f ca="1"/>
        <v>0.15480944094301224</v>
      </c>
      <c r="X3947" s="2">
        <f ca="1"/>
        <v>63.347817114084897</v>
      </c>
      <c r="AG3947" s="2">
        <f ca="1"/>
        <v>0.67919659014237999</v>
      </c>
      <c r="AH3947" s="2" t="str">
        <f ca="1"/>
        <v>Bad</v>
      </c>
    </row>
    <row r="3948" spans="2:34">
      <c r="B3948" s="2">
        <f ca="1"/>
        <v>0.47222687810443764</v>
      </c>
      <c r="O3948" s="2">
        <f ca="1"/>
        <v>0.29980943415329275</v>
      </c>
      <c r="X3948" s="2">
        <f ca="1"/>
        <v>66.2417729727417</v>
      </c>
      <c r="AG3948" s="2">
        <f ca="1"/>
        <v>0.94129333534694526</v>
      </c>
      <c r="AH3948" s="2" t="str">
        <f ca="1"/>
        <v>Bad</v>
      </c>
    </row>
    <row r="3949" spans="2:34">
      <c r="B3949" s="2">
        <f ca="1"/>
        <v>0.32608573630085447</v>
      </c>
      <c r="O3949" s="2">
        <f ca="1"/>
        <v>-0.58168713260407212</v>
      </c>
      <c r="X3949" s="2">
        <f ca="1"/>
        <v>37.815174246510644</v>
      </c>
      <c r="AG3949" s="2">
        <f ca="1"/>
        <v>0.91186143044996926</v>
      </c>
      <c r="AH3949" s="2" t="str">
        <f ca="1"/>
        <v>Bad</v>
      </c>
    </row>
    <row r="3950" spans="2:34">
      <c r="B3950" s="2">
        <f ca="1"/>
        <v>0.36423207721509021</v>
      </c>
      <c r="O3950" s="2">
        <f ca="1"/>
        <v>0.82655819130263364</v>
      </c>
      <c r="X3950" s="2">
        <f ca="1"/>
        <v>79.518548852956627</v>
      </c>
      <c r="AG3950" s="2">
        <f ca="1"/>
        <v>0.73659667154638098</v>
      </c>
      <c r="AH3950" s="2" t="str">
        <f ca="1"/>
        <v>Bad</v>
      </c>
    </row>
    <row r="3951" spans="2:34">
      <c r="B3951" s="2">
        <f ca="1"/>
        <v>0.34832996634135815</v>
      </c>
      <c r="O3951" s="2">
        <f ca="1"/>
        <v>1.5567925172262651</v>
      </c>
      <c r="X3951" s="2">
        <f ca="1"/>
        <v>45.821841297054533</v>
      </c>
      <c r="AG3951" s="2">
        <f ca="1"/>
        <v>0.84261360616685632</v>
      </c>
      <c r="AH3951" s="2" t="str">
        <f ca="1"/>
        <v>Bad</v>
      </c>
    </row>
    <row r="3952" spans="2:34">
      <c r="B3952" s="2">
        <f ca="1"/>
        <v>0.13731146910254055</v>
      </c>
      <c r="O3952" s="2">
        <f ca="1"/>
        <v>-0.42769113451435486</v>
      </c>
      <c r="X3952" s="2">
        <f ca="1"/>
        <v>41.261234330958189</v>
      </c>
      <c r="AG3952" s="2">
        <f ca="1"/>
        <v>0.46815121059268638</v>
      </c>
      <c r="AH3952" s="2" t="str">
        <f ca="1"/>
        <v>Bad</v>
      </c>
    </row>
    <row r="3953" spans="2:34">
      <c r="B3953" s="2">
        <f ca="1"/>
        <v>0.96224629993542488</v>
      </c>
      <c r="O3953" s="2">
        <f ca="1"/>
        <v>-1.7525033593519452</v>
      </c>
      <c r="X3953" s="2">
        <f ca="1"/>
        <v>40.466249601493914</v>
      </c>
      <c r="AG3953" s="2">
        <f ca="1"/>
        <v>0.16809602185098504</v>
      </c>
      <c r="AH3953" s="2" t="str">
        <f ca="1"/>
        <v>OK</v>
      </c>
    </row>
    <row r="3954" spans="2:34">
      <c r="B3954" s="2">
        <f ca="1"/>
        <v>0.96678672854868997</v>
      </c>
      <c r="O3954" s="2">
        <f ca="1"/>
        <v>-0.17137900402203843</v>
      </c>
      <c r="X3954" s="2">
        <f ca="1"/>
        <v>35.501968234248992</v>
      </c>
      <c r="AG3954" s="2">
        <f ca="1"/>
        <v>0.75951446614112195</v>
      </c>
      <c r="AH3954" s="2" t="str">
        <f ca="1"/>
        <v>Bad</v>
      </c>
    </row>
    <row r="3955" spans="2:34">
      <c r="B3955" s="2">
        <f ca="1"/>
        <v>0.46848004480151006</v>
      </c>
      <c r="O3955" s="2">
        <f ca="1"/>
        <v>-0.19385690828389227</v>
      </c>
      <c r="X3955" s="2">
        <f ca="1"/>
        <v>61.794920134911806</v>
      </c>
      <c r="AG3955" s="2">
        <f ca="1"/>
        <v>0.21872193923375471</v>
      </c>
      <c r="AH3955" s="2" t="str">
        <f ca="1"/>
        <v>OK</v>
      </c>
    </row>
    <row r="3956" spans="2:34">
      <c r="B3956" s="2">
        <f ca="1"/>
        <v>0.77135709366763994</v>
      </c>
      <c r="O3956" s="2">
        <f ca="1"/>
        <v>-0.69967087860198829</v>
      </c>
      <c r="X3956" s="2">
        <f ca="1"/>
        <v>53.738643673883502</v>
      </c>
      <c r="AG3956" s="2">
        <f ca="1"/>
        <v>0.92498674846313067</v>
      </c>
      <c r="AH3956" s="2" t="str">
        <f ca="1"/>
        <v>Bad</v>
      </c>
    </row>
    <row r="3957" spans="2:34">
      <c r="B3957" s="2">
        <f ca="1"/>
        <v>0.65643249954956984</v>
      </c>
      <c r="O3957" s="2">
        <f ca="1"/>
        <v>-2.0273724614105402</v>
      </c>
      <c r="X3957" s="2">
        <f ca="1"/>
        <v>59.186740716745902</v>
      </c>
      <c r="AG3957" s="2">
        <f ca="1"/>
        <v>0.36520352045311744</v>
      </c>
      <c r="AH3957" s="2" t="str">
        <f ca="1"/>
        <v>OK</v>
      </c>
    </row>
    <row r="3958" spans="2:34">
      <c r="B3958" s="2">
        <f ca="1"/>
        <v>0.91446914455306483</v>
      </c>
      <c r="O3958" s="2">
        <f ca="1"/>
        <v>1.2366065952026455</v>
      </c>
      <c r="X3958" s="2">
        <f ca="1"/>
        <v>58.173043260944738</v>
      </c>
      <c r="AG3958" s="2">
        <f ca="1"/>
        <v>0.60574544981330458</v>
      </c>
      <c r="AH3958" s="2" t="str">
        <f ca="1"/>
        <v>Bad</v>
      </c>
    </row>
    <row r="3959" spans="2:34">
      <c r="B3959" s="2">
        <f ca="1"/>
        <v>0.48205594254968021</v>
      </c>
      <c r="O3959" s="2">
        <f ca="1"/>
        <v>0.61477631618160689</v>
      </c>
      <c r="X3959" s="2">
        <f ca="1"/>
        <v>57.102657091792167</v>
      </c>
      <c r="AG3959" s="2">
        <f ca="1"/>
        <v>0.76004962742242466</v>
      </c>
      <c r="AH3959" s="2" t="str">
        <f ca="1"/>
        <v>Bad</v>
      </c>
    </row>
    <row r="3960" spans="2:34">
      <c r="B3960" s="2">
        <f ca="1"/>
        <v>0.88959137597607163</v>
      </c>
      <c r="O3960" s="2">
        <f ca="1"/>
        <v>-0.222974551324297</v>
      </c>
      <c r="X3960" s="2">
        <f ca="1"/>
        <v>31.614624046273377</v>
      </c>
      <c r="AG3960" s="2">
        <f ca="1"/>
        <v>0.68370360222300408</v>
      </c>
      <c r="AH3960" s="2" t="str">
        <f ca="1"/>
        <v>Bad</v>
      </c>
    </row>
    <row r="3961" spans="2:34">
      <c r="B3961" s="2">
        <f ca="1"/>
        <v>6.4878767231345114E-2</v>
      </c>
      <c r="O3961" s="2">
        <f ca="1"/>
        <v>-1.4789345796054165</v>
      </c>
      <c r="X3961" s="2">
        <f ca="1"/>
        <v>71.349841041538951</v>
      </c>
      <c r="AG3961" s="2">
        <f ca="1"/>
        <v>0.68915059367440534</v>
      </c>
      <c r="AH3961" s="2" t="str">
        <f ca="1"/>
        <v>Bad</v>
      </c>
    </row>
    <row r="3962" spans="2:34">
      <c r="B3962" s="2">
        <f ca="1"/>
        <v>0.11083295803015036</v>
      </c>
      <c r="O3962" s="2">
        <f ca="1"/>
        <v>-0.2776372405210602</v>
      </c>
      <c r="X3962" s="2">
        <f ca="1"/>
        <v>52.89250812925679</v>
      </c>
      <c r="AG3962" s="2">
        <f ca="1"/>
        <v>0.32303575137779372</v>
      </c>
      <c r="AH3962" s="2" t="str">
        <f ca="1"/>
        <v>OK</v>
      </c>
    </row>
    <row r="3963" spans="2:34">
      <c r="B3963" s="2">
        <f ca="1"/>
        <v>0.74316560308956126</v>
      </c>
      <c r="O3963" s="2">
        <f ca="1"/>
        <v>1.4070729397137138</v>
      </c>
      <c r="X3963" s="2">
        <f ca="1"/>
        <v>51.239296878095175</v>
      </c>
      <c r="AG3963" s="2">
        <f ca="1"/>
        <v>0.21019833201793081</v>
      </c>
      <c r="AH3963" s="2" t="str">
        <f ca="1"/>
        <v>OK</v>
      </c>
    </row>
    <row r="3964" spans="2:34">
      <c r="B3964" s="2">
        <f ca="1"/>
        <v>0.88813584785429289</v>
      </c>
      <c r="O3964" s="2">
        <f ca="1"/>
        <v>-8.2298098589039081E-2</v>
      </c>
      <c r="X3964" s="2">
        <f ca="1"/>
        <v>50.751258686471601</v>
      </c>
      <c r="AG3964" s="2">
        <f ca="1"/>
        <v>0.60243745694427897</v>
      </c>
      <c r="AH3964" s="2" t="str">
        <f ca="1"/>
        <v>Bad</v>
      </c>
    </row>
    <row r="3965" spans="2:34">
      <c r="B3965" s="2">
        <f ca="1"/>
        <v>0.65177534363843748</v>
      </c>
      <c r="O3965" s="2">
        <f ca="1"/>
        <v>1.0205411985015183</v>
      </c>
      <c r="X3965" s="2">
        <f ca="1"/>
        <v>94.836623137432255</v>
      </c>
      <c r="AG3965" s="2">
        <f ca="1"/>
        <v>0.62556055424267965</v>
      </c>
      <c r="AH3965" s="2" t="str">
        <f ca="1"/>
        <v>Bad</v>
      </c>
    </row>
    <row r="3966" spans="2:34">
      <c r="B3966" s="2">
        <f ca="1"/>
        <v>1.6564473031527305E-2</v>
      </c>
      <c r="O3966" s="2">
        <f ca="1"/>
        <v>-0.14833868568626832</v>
      </c>
      <c r="X3966" s="2">
        <f ca="1"/>
        <v>60.569088038343146</v>
      </c>
      <c r="AG3966" s="2">
        <f ca="1"/>
        <v>0.86563052253969652</v>
      </c>
      <c r="AH3966" s="2" t="str">
        <f ca="1"/>
        <v>Bad</v>
      </c>
    </row>
    <row r="3967" spans="2:34">
      <c r="B3967" s="2">
        <f ca="1"/>
        <v>0.98494355733329719</v>
      </c>
      <c r="O3967" s="2">
        <f ca="1"/>
        <v>0.33534129517270522</v>
      </c>
      <c r="X3967" s="2">
        <f ca="1"/>
        <v>72.723087437624159</v>
      </c>
      <c r="AG3967" s="2">
        <f ca="1"/>
        <v>0.93074057391207532</v>
      </c>
      <c r="AH3967" s="2" t="str">
        <f ca="1"/>
        <v>Bad</v>
      </c>
    </row>
    <row r="3968" spans="2:34">
      <c r="B3968" s="2">
        <f ca="1"/>
        <v>0.14897210749382439</v>
      </c>
      <c r="O3968" s="2">
        <f ca="1"/>
        <v>1.482502140852449</v>
      </c>
      <c r="X3968" s="2">
        <f ca="1"/>
        <v>73.42116965221804</v>
      </c>
      <c r="AG3968" s="2">
        <f ca="1"/>
        <v>6.9813383180388433E-2</v>
      </c>
      <c r="AH3968" s="2" t="str">
        <f ca="1"/>
        <v>OK</v>
      </c>
    </row>
    <row r="3969" spans="2:34">
      <c r="B3969" s="2">
        <f ca="1"/>
        <v>0.67066016551685004</v>
      </c>
      <c r="O3969" s="2">
        <f ca="1"/>
        <v>-0.51738078807961574</v>
      </c>
      <c r="X3969" s="2">
        <f ca="1"/>
        <v>73.859527209167879</v>
      </c>
      <c r="AG3969" s="2">
        <f ca="1"/>
        <v>0.67008785067598531</v>
      </c>
      <c r="AH3969" s="2" t="str">
        <f ca="1"/>
        <v>Bad</v>
      </c>
    </row>
    <row r="3970" spans="2:34">
      <c r="B3970" s="2">
        <f ca="1"/>
        <v>0.53235696301413871</v>
      </c>
      <c r="O3970" s="2">
        <f ca="1"/>
        <v>0.71242377508757704</v>
      </c>
      <c r="X3970" s="2">
        <f ca="1"/>
        <v>38.97572591307555</v>
      </c>
      <c r="AG3970" s="2">
        <f ca="1"/>
        <v>0.8885744300302667</v>
      </c>
      <c r="AH3970" s="2" t="str">
        <f ca="1"/>
        <v>Bad</v>
      </c>
    </row>
    <row r="3971" spans="2:34">
      <c r="B3971" s="2">
        <f ca="1"/>
        <v>0.1884500577475734</v>
      </c>
      <c r="O3971" s="2">
        <f ca="1"/>
        <v>-0.14927037539222915</v>
      </c>
      <c r="X3971" s="2">
        <f ca="1"/>
        <v>63.780257451292819</v>
      </c>
      <c r="AG3971" s="2">
        <f ca="1"/>
        <v>5.1331491497414117E-2</v>
      </c>
      <c r="AH3971" s="2" t="str">
        <f ca="1"/>
        <v>OK</v>
      </c>
    </row>
    <row r="3972" spans="2:34">
      <c r="B3972" s="2">
        <f ca="1"/>
        <v>0.81967558258165041</v>
      </c>
      <c r="O3972" s="2">
        <f ca="1"/>
        <v>0.91499152893397562</v>
      </c>
      <c r="X3972" s="2">
        <f ca="1"/>
        <v>72.227792546603681</v>
      </c>
      <c r="AG3972" s="2">
        <f ca="1"/>
        <v>0.23673296412824119</v>
      </c>
      <c r="AH3972" s="2" t="str">
        <f ca="1"/>
        <v>OK</v>
      </c>
    </row>
    <row r="3973" spans="2:34">
      <c r="B3973" s="2">
        <f ca="1"/>
        <v>0.11357440446043476</v>
      </c>
      <c r="O3973" s="2">
        <f ca="1"/>
        <v>0.1882600828535452</v>
      </c>
      <c r="X3973" s="2">
        <f ca="1"/>
        <v>56.196306540864413</v>
      </c>
      <c r="AG3973" s="2">
        <f ca="1"/>
        <v>0.66540470810694052</v>
      </c>
      <c r="AH3973" s="2" t="str">
        <f ca="1"/>
        <v>Bad</v>
      </c>
    </row>
    <row r="3974" spans="2:34">
      <c r="B3974" s="2">
        <f ca="1"/>
        <v>0.23451053172101965</v>
      </c>
      <c r="O3974" s="2">
        <f ca="1"/>
        <v>-1.8180095229814233</v>
      </c>
      <c r="X3974" s="2">
        <f ca="1"/>
        <v>57.383446792741424</v>
      </c>
      <c r="AG3974" s="2">
        <f ca="1"/>
        <v>0.11866963891556948</v>
      </c>
      <c r="AH3974" s="2" t="str">
        <f ca="1"/>
        <v>OK</v>
      </c>
    </row>
    <row r="3975" spans="2:34">
      <c r="B3975" s="2">
        <f ca="1"/>
        <v>0.89012879185464189</v>
      </c>
      <c r="O3975" s="2">
        <f ca="1"/>
        <v>2.3017313747920494E-2</v>
      </c>
      <c r="X3975" s="2">
        <f ca="1"/>
        <v>33.040043413703003</v>
      </c>
      <c r="AG3975" s="2">
        <f ca="1"/>
        <v>0.27683881822549661</v>
      </c>
      <c r="AH3975" s="2" t="str">
        <f ca="1"/>
        <v>OK</v>
      </c>
    </row>
    <row r="3976" spans="2:34">
      <c r="B3976" s="2">
        <f ca="1"/>
        <v>0.80669318079665442</v>
      </c>
      <c r="O3976" s="2">
        <f ca="1"/>
        <v>0.48258656420577584</v>
      </c>
      <c r="X3976" s="2">
        <f ca="1"/>
        <v>44.680938676166107</v>
      </c>
      <c r="AG3976" s="2">
        <f ca="1"/>
        <v>0.67768718358134161</v>
      </c>
      <c r="AH3976" s="2" t="str">
        <f ca="1"/>
        <v>Bad</v>
      </c>
    </row>
    <row r="3977" spans="2:34">
      <c r="B3977" s="2">
        <f ca="1"/>
        <v>0.49925777426039297</v>
      </c>
      <c r="O3977" s="2">
        <f ca="1"/>
        <v>-1.7652606965939726</v>
      </c>
      <c r="X3977" s="2">
        <f ca="1"/>
        <v>59.782973584874128</v>
      </c>
      <c r="AG3977" s="2">
        <f ca="1"/>
        <v>0.43910293877755047</v>
      </c>
      <c r="AH3977" s="2" t="str">
        <f ca="1"/>
        <v>Bad</v>
      </c>
    </row>
    <row r="3978" spans="2:34">
      <c r="B3978" s="2">
        <f ca="1"/>
        <v>0.73049719957404524</v>
      </c>
      <c r="O3978" s="2">
        <f ca="1"/>
        <v>5.3978726072130036E-2</v>
      </c>
      <c r="X3978" s="2">
        <f ca="1"/>
        <v>40.814079468462161</v>
      </c>
      <c r="AG3978" s="2">
        <f ca="1"/>
        <v>0.5005165801785747</v>
      </c>
      <c r="AH3978" s="2" t="str">
        <f ca="1"/>
        <v>Bad</v>
      </c>
    </row>
    <row r="3979" spans="2:34">
      <c r="B3979" s="2">
        <f ca="1"/>
        <v>0.27126027612203929</v>
      </c>
      <c r="O3979" s="2">
        <f ca="1"/>
        <v>-2.7453157874548557E-2</v>
      </c>
      <c r="X3979" s="2">
        <f ca="1"/>
        <v>58.593730234501599</v>
      </c>
      <c r="AG3979" s="2">
        <f ca="1"/>
        <v>0.12155283721078902</v>
      </c>
      <c r="AH3979" s="2" t="str">
        <f ca="1"/>
        <v>OK</v>
      </c>
    </row>
    <row r="3980" spans="2:34">
      <c r="B3980" s="2">
        <f ca="1"/>
        <v>0.49658372126918504</v>
      </c>
      <c r="O3980" s="2">
        <f ca="1"/>
        <v>-0.64898824940944611</v>
      </c>
      <c r="X3980" s="2">
        <f ca="1"/>
        <v>49.11883247983836</v>
      </c>
      <c r="AG3980" s="2">
        <f ca="1"/>
        <v>0.12120881077708456</v>
      </c>
      <c r="AH3980" s="2" t="str">
        <f ca="1"/>
        <v>OK</v>
      </c>
    </row>
    <row r="3981" spans="2:34">
      <c r="B3981" s="2">
        <f ca="1"/>
        <v>0.91215904406305559</v>
      </c>
      <c r="O3981" s="2">
        <f ca="1"/>
        <v>-0.392981322188941</v>
      </c>
      <c r="X3981" s="2">
        <f ca="1"/>
        <v>88.567633848396682</v>
      </c>
      <c r="AG3981" s="2">
        <f ca="1"/>
        <v>0.57984319326327749</v>
      </c>
      <c r="AH3981" s="2" t="str">
        <f ca="1"/>
        <v>Bad</v>
      </c>
    </row>
    <row r="3982" spans="2:34">
      <c r="B3982" s="2">
        <f ca="1"/>
        <v>0.47646293762912784</v>
      </c>
      <c r="O3982" s="2">
        <f ca="1"/>
        <v>1.4506431619918867</v>
      </c>
      <c r="X3982" s="2">
        <f ca="1"/>
        <v>37.316131138861039</v>
      </c>
      <c r="AG3982" s="2">
        <f ca="1"/>
        <v>0.97846348029402508</v>
      </c>
      <c r="AH3982" s="2" t="str">
        <f ca="1"/>
        <v>Bad</v>
      </c>
    </row>
    <row r="3983" spans="2:34">
      <c r="B3983" s="2">
        <f ca="1"/>
        <v>0.52508610916022302</v>
      </c>
      <c r="O3983" s="2">
        <f ca="1"/>
        <v>0.21054797986414417</v>
      </c>
      <c r="X3983" s="2">
        <f ca="1"/>
        <v>50.20383209365307</v>
      </c>
      <c r="AG3983" s="2">
        <f ca="1"/>
        <v>0.35561445872467634</v>
      </c>
      <c r="AH3983" s="2" t="str">
        <f ca="1"/>
        <v>OK</v>
      </c>
    </row>
    <row r="3984" spans="2:34">
      <c r="B3984" s="2">
        <f ca="1"/>
        <v>0.40153481510545252</v>
      </c>
      <c r="O3984" s="2">
        <f ca="1"/>
        <v>0.35014704704604982</v>
      </c>
      <c r="X3984" s="2">
        <f ca="1"/>
        <v>30.964207302644297</v>
      </c>
      <c r="AG3984" s="2">
        <f ca="1"/>
        <v>0.64661537703454175</v>
      </c>
      <c r="AH3984" s="2" t="str">
        <f ca="1"/>
        <v>Bad</v>
      </c>
    </row>
    <row r="3985" spans="2:34">
      <c r="B3985" s="2">
        <f ca="1"/>
        <v>0.50714509571265376</v>
      </c>
      <c r="O3985" s="2">
        <f ca="1"/>
        <v>-0.25609283164078023</v>
      </c>
      <c r="X3985" s="2">
        <f ca="1"/>
        <v>37.603387375455291</v>
      </c>
      <c r="AG3985" s="2">
        <f ca="1"/>
        <v>0.16576224775366999</v>
      </c>
      <c r="AH3985" s="2" t="str">
        <f ca="1"/>
        <v>OK</v>
      </c>
    </row>
    <row r="3986" spans="2:34">
      <c r="B3986" s="2">
        <f ca="1"/>
        <v>0.89098745119346301</v>
      </c>
      <c r="O3986" s="2">
        <f ca="1"/>
        <v>-1.3336327864289408</v>
      </c>
      <c r="X3986" s="2">
        <f ca="1"/>
        <v>48.546276689029014</v>
      </c>
      <c r="AG3986" s="2">
        <f ca="1"/>
        <v>0.57629085420247494</v>
      </c>
      <c r="AH3986" s="2" t="str">
        <f ca="1"/>
        <v>Bad</v>
      </c>
    </row>
    <row r="3987" spans="2:34">
      <c r="B3987" s="2">
        <f ca="1"/>
        <v>0.5720847292953033</v>
      </c>
      <c r="O3987" s="2">
        <f ca="1"/>
        <v>0.48726388427486217</v>
      </c>
      <c r="X3987" s="2">
        <f ca="1"/>
        <v>42.157384070349821</v>
      </c>
      <c r="AG3987" s="2">
        <f ca="1"/>
        <v>0.72081345147882581</v>
      </c>
      <c r="AH3987" s="2" t="str">
        <f ca="1"/>
        <v>Bad</v>
      </c>
    </row>
    <row r="3988" spans="2:34">
      <c r="B3988" s="2">
        <f ca="1"/>
        <v>0.9499199470877624</v>
      </c>
      <c r="O3988" s="2">
        <f ca="1"/>
        <v>2.4589412690615688</v>
      </c>
      <c r="X3988" s="2">
        <f ca="1"/>
        <v>62.42965127332198</v>
      </c>
      <c r="AG3988" s="2">
        <f ca="1"/>
        <v>0.21670500921349234</v>
      </c>
      <c r="AH3988" s="2" t="str">
        <f ca="1"/>
        <v>OK</v>
      </c>
    </row>
    <row r="3989" spans="2:34">
      <c r="B3989" s="2">
        <f ca="1"/>
        <v>0.82097243696694688</v>
      </c>
      <c r="O3989" s="2">
        <f ca="1"/>
        <v>-0.22366159109724107</v>
      </c>
      <c r="X3989" s="2">
        <f ca="1"/>
        <v>32.60901456504633</v>
      </c>
      <c r="AG3989" s="2">
        <f ca="1"/>
        <v>0.75352647257695282</v>
      </c>
      <c r="AH3989" s="2" t="str">
        <f ca="1"/>
        <v>Bad</v>
      </c>
    </row>
    <row r="3990" spans="2:34">
      <c r="B3990" s="2">
        <f ca="1"/>
        <v>0.27404097552486095</v>
      </c>
      <c r="O3990" s="2">
        <f ca="1"/>
        <v>0.42346178007287016</v>
      </c>
      <c r="X3990" s="2">
        <f ca="1"/>
        <v>67.187786501652283</v>
      </c>
      <c r="AG3990" s="2">
        <f ca="1"/>
        <v>0.81035006555467648</v>
      </c>
      <c r="AH3990" s="2" t="str">
        <f ca="1"/>
        <v>Bad</v>
      </c>
    </row>
    <row r="3991" spans="2:34">
      <c r="B3991" s="2">
        <f ca="1"/>
        <v>0.5945626749845967</v>
      </c>
      <c r="O3991" s="2">
        <f ca="1"/>
        <v>-0.94305627694646532</v>
      </c>
      <c r="X3991" s="2">
        <f ca="1"/>
        <v>49.828234406549583</v>
      </c>
      <c r="AG3991" s="2">
        <f ca="1"/>
        <v>0.4402103227995442</v>
      </c>
      <c r="AH3991" s="2" t="str">
        <f ca="1"/>
        <v>Bad</v>
      </c>
    </row>
    <row r="3992" spans="2:34">
      <c r="B3992" s="2">
        <f ca="1"/>
        <v>0.50273233255651206</v>
      </c>
      <c r="O3992" s="2">
        <f ca="1"/>
        <v>1.3129526774498066</v>
      </c>
      <c r="X3992" s="2">
        <f ca="1"/>
        <v>67.708972085957782</v>
      </c>
      <c r="AG3992" s="2">
        <f ca="1"/>
        <v>0.1601073096275325</v>
      </c>
      <c r="AH3992" s="2" t="str">
        <f ca="1"/>
        <v>OK</v>
      </c>
    </row>
    <row r="3993" spans="2:34">
      <c r="B3993" s="2">
        <f ca="1"/>
        <v>0.51544570673964274</v>
      </c>
      <c r="O3993" s="2">
        <f ca="1"/>
        <v>-2.070068631717215</v>
      </c>
      <c r="X3993" s="2">
        <f ca="1"/>
        <v>57.521226074569356</v>
      </c>
      <c r="AG3993" s="2">
        <f ca="1"/>
        <v>0.66300122853657562</v>
      </c>
      <c r="AH3993" s="2" t="str">
        <f ca="1"/>
        <v>Bad</v>
      </c>
    </row>
    <row r="3994" spans="2:34">
      <c r="B3994" s="2">
        <f ca="1"/>
        <v>0.772646402753842</v>
      </c>
      <c r="O3994" s="2">
        <f ca="1"/>
        <v>-1.2019057089117904</v>
      </c>
      <c r="X3994" s="2">
        <f ca="1"/>
        <v>44.64289183123136</v>
      </c>
      <c r="AG3994" s="2">
        <f ca="1"/>
        <v>0.44973310260500776</v>
      </c>
      <c r="AH3994" s="2" t="str">
        <f ca="1"/>
        <v>Bad</v>
      </c>
    </row>
    <row r="3995" spans="2:34">
      <c r="B3995" s="2">
        <f ca="1"/>
        <v>0.30708445559689079</v>
      </c>
      <c r="O3995" s="2">
        <f ca="1"/>
        <v>-1.9267368342655673</v>
      </c>
      <c r="X3995" s="2">
        <f ca="1"/>
        <v>27.497830665229873</v>
      </c>
      <c r="AG3995" s="2">
        <f ca="1"/>
        <v>0.66464344292368693</v>
      </c>
      <c r="AH3995" s="2" t="str">
        <f ca="1"/>
        <v>Bad</v>
      </c>
    </row>
    <row r="3996" spans="2:34">
      <c r="B3996" s="2">
        <f ca="1"/>
        <v>0.49203483071179877</v>
      </c>
      <c r="O3996" s="2">
        <f ca="1"/>
        <v>1.027718643736365</v>
      </c>
      <c r="X3996" s="2">
        <f ca="1"/>
        <v>42.336111741389388</v>
      </c>
      <c r="AG3996" s="2">
        <f ca="1"/>
        <v>0.84378751614948255</v>
      </c>
      <c r="AH3996" s="2" t="str">
        <f ca="1"/>
        <v>Bad</v>
      </c>
    </row>
    <row r="3997" spans="2:34">
      <c r="B3997" s="2">
        <f ca="1"/>
        <v>0.56301334833500816</v>
      </c>
      <c r="O3997" s="2">
        <f ca="1"/>
        <v>-1.8149012056980907</v>
      </c>
      <c r="X3997" s="2">
        <f ca="1"/>
        <v>38.607332205559942</v>
      </c>
      <c r="AG3997" s="2">
        <f ca="1"/>
        <v>0.71350367150615268</v>
      </c>
      <c r="AH3997" s="2" t="str">
        <f ca="1"/>
        <v>Bad</v>
      </c>
    </row>
    <row r="3998" spans="2:34">
      <c r="B3998" s="2">
        <f ca="1"/>
        <v>1.253112237245313E-2</v>
      </c>
      <c r="O3998" s="2">
        <f ca="1"/>
        <v>1.1013116483380145</v>
      </c>
      <c r="X3998" s="2">
        <f ca="1"/>
        <v>40.825790400064577</v>
      </c>
      <c r="AG3998" s="2">
        <f ca="1"/>
        <v>1.3831623151967509E-3</v>
      </c>
      <c r="AH3998" s="2" t="str">
        <f ca="1"/>
        <v>Good</v>
      </c>
    </row>
    <row r="3999" spans="2:34">
      <c r="B3999" s="2">
        <f ca="1"/>
        <v>0.47809531632053948</v>
      </c>
      <c r="O3999" s="2">
        <f ca="1"/>
        <v>0.38695062429489557</v>
      </c>
      <c r="X3999" s="2">
        <f ca="1"/>
        <v>48.572261148833434</v>
      </c>
      <c r="AG3999" s="2">
        <f ca="1"/>
        <v>0.19306759842031607</v>
      </c>
      <c r="AH3999" s="2" t="str">
        <f ca="1"/>
        <v>OK</v>
      </c>
    </row>
    <row r="4000" spans="2:34">
      <c r="B4000" s="2">
        <f ca="1"/>
        <v>0.62309126219811306</v>
      </c>
      <c r="O4000" s="2">
        <f ca="1"/>
        <v>-0.59215098885799777</v>
      </c>
      <c r="X4000" s="2">
        <f ca="1"/>
        <v>55.396082019289032</v>
      </c>
      <c r="AG4000" s="2">
        <f ca="1"/>
        <v>0.93134520641201779</v>
      </c>
      <c r="AH4000" s="2" t="str">
        <f ca="1"/>
        <v>Bad</v>
      </c>
    </row>
    <row r="4001" spans="2:34">
      <c r="B4001" s="2">
        <f ca="1"/>
        <v>0.55828498479520272</v>
      </c>
      <c r="O4001" s="2">
        <f ca="1"/>
        <v>-1.3263316604534188</v>
      </c>
      <c r="X4001" s="2">
        <f ca="1"/>
        <v>47.849999508985022</v>
      </c>
      <c r="AG4001" s="2">
        <f ca="1"/>
        <v>0.61363091175838491</v>
      </c>
      <c r="AH4001" s="2" t="str">
        <f ca="1"/>
        <v>Bad</v>
      </c>
    </row>
    <row r="4002" spans="2:34">
      <c r="B4002" s="2">
        <f ca="1"/>
        <v>0.7008788609762413</v>
      </c>
      <c r="O4002" s="2">
        <f ca="1"/>
        <v>-2.0283482279571783</v>
      </c>
      <c r="X4002" s="2">
        <f ca="1"/>
        <v>72.936288941039422</v>
      </c>
      <c r="AG4002" s="2">
        <f ca="1"/>
        <v>8.091447135150398E-2</v>
      </c>
      <c r="AH4002" s="2" t="str">
        <f ca="1"/>
        <v>OK</v>
      </c>
    </row>
    <row r="4003" spans="2:34">
      <c r="B4003" s="2">
        <f ca="1"/>
        <v>0.99926804365788024</v>
      </c>
      <c r="O4003" s="2">
        <f ca="1"/>
        <v>0.77231346950329405</v>
      </c>
      <c r="X4003" s="2">
        <f ca="1"/>
        <v>33.775105094461736</v>
      </c>
      <c r="AG4003" s="2">
        <f ca="1"/>
        <v>0.13038032999175697</v>
      </c>
      <c r="AH4003" s="2" t="str">
        <f ca="1"/>
        <v>OK</v>
      </c>
    </row>
    <row r="4004" spans="2:34">
      <c r="B4004" s="2">
        <f ca="1"/>
        <v>0.36902818791376268</v>
      </c>
      <c r="O4004" s="2">
        <f ca="1"/>
        <v>-1.4736033956077663</v>
      </c>
      <c r="X4004" s="2">
        <f ca="1"/>
        <v>57.858279172285449</v>
      </c>
      <c r="AG4004" s="2">
        <f ca="1"/>
        <v>0.52765947234605615</v>
      </c>
      <c r="AH4004" s="2" t="str">
        <f ca="1"/>
        <v>Bad</v>
      </c>
    </row>
    <row r="4005" spans="2:34">
      <c r="B4005" s="2">
        <f ca="1"/>
        <v>0.9003876178960899</v>
      </c>
      <c r="O4005" s="2">
        <f ca="1"/>
        <v>0.18499942358559904</v>
      </c>
      <c r="X4005" s="2">
        <f ca="1"/>
        <v>67.660017289920404</v>
      </c>
      <c r="AG4005" s="2">
        <f ca="1"/>
        <v>0.69428826647756003</v>
      </c>
      <c r="AH4005" s="2" t="str">
        <f ca="1"/>
        <v>Bad</v>
      </c>
    </row>
    <row r="4006" spans="2:34">
      <c r="B4006" s="2">
        <f ca="1"/>
        <v>0.60118661811190099</v>
      </c>
      <c r="O4006" s="2">
        <f ca="1"/>
        <v>1.932604707330098</v>
      </c>
      <c r="X4006" s="2">
        <f ca="1"/>
        <v>74.681900334638101</v>
      </c>
      <c r="AG4006" s="2">
        <f ca="1"/>
        <v>0.5861603247322158</v>
      </c>
      <c r="AH4006" s="2" t="str">
        <f ca="1"/>
        <v>Bad</v>
      </c>
    </row>
    <row r="4007" spans="2:34">
      <c r="B4007" s="2">
        <f ca="1"/>
        <v>0.26497226494955139</v>
      </c>
      <c r="O4007" s="2">
        <f ca="1"/>
        <v>-1.178592144262306</v>
      </c>
      <c r="X4007" s="2">
        <f ca="1"/>
        <v>69.46145095606019</v>
      </c>
      <c r="AG4007" s="2">
        <f ca="1"/>
        <v>0.61953029634113688</v>
      </c>
      <c r="AH4007" s="2" t="str">
        <f ca="1"/>
        <v>Bad</v>
      </c>
    </row>
    <row r="4008" spans="2:34">
      <c r="B4008" s="2">
        <f ca="1"/>
        <v>0.91241097834972273</v>
      </c>
      <c r="O4008" s="2">
        <f ca="1"/>
        <v>-0.94036179379871732</v>
      </c>
      <c r="X4008" s="2">
        <f ca="1"/>
        <v>56.024042617833189</v>
      </c>
      <c r="AG4008" s="2">
        <f ca="1"/>
        <v>0.29268851813760666</v>
      </c>
      <c r="AH4008" s="2" t="str">
        <f ca="1"/>
        <v>OK</v>
      </c>
    </row>
    <row r="4009" spans="2:34">
      <c r="B4009" s="2">
        <f ca="1"/>
        <v>0.30455012627541311</v>
      </c>
      <c r="O4009" s="2">
        <f ca="1"/>
        <v>1.0346822347616911</v>
      </c>
      <c r="X4009" s="2">
        <f ca="1"/>
        <v>23.240149444214996</v>
      </c>
      <c r="AG4009" s="2">
        <f ca="1"/>
        <v>0.13382353480036535</v>
      </c>
      <c r="AH4009" s="2" t="str">
        <f ca="1"/>
        <v>OK</v>
      </c>
    </row>
    <row r="4010" spans="2:34">
      <c r="B4010" s="2">
        <f ca="1"/>
        <v>0.21291254801133142</v>
      </c>
      <c r="O4010" s="2">
        <f ca="1"/>
        <v>0.55281520643543414</v>
      </c>
      <c r="X4010" s="2">
        <f ca="1"/>
        <v>39.090589960316493</v>
      </c>
      <c r="AG4010" s="2">
        <f ca="1"/>
        <v>0.83497614682347221</v>
      </c>
      <c r="AH4010" s="2" t="str">
        <f ca="1"/>
        <v>Bad</v>
      </c>
    </row>
    <row r="4011" spans="2:34">
      <c r="B4011" s="2">
        <f ca="1"/>
        <v>0.53057526071557026</v>
      </c>
      <c r="O4011" s="2">
        <f ca="1"/>
        <v>-1.4197521187713977</v>
      </c>
      <c r="X4011" s="2">
        <f ca="1"/>
        <v>49.530662642994358</v>
      </c>
      <c r="AG4011" s="2">
        <f ca="1"/>
        <v>8.7716203142585325E-2</v>
      </c>
      <c r="AH4011" s="2" t="str">
        <f ca="1"/>
        <v>OK</v>
      </c>
    </row>
    <row r="4012" spans="2:34">
      <c r="B4012" s="2">
        <f ca="1"/>
        <v>0.61967914626276954</v>
      </c>
      <c r="O4012" s="2">
        <f ca="1"/>
        <v>-0.31156227450332308</v>
      </c>
      <c r="X4012" s="2">
        <f ca="1"/>
        <v>57.810767385812113</v>
      </c>
      <c r="AG4012" s="2">
        <f ca="1"/>
        <v>0.73957606693238587</v>
      </c>
      <c r="AH4012" s="2" t="str">
        <f ca="1"/>
        <v>Bad</v>
      </c>
    </row>
    <row r="4013" spans="2:34">
      <c r="B4013" s="2">
        <f ca="1"/>
        <v>0.60904002143107872</v>
      </c>
      <c r="O4013" s="2">
        <f ca="1"/>
        <v>-0.32045792943564999</v>
      </c>
      <c r="X4013" s="2">
        <f ca="1"/>
        <v>30.41518808794833</v>
      </c>
      <c r="AG4013" s="2">
        <f ca="1"/>
        <v>0.41055265910231786</v>
      </c>
      <c r="AH4013" s="2" t="str">
        <f ca="1"/>
        <v>Bad</v>
      </c>
    </row>
    <row r="4014" spans="2:34">
      <c r="B4014" s="2">
        <f ca="1"/>
        <v>0.63178650246488832</v>
      </c>
      <c r="O4014" s="2">
        <f ca="1"/>
        <v>-0.65036379811139944</v>
      </c>
      <c r="X4014" s="2">
        <f ca="1"/>
        <v>16.748135683518093</v>
      </c>
      <c r="AG4014" s="2">
        <f ca="1"/>
        <v>0.31573379027297532</v>
      </c>
      <c r="AH4014" s="2" t="str">
        <f ca="1"/>
        <v>OK</v>
      </c>
    </row>
    <row r="4015" spans="2:34">
      <c r="B4015" s="2">
        <f ca="1"/>
        <v>0.39914531195399539</v>
      </c>
      <c r="O4015" s="2">
        <f ca="1"/>
        <v>-0.4647535511836986</v>
      </c>
      <c r="X4015" s="2">
        <f ca="1"/>
        <v>49.648082712856016</v>
      </c>
      <c r="AG4015" s="2">
        <f ca="1"/>
        <v>0.14144587627719529</v>
      </c>
      <c r="AH4015" s="2" t="str">
        <f ca="1"/>
        <v>OK</v>
      </c>
    </row>
    <row r="4016" spans="2:34">
      <c r="B4016" s="2">
        <f ca="1"/>
        <v>0.79751708839789814</v>
      </c>
      <c r="O4016" s="2">
        <f ca="1"/>
        <v>0.52771270816822335</v>
      </c>
      <c r="X4016" s="2">
        <f ca="1"/>
        <v>47.243000789888086</v>
      </c>
      <c r="AG4016" s="2">
        <f ca="1"/>
        <v>0.59923883018337065</v>
      </c>
      <c r="AH4016" s="2" t="str">
        <f ca="1"/>
        <v>Bad</v>
      </c>
    </row>
    <row r="4017" spans="2:34">
      <c r="B4017" s="2">
        <f ca="1"/>
        <v>0.53538507389077816</v>
      </c>
      <c r="O4017" s="2">
        <f ca="1"/>
        <v>-2.1472877266826123</v>
      </c>
      <c r="X4017" s="2">
        <f ca="1"/>
        <v>48.128667114677945</v>
      </c>
      <c r="AG4017" s="2">
        <f ca="1"/>
        <v>0.2773198268476198</v>
      </c>
      <c r="AH4017" s="2" t="str">
        <f ca="1"/>
        <v>OK</v>
      </c>
    </row>
    <row r="4018" spans="2:34">
      <c r="B4018" s="2">
        <f ca="1"/>
        <v>9.5696281261238303E-2</v>
      </c>
      <c r="O4018" s="2">
        <f ca="1"/>
        <v>0.35677292162595881</v>
      </c>
      <c r="X4018" s="2">
        <f ca="1"/>
        <v>54.605510450349243</v>
      </c>
      <c r="AG4018" s="2">
        <f ca="1"/>
        <v>0.98581372645204568</v>
      </c>
      <c r="AH4018" s="2" t="str">
        <f ca="1"/>
        <v>Bad</v>
      </c>
    </row>
    <row r="4019" spans="2:34">
      <c r="B4019" s="2">
        <f ca="1"/>
        <v>0.89275575920183026</v>
      </c>
      <c r="O4019" s="2">
        <f ca="1"/>
        <v>-0.31086377964739326</v>
      </c>
      <c r="X4019" s="2">
        <f ca="1"/>
        <v>60.071929764589342</v>
      </c>
      <c r="AG4019" s="2">
        <f ca="1"/>
        <v>0.59919242613814316</v>
      </c>
      <c r="AH4019" s="2" t="str">
        <f ca="1"/>
        <v>Bad</v>
      </c>
    </row>
    <row r="4020" spans="2:34">
      <c r="B4020" s="2">
        <f ca="1"/>
        <v>0.76309280190595619</v>
      </c>
      <c r="O4020" s="2">
        <f ca="1"/>
        <v>-5.5291134722406564E-2</v>
      </c>
      <c r="X4020" s="2">
        <f ca="1"/>
        <v>41.727102520865628</v>
      </c>
      <c r="AG4020" s="2">
        <f ca="1"/>
        <v>0.39778414633976134</v>
      </c>
      <c r="AH4020" s="2" t="str">
        <f ca="1"/>
        <v>OK</v>
      </c>
    </row>
    <row r="4021" spans="2:34">
      <c r="B4021" s="2">
        <f ca="1"/>
        <v>0.88294663995142386</v>
      </c>
      <c r="O4021" s="2">
        <f ca="1"/>
        <v>-1.1212011946679852</v>
      </c>
      <c r="X4021" s="2">
        <f ca="1"/>
        <v>66.177706071850139</v>
      </c>
      <c r="AG4021" s="2">
        <f ca="1"/>
        <v>2.7188991984640642E-2</v>
      </c>
      <c r="AH4021" s="2" t="str">
        <f ca="1"/>
        <v>Good</v>
      </c>
    </row>
    <row r="4022" spans="2:34">
      <c r="B4022" s="2">
        <f ca="1"/>
        <v>0.33611472194278713</v>
      </c>
      <c r="O4022" s="2">
        <f ca="1"/>
        <v>5.4927955883758636E-2</v>
      </c>
      <c r="X4022" s="2">
        <f ca="1"/>
        <v>25.950970293112906</v>
      </c>
      <c r="AG4022" s="2">
        <f ca="1"/>
        <v>0.41058958353445885</v>
      </c>
      <c r="AH4022" s="2" t="str">
        <f ca="1"/>
        <v>Bad</v>
      </c>
    </row>
    <row r="4023" spans="2:34">
      <c r="B4023" s="2">
        <f ca="1"/>
        <v>0.50063130745423545</v>
      </c>
      <c r="O4023" s="2">
        <f ca="1"/>
        <v>0.26108456691336107</v>
      </c>
      <c r="X4023" s="2">
        <f ca="1"/>
        <v>22.454790350803812</v>
      </c>
      <c r="AG4023" s="2">
        <f ca="1"/>
        <v>0.66999876508427025</v>
      </c>
      <c r="AH4023" s="2" t="str">
        <f ca="1"/>
        <v>Bad</v>
      </c>
    </row>
    <row r="4024" spans="2:34">
      <c r="B4024" s="2">
        <f ca="1"/>
        <v>0.24957030514981837</v>
      </c>
      <c r="O4024" s="2">
        <f ca="1"/>
        <v>-0.29345273866283061</v>
      </c>
      <c r="X4024" s="2">
        <f ca="1"/>
        <v>64.33360118039208</v>
      </c>
      <c r="AG4024" s="2">
        <f ca="1"/>
        <v>0.32739627691925199</v>
      </c>
      <c r="AH4024" s="2" t="str">
        <f ca="1"/>
        <v>OK</v>
      </c>
    </row>
    <row r="4025" spans="2:34">
      <c r="B4025" s="2">
        <f ca="1"/>
        <v>0.47833792099051831</v>
      </c>
      <c r="O4025" s="2">
        <f ca="1"/>
        <v>-0.10453005940867013</v>
      </c>
      <c r="X4025" s="2">
        <f ca="1"/>
        <v>64.549396613788304</v>
      </c>
      <c r="AG4025" s="2">
        <f ca="1"/>
        <v>0.86422242251339831</v>
      </c>
      <c r="AH4025" s="2" t="str">
        <f ca="1"/>
        <v>Bad</v>
      </c>
    </row>
    <row r="4026" spans="2:34">
      <c r="B4026" s="2">
        <f ca="1"/>
        <v>0.51724393517416756</v>
      </c>
      <c r="O4026" s="2">
        <f ca="1"/>
        <v>-0.20982803802057751</v>
      </c>
      <c r="X4026" s="2">
        <f ca="1"/>
        <v>55.692974144341349</v>
      </c>
      <c r="AG4026" s="2">
        <f ca="1"/>
        <v>0.64197918710421087</v>
      </c>
      <c r="AH4026" s="2" t="str">
        <f ca="1"/>
        <v>Bad</v>
      </c>
    </row>
    <row r="4027" spans="2:34">
      <c r="B4027" s="2">
        <f ca="1"/>
        <v>0.58142637525099206</v>
      </c>
      <c r="O4027" s="2">
        <f ca="1"/>
        <v>-1.060526772439583</v>
      </c>
      <c r="X4027" s="2">
        <f ca="1"/>
        <v>21.91351215384767</v>
      </c>
      <c r="AG4027" s="2">
        <f ca="1"/>
        <v>0.74795562782707514</v>
      </c>
      <c r="AH4027" s="2" t="str">
        <f ca="1"/>
        <v>Bad</v>
      </c>
    </row>
    <row r="4028" spans="2:34">
      <c r="B4028" s="2">
        <f ca="1"/>
        <v>0.75033817212984721</v>
      </c>
      <c r="O4028" s="2">
        <f ca="1"/>
        <v>-3.1257276490292214E-3</v>
      </c>
      <c r="X4028" s="2">
        <f ca="1"/>
        <v>35.819662170201347</v>
      </c>
      <c r="AG4028" s="2">
        <f ca="1"/>
        <v>8.6029692119847123E-2</v>
      </c>
      <c r="AH4028" s="2" t="str">
        <f ca="1"/>
        <v>OK</v>
      </c>
    </row>
    <row r="4029" spans="2:34">
      <c r="B4029" s="2">
        <f ca="1"/>
        <v>0.82462778571412731</v>
      </c>
      <c r="O4029" s="2">
        <f ca="1"/>
        <v>6.1137324562284968E-2</v>
      </c>
      <c r="X4029" s="2">
        <f ca="1"/>
        <v>56.568635959795522</v>
      </c>
      <c r="AG4029" s="2">
        <f ca="1"/>
        <v>0.94583074309635085</v>
      </c>
      <c r="AH4029" s="2" t="str">
        <f ca="1"/>
        <v>Bad</v>
      </c>
    </row>
    <row r="4030" spans="2:34">
      <c r="B4030" s="2">
        <f ca="1"/>
        <v>0.6594000381913685</v>
      </c>
      <c r="O4030" s="2">
        <f ca="1"/>
        <v>-0.13370788595331054</v>
      </c>
      <c r="X4030" s="2">
        <f ca="1"/>
        <v>31.383628374942532</v>
      </c>
      <c r="AG4030" s="2">
        <f ca="1"/>
        <v>0.6620110417322882</v>
      </c>
      <c r="AH4030" s="2" t="str">
        <f ca="1"/>
        <v>Bad</v>
      </c>
    </row>
    <row r="4031" spans="2:34">
      <c r="B4031" s="2">
        <f ca="1"/>
        <v>7.8292653382862509E-2</v>
      </c>
      <c r="O4031" s="2">
        <f ca="1"/>
        <v>-0.18075236938028974</v>
      </c>
      <c r="X4031" s="2">
        <f ca="1"/>
        <v>35.163929868277123</v>
      </c>
      <c r="AG4031" s="2">
        <f ca="1"/>
        <v>0.20068783832115855</v>
      </c>
      <c r="AH4031" s="2" t="str">
        <f ca="1"/>
        <v>OK</v>
      </c>
    </row>
    <row r="4032" spans="2:34">
      <c r="B4032" s="2">
        <f ca="1"/>
        <v>0.46371930997677002</v>
      </c>
      <c r="O4032" s="2">
        <f ca="1"/>
        <v>-1.3472032798539231</v>
      </c>
      <c r="X4032" s="2">
        <f ca="1"/>
        <v>47.675426624704514</v>
      </c>
      <c r="AG4032" s="2">
        <f ca="1"/>
        <v>0.55117794601735848</v>
      </c>
      <c r="AH4032" s="2" t="str">
        <f ca="1"/>
        <v>Bad</v>
      </c>
    </row>
    <row r="4033" spans="2:34">
      <c r="B4033" s="2">
        <f ca="1"/>
        <v>0.11334121471754433</v>
      </c>
      <c r="O4033" s="2">
        <f ca="1"/>
        <v>-0.91287570412665264</v>
      </c>
      <c r="X4033" s="2">
        <f ca="1"/>
        <v>69.6159488877841</v>
      </c>
      <c r="AG4033" s="2">
        <f ca="1"/>
        <v>0.16346922833037181</v>
      </c>
      <c r="AH4033" s="2" t="str">
        <f ca="1"/>
        <v>OK</v>
      </c>
    </row>
    <row r="4034" spans="2:34">
      <c r="B4034" s="2">
        <f ca="1"/>
        <v>4.0660195658153819E-2</v>
      </c>
      <c r="O4034" s="2">
        <f ca="1"/>
        <v>1.1479873281194952</v>
      </c>
      <c r="X4034" s="2">
        <f ca="1"/>
        <v>41.705994744509319</v>
      </c>
      <c r="AG4034" s="2">
        <f ca="1"/>
        <v>0.1188773004099406</v>
      </c>
      <c r="AH4034" s="2" t="str">
        <f ca="1"/>
        <v>OK</v>
      </c>
    </row>
    <row r="4035" spans="2:34">
      <c r="B4035" s="2">
        <f ca="1"/>
        <v>0.62580863821121246</v>
      </c>
      <c r="O4035" s="2">
        <f ca="1"/>
        <v>0.95466925307918127</v>
      </c>
      <c r="X4035" s="2">
        <f ca="1"/>
        <v>67.848685593573521</v>
      </c>
      <c r="AG4035" s="2">
        <f ca="1"/>
        <v>0.73760610480399125</v>
      </c>
      <c r="AH4035" s="2" t="str">
        <f ca="1"/>
        <v>Bad</v>
      </c>
    </row>
    <row r="4036" spans="2:34">
      <c r="B4036" s="2">
        <f ca="1"/>
        <v>0.74114251357246275</v>
      </c>
      <c r="O4036" s="2">
        <f ca="1"/>
        <v>-0.87475622972542799</v>
      </c>
      <c r="X4036" s="2">
        <f ca="1"/>
        <v>59.726851626155124</v>
      </c>
      <c r="AG4036" s="2">
        <f ca="1"/>
        <v>0.22944815315096001</v>
      </c>
      <c r="AH4036" s="2" t="str">
        <f ca="1"/>
        <v>OK</v>
      </c>
    </row>
    <row r="4037" spans="2:34">
      <c r="B4037" s="2">
        <f ca="1"/>
        <v>0.20380226116006361</v>
      </c>
      <c r="O4037" s="2">
        <f ca="1"/>
        <v>-0.14231064054526352</v>
      </c>
      <c r="X4037" s="2">
        <f ca="1"/>
        <v>53.500715555235303</v>
      </c>
      <c r="AG4037" s="2">
        <f ca="1"/>
        <v>0.94899223803214316</v>
      </c>
      <c r="AH4037" s="2" t="str">
        <f ca="1"/>
        <v>Bad</v>
      </c>
    </row>
    <row r="4038" spans="2:34">
      <c r="B4038" s="2">
        <f ca="1"/>
        <v>0.32297433987724133</v>
      </c>
      <c r="O4038" s="2">
        <f ca="1"/>
        <v>0.41228776780023452</v>
      </c>
      <c r="X4038" s="2">
        <f ca="1"/>
        <v>40.370581896376819</v>
      </c>
      <c r="AG4038" s="2">
        <f ca="1"/>
        <v>0.89784863264365922</v>
      </c>
      <c r="AH4038" s="2" t="str">
        <f ca="1"/>
        <v>Bad</v>
      </c>
    </row>
    <row r="4039" spans="2:34">
      <c r="B4039" s="2">
        <f ca="1"/>
        <v>0.10556283586013016</v>
      </c>
      <c r="O4039" s="2">
        <f ca="1"/>
        <v>-0.47700581336562298</v>
      </c>
      <c r="X4039" s="2">
        <f ca="1"/>
        <v>43.033329576933184</v>
      </c>
      <c r="AG4039" s="2">
        <f ca="1"/>
        <v>0.8109269978467919</v>
      </c>
      <c r="AH4039" s="2" t="str">
        <f ca="1"/>
        <v>Bad</v>
      </c>
    </row>
    <row r="4040" spans="2:34">
      <c r="B4040" s="2">
        <f ca="1"/>
        <v>0.40339202929582796</v>
      </c>
      <c r="O4040" s="2">
        <f ca="1"/>
        <v>-0.49568664262361367</v>
      </c>
      <c r="X4040" s="2">
        <f ca="1"/>
        <v>38.530689896593124</v>
      </c>
      <c r="AG4040" s="2">
        <f ca="1"/>
        <v>0.80964231536894715</v>
      </c>
      <c r="AH4040" s="2" t="str">
        <f ca="1"/>
        <v>Bad</v>
      </c>
    </row>
    <row r="4041" spans="2:34">
      <c r="B4041" s="2">
        <f ca="1"/>
        <v>0.94251986060443071</v>
      </c>
      <c r="O4041" s="2">
        <f ca="1"/>
        <v>1.8084750365863269</v>
      </c>
      <c r="X4041" s="2">
        <f ca="1"/>
        <v>49.728393890972299</v>
      </c>
      <c r="AG4041" s="2">
        <f ca="1"/>
        <v>0.76613974290064824</v>
      </c>
      <c r="AH4041" s="2" t="str">
        <f ca="1"/>
        <v>Bad</v>
      </c>
    </row>
    <row r="4042" spans="2:34">
      <c r="B4042" s="2">
        <f ca="1"/>
        <v>0.84346858286198967</v>
      </c>
      <c r="O4042" s="2">
        <f ca="1"/>
        <v>0.54566219250434744</v>
      </c>
      <c r="X4042" s="2">
        <f ca="1"/>
        <v>52.405012230223001</v>
      </c>
      <c r="AG4042" s="2">
        <f ca="1"/>
        <v>3.8604472938770007E-2</v>
      </c>
      <c r="AH4042" s="2" t="str">
        <f ca="1"/>
        <v>Good</v>
      </c>
    </row>
    <row r="4043" spans="2:34">
      <c r="B4043" s="2">
        <f ca="1"/>
        <v>0.16983233323965274</v>
      </c>
      <c r="O4043" s="2">
        <f ca="1"/>
        <v>-0.66335675536104666</v>
      </c>
      <c r="X4043" s="2">
        <f ca="1"/>
        <v>34.338534670377562</v>
      </c>
      <c r="AG4043" s="2">
        <f ca="1"/>
        <v>0.75379697383816291</v>
      </c>
      <c r="AH4043" s="2" t="str">
        <f ca="1"/>
        <v>Bad</v>
      </c>
    </row>
    <row r="4044" spans="2:34">
      <c r="B4044" s="2">
        <f ca="1"/>
        <v>0.29520952160821778</v>
      </c>
      <c r="O4044" s="2">
        <f ca="1"/>
        <v>0.55941883593467512</v>
      </c>
      <c r="X4044" s="2">
        <f ca="1"/>
        <v>51.022093130122499</v>
      </c>
      <c r="AG4044" s="2">
        <f ca="1"/>
        <v>0.1681011469044511</v>
      </c>
      <c r="AH4044" s="2" t="str">
        <f ca="1"/>
        <v>OK</v>
      </c>
    </row>
    <row r="4045" spans="2:34">
      <c r="B4045" s="2">
        <f ca="1"/>
        <v>0.34784028347555318</v>
      </c>
      <c r="O4045" s="2">
        <f ca="1"/>
        <v>0.26232038846763239</v>
      </c>
      <c r="X4045" s="2">
        <f ca="1"/>
        <v>35.206016593052652</v>
      </c>
      <c r="AG4045" s="2">
        <f ca="1"/>
        <v>0.18987343878663832</v>
      </c>
      <c r="AH4045" s="2" t="str">
        <f ca="1"/>
        <v>OK</v>
      </c>
    </row>
    <row r="4046" spans="2:34">
      <c r="B4046" s="2">
        <f ca="1"/>
        <v>0.5477446231205767</v>
      </c>
      <c r="O4046" s="2">
        <f ca="1"/>
        <v>0.75827934984220757</v>
      </c>
      <c r="X4046" s="2">
        <f ca="1"/>
        <v>74.477504522272838</v>
      </c>
      <c r="AG4046" s="2">
        <f ca="1"/>
        <v>0.11891746483088572</v>
      </c>
      <c r="AH4046" s="2" t="str">
        <f ca="1"/>
        <v>OK</v>
      </c>
    </row>
    <row r="4047" spans="2:34">
      <c r="B4047" s="2">
        <f ca="1"/>
        <v>0.30223161375034713</v>
      </c>
      <c r="O4047" s="2">
        <f ca="1"/>
        <v>-0.79768703879954961</v>
      </c>
      <c r="X4047" s="2">
        <f ca="1"/>
        <v>49.768594802007229</v>
      </c>
      <c r="AG4047" s="2">
        <f ca="1"/>
        <v>0.72315699349564122</v>
      </c>
      <c r="AH4047" s="2" t="str">
        <f ca="1"/>
        <v>Bad</v>
      </c>
    </row>
    <row r="4048" spans="2:34">
      <c r="B4048" s="2">
        <f ca="1"/>
        <v>0.75573618075855942</v>
      </c>
      <c r="O4048" s="2">
        <f ca="1"/>
        <v>0.55716456271325143</v>
      </c>
      <c r="X4048" s="2">
        <f ca="1"/>
        <v>45.909094673041508</v>
      </c>
      <c r="AG4048" s="2">
        <f ca="1"/>
        <v>5.4952516544976682E-2</v>
      </c>
      <c r="AH4048" s="2" t="str">
        <f ca="1"/>
        <v>OK</v>
      </c>
    </row>
    <row r="4049" spans="2:34">
      <c r="B4049" s="2">
        <f ca="1"/>
        <v>0.86870734624239798</v>
      </c>
      <c r="O4049" s="2">
        <f ca="1"/>
        <v>-0.2989673741673432</v>
      </c>
      <c r="X4049" s="2">
        <f ca="1"/>
        <v>40.65975553235792</v>
      </c>
      <c r="AG4049" s="2">
        <f ca="1"/>
        <v>0.7771416757245555</v>
      </c>
      <c r="AH4049" s="2" t="str">
        <f ca="1"/>
        <v>Bad</v>
      </c>
    </row>
    <row r="4050" spans="2:34">
      <c r="B4050" s="2">
        <f ca="1"/>
        <v>7.5311644803148114E-2</v>
      </c>
      <c r="O4050" s="2">
        <f ca="1"/>
        <v>0.96912440959065493</v>
      </c>
      <c r="X4050" s="2">
        <f ca="1"/>
        <v>20.310106454467149</v>
      </c>
      <c r="AG4050" s="2">
        <f ca="1"/>
        <v>7.5152370343481323E-2</v>
      </c>
      <c r="AH4050" s="2" t="str">
        <f ca="1"/>
        <v>OK</v>
      </c>
    </row>
    <row r="4051" spans="2:34">
      <c r="B4051" s="2">
        <f ca="1"/>
        <v>0.81303891864302935</v>
      </c>
      <c r="O4051" s="2">
        <f ca="1"/>
        <v>-0.99772480359768478</v>
      </c>
      <c r="X4051" s="2">
        <f ca="1"/>
        <v>37.718066567861243</v>
      </c>
      <c r="AG4051" s="2">
        <f ca="1"/>
        <v>0.32744043010900037</v>
      </c>
      <c r="AH4051" s="2" t="str">
        <f ca="1"/>
        <v>OK</v>
      </c>
    </row>
    <row r="4052" spans="2:34">
      <c r="B4052" s="2">
        <f ca="1"/>
        <v>0.14753652048349886</v>
      </c>
      <c r="O4052" s="2">
        <f ca="1"/>
        <v>-0.90963173769305128</v>
      </c>
      <c r="X4052" s="2">
        <f ca="1"/>
        <v>38.124622658914397</v>
      </c>
      <c r="AG4052" s="2">
        <f ca="1"/>
        <v>0.859504006169441</v>
      </c>
      <c r="AH4052" s="2" t="str">
        <f ca="1"/>
        <v>Bad</v>
      </c>
    </row>
    <row r="4053" spans="2:34">
      <c r="B4053" s="2">
        <f ca="1"/>
        <v>0.4125013120974983</v>
      </c>
      <c r="O4053" s="2">
        <f ca="1"/>
        <v>0.34698918639615062</v>
      </c>
      <c r="X4053" s="2">
        <f ca="1"/>
        <v>53.386100595391106</v>
      </c>
      <c r="AG4053" s="2">
        <f ca="1"/>
        <v>0.1921246797064442</v>
      </c>
      <c r="AH4053" s="2" t="str">
        <f ca="1"/>
        <v>OK</v>
      </c>
    </row>
    <row r="4054" spans="2:34">
      <c r="B4054" s="2">
        <f ca="1"/>
        <v>0.38093294704048142</v>
      </c>
      <c r="O4054" s="2">
        <f ca="1"/>
        <v>0.55823593929413395</v>
      </c>
      <c r="X4054" s="2">
        <f ca="1"/>
        <v>27.117723738541891</v>
      </c>
      <c r="AG4054" s="2">
        <f ca="1"/>
        <v>4.1976171787624805E-2</v>
      </c>
      <c r="AH4054" s="2" t="str">
        <f ca="1"/>
        <v>Good</v>
      </c>
    </row>
    <row r="4055" spans="2:34">
      <c r="B4055" s="2">
        <f ca="1"/>
        <v>3.0120902844896102E-2</v>
      </c>
      <c r="O4055" s="2">
        <f ca="1"/>
        <v>-0.11475653152683987</v>
      </c>
      <c r="X4055" s="2">
        <f ca="1"/>
        <v>27.929312273489039</v>
      </c>
      <c r="AG4055" s="2">
        <f ca="1"/>
        <v>0.61134937755999763</v>
      </c>
      <c r="AH4055" s="2" t="str">
        <f ca="1"/>
        <v>Bad</v>
      </c>
    </row>
    <row r="4056" spans="2:34">
      <c r="B4056" s="2">
        <f ca="1"/>
        <v>0.73002110106938001</v>
      </c>
      <c r="O4056" s="2">
        <f ca="1"/>
        <v>1.3601470761879269</v>
      </c>
      <c r="X4056" s="2">
        <f ca="1"/>
        <v>24.74317388554336</v>
      </c>
      <c r="AG4056" s="2">
        <f ca="1"/>
        <v>0.96778257048317684</v>
      </c>
      <c r="AH4056" s="2" t="str">
        <f ca="1"/>
        <v>Bad</v>
      </c>
    </row>
    <row r="4057" spans="2:34">
      <c r="B4057" s="2">
        <f ca="1"/>
        <v>0.51942200009995698</v>
      </c>
      <c r="O4057" s="2">
        <f ca="1"/>
        <v>-0.74341614868442152</v>
      </c>
      <c r="X4057" s="2">
        <f ca="1"/>
        <v>64.407702607993983</v>
      </c>
      <c r="AG4057" s="2">
        <f ca="1"/>
        <v>0.59673427635955578</v>
      </c>
      <c r="AH4057" s="2" t="str">
        <f ca="1"/>
        <v>Bad</v>
      </c>
    </row>
    <row r="4058" spans="2:34">
      <c r="B4058" s="2">
        <f ca="1"/>
        <v>0.7613127523647123</v>
      </c>
      <c r="O4058" s="2">
        <f ca="1"/>
        <v>0.27627670473658278</v>
      </c>
      <c r="X4058" s="2">
        <f ca="1"/>
        <v>35.256392150093582</v>
      </c>
      <c r="AG4058" s="2">
        <f ca="1"/>
        <v>6.9929896156343263E-2</v>
      </c>
      <c r="AH4058" s="2" t="str">
        <f ca="1"/>
        <v>OK</v>
      </c>
    </row>
    <row r="4059" spans="2:34">
      <c r="B4059" s="2">
        <f ca="1"/>
        <v>0.49854743867718021</v>
      </c>
      <c r="O4059" s="2">
        <f ca="1"/>
        <v>1.2160258578846725</v>
      </c>
      <c r="X4059" s="2">
        <f ca="1"/>
        <v>82.495238746710015</v>
      </c>
      <c r="AG4059" s="2">
        <f ca="1"/>
        <v>0.18614594893114123</v>
      </c>
      <c r="AH4059" s="2" t="str">
        <f ca="1"/>
        <v>OK</v>
      </c>
    </row>
    <row r="4060" spans="2:34">
      <c r="B4060" s="2">
        <f ca="1"/>
        <v>0.90313433698301404</v>
      </c>
      <c r="O4060" s="2">
        <f ca="1"/>
        <v>1.7971465572306315</v>
      </c>
      <c r="X4060" s="2">
        <f ca="1"/>
        <v>46.875947717232187</v>
      </c>
      <c r="AG4060" s="2">
        <f ca="1"/>
        <v>8.0599345474568374E-2</v>
      </c>
      <c r="AH4060" s="2" t="str">
        <f ca="1"/>
        <v>OK</v>
      </c>
    </row>
    <row r="4061" spans="2:34">
      <c r="B4061" s="2">
        <f ca="1"/>
        <v>0.50814444713754559</v>
      </c>
      <c r="O4061" s="2">
        <f ca="1"/>
        <v>0.51279650041274405</v>
      </c>
      <c r="X4061" s="2">
        <f ca="1"/>
        <v>37.022092416047386</v>
      </c>
      <c r="AG4061" s="2">
        <f ca="1"/>
        <v>0.26595321525806903</v>
      </c>
      <c r="AH4061" s="2" t="str">
        <f ca="1"/>
        <v>OK</v>
      </c>
    </row>
    <row r="4062" spans="2:34">
      <c r="B4062" s="2">
        <f ca="1"/>
        <v>0.8855445296318365</v>
      </c>
      <c r="O4062" s="2">
        <f ca="1"/>
        <v>-1.2180861026007614</v>
      </c>
      <c r="X4062" s="2">
        <f ca="1"/>
        <v>44.416289896163391</v>
      </c>
      <c r="AG4062" s="2">
        <f ca="1"/>
        <v>0.50442619915077813</v>
      </c>
      <c r="AH4062" s="2" t="str">
        <f ca="1"/>
        <v>Bad</v>
      </c>
    </row>
    <row r="4063" spans="2:34">
      <c r="B4063" s="2">
        <f ca="1"/>
        <v>0.35066283647673147</v>
      </c>
      <c r="O4063" s="2">
        <f ca="1"/>
        <v>-1.4670524038173274</v>
      </c>
      <c r="X4063" s="2">
        <f ca="1"/>
        <v>34.714856210810197</v>
      </c>
      <c r="AG4063" s="2">
        <f ca="1"/>
        <v>0.79439420509102754</v>
      </c>
      <c r="AH4063" s="2" t="str">
        <f ca="1"/>
        <v>Bad</v>
      </c>
    </row>
    <row r="4064" spans="2:34">
      <c r="B4064" s="2">
        <f ca="1"/>
        <v>0.84930746146880409</v>
      </c>
      <c r="O4064" s="2">
        <f ca="1"/>
        <v>-1.3739362309244025</v>
      </c>
      <c r="X4064" s="2">
        <f ca="1"/>
        <v>38.349272266369738</v>
      </c>
      <c r="AG4064" s="2">
        <f ca="1"/>
        <v>0.10274223275242633</v>
      </c>
      <c r="AH4064" s="2" t="str">
        <f ca="1"/>
        <v>OK</v>
      </c>
    </row>
    <row r="4065" spans="2:34">
      <c r="B4065" s="2">
        <f ca="1"/>
        <v>0.6863087773968366</v>
      </c>
      <c r="O4065" s="2">
        <f ca="1"/>
        <v>8.4333157416083618E-2</v>
      </c>
      <c r="X4065" s="2">
        <f ca="1"/>
        <v>32.560401166903155</v>
      </c>
      <c r="AG4065" s="2">
        <f ca="1"/>
        <v>0.35333368512911401</v>
      </c>
      <c r="AH4065" s="2" t="str">
        <f ca="1"/>
        <v>OK</v>
      </c>
    </row>
    <row r="4066" spans="2:34">
      <c r="B4066" s="2">
        <f ca="1"/>
        <v>0.93818182376091674</v>
      </c>
      <c r="O4066" s="2">
        <f ca="1"/>
        <v>0.14174428702571537</v>
      </c>
      <c r="X4066" s="2">
        <f ca="1"/>
        <v>58.062813298938693</v>
      </c>
      <c r="AG4066" s="2">
        <f ca="1"/>
        <v>0.27028470009190619</v>
      </c>
      <c r="AH4066" s="2" t="str">
        <f ca="1"/>
        <v>OK</v>
      </c>
    </row>
    <row r="4067" spans="2:34">
      <c r="B4067" s="2">
        <f ca="1"/>
        <v>0.96386983513093583</v>
      </c>
      <c r="O4067" s="2">
        <f ca="1"/>
        <v>1.43968974131039</v>
      </c>
      <c r="X4067" s="2">
        <f ca="1"/>
        <v>35.460557258288524</v>
      </c>
      <c r="AG4067" s="2">
        <f ca="1"/>
        <v>0.807406658036947</v>
      </c>
      <c r="AH4067" s="2" t="str">
        <f ca="1"/>
        <v>Bad</v>
      </c>
    </row>
    <row r="4068" spans="2:34">
      <c r="B4068" s="2">
        <f ca="1"/>
        <v>0.7254576708556022</v>
      </c>
      <c r="O4068" s="2">
        <f ca="1"/>
        <v>2.9830578575264126</v>
      </c>
      <c r="X4068" s="2">
        <f ca="1"/>
        <v>34.711909540110973</v>
      </c>
      <c r="AG4068" s="2">
        <f ca="1"/>
        <v>0.76108529339245656</v>
      </c>
      <c r="AH4068" s="2" t="str">
        <f ca="1"/>
        <v>Bad</v>
      </c>
    </row>
    <row r="4069" spans="2:34">
      <c r="B4069" s="2">
        <f ca="1"/>
        <v>0.82634140003086087</v>
      </c>
      <c r="O4069" s="2">
        <f ca="1"/>
        <v>-0.89292829251795069</v>
      </c>
      <c r="X4069" s="2">
        <f ca="1"/>
        <v>43.60160737676545</v>
      </c>
      <c r="AG4069" s="2">
        <f ca="1"/>
        <v>0.67995096208507944</v>
      </c>
      <c r="AH4069" s="2" t="str">
        <f ca="1"/>
        <v>Bad</v>
      </c>
    </row>
    <row r="4070" spans="2:34">
      <c r="B4070" s="2">
        <f ca="1"/>
        <v>0.77290595687403196</v>
      </c>
      <c r="O4070" s="2">
        <f ca="1"/>
        <v>-0.15695334596504401</v>
      </c>
      <c r="X4070" s="2">
        <f ca="1"/>
        <v>25.129152005137282</v>
      </c>
      <c r="AG4070" s="2">
        <f ca="1"/>
        <v>0.46292917480763296</v>
      </c>
      <c r="AH4070" s="2" t="str">
        <f ca="1"/>
        <v>Bad</v>
      </c>
    </row>
    <row r="4071" spans="2:34">
      <c r="B4071" s="2">
        <f ca="1"/>
        <v>7.5405839969667099E-2</v>
      </c>
      <c r="O4071" s="2">
        <f ca="1"/>
        <v>-0.88610540250167802</v>
      </c>
      <c r="X4071" s="2">
        <f ca="1"/>
        <v>50.754821579515593</v>
      </c>
      <c r="AG4071" s="2">
        <f ca="1"/>
        <v>0.68124145330333885</v>
      </c>
      <c r="AH4071" s="2" t="str">
        <f ca="1"/>
        <v>Bad</v>
      </c>
    </row>
    <row r="4072" spans="2:34">
      <c r="B4072" s="2">
        <f ca="1"/>
        <v>0.25033449440456068</v>
      </c>
      <c r="O4072" s="2">
        <f ca="1"/>
        <v>1.3065311492236817E-2</v>
      </c>
      <c r="X4072" s="2">
        <f ca="1"/>
        <v>51.655382155271958</v>
      </c>
      <c r="AG4072" s="2">
        <f ca="1"/>
        <v>0.23407559071648154</v>
      </c>
      <c r="AH4072" s="2" t="str">
        <f ca="1"/>
        <v>OK</v>
      </c>
    </row>
    <row r="4073" spans="2:34">
      <c r="B4073" s="2">
        <f ca="1"/>
        <v>0.12576706873532983</v>
      </c>
      <c r="O4073" s="2">
        <f ca="1"/>
        <v>-1.0311897469255833</v>
      </c>
      <c r="X4073" s="2">
        <f ca="1"/>
        <v>28.647344216776794</v>
      </c>
      <c r="AG4073" s="2">
        <f ca="1"/>
        <v>0.66077276257595829</v>
      </c>
      <c r="AH4073" s="2" t="str">
        <f ca="1"/>
        <v>Bad</v>
      </c>
    </row>
    <row r="4074" spans="2:34">
      <c r="B4074" s="2">
        <f ca="1"/>
        <v>0.4227242921271599</v>
      </c>
      <c r="O4074" s="2">
        <f ca="1"/>
        <v>0.31118161733724409</v>
      </c>
      <c r="X4074" s="2">
        <f ca="1"/>
        <v>39.42947985063131</v>
      </c>
      <c r="AG4074" s="2">
        <f ca="1"/>
        <v>0.91269960310464793</v>
      </c>
      <c r="AH4074" s="2" t="str">
        <f ca="1"/>
        <v>Bad</v>
      </c>
    </row>
    <row r="4075" spans="2:34">
      <c r="B4075" s="2">
        <f ca="1"/>
        <v>0.50267396024116096</v>
      </c>
      <c r="O4075" s="2">
        <f ca="1"/>
        <v>-0.82899599973309068</v>
      </c>
      <c r="X4075" s="2">
        <f ca="1"/>
        <v>48.004805959930295</v>
      </c>
      <c r="AG4075" s="2">
        <f ca="1"/>
        <v>0.9227723696297514</v>
      </c>
      <c r="AH4075" s="2" t="str">
        <f ca="1"/>
        <v>Bad</v>
      </c>
    </row>
    <row r="4076" spans="2:34">
      <c r="B4076" s="2">
        <f ca="1"/>
        <v>0.71848618713204071</v>
      </c>
      <c r="O4076" s="2">
        <f ca="1"/>
        <v>1.6322605144914792</v>
      </c>
      <c r="X4076" s="2">
        <f ca="1"/>
        <v>74.030011544067591</v>
      </c>
      <c r="AG4076" s="2">
        <f ca="1"/>
        <v>1.3988089911739721E-2</v>
      </c>
      <c r="AH4076" s="2" t="str">
        <f ca="1"/>
        <v>Good</v>
      </c>
    </row>
    <row r="4077" spans="2:34">
      <c r="B4077" s="2">
        <f ca="1"/>
        <v>0.69199473367977871</v>
      </c>
      <c r="O4077" s="2">
        <f ca="1"/>
        <v>0.32066520245981611</v>
      </c>
      <c r="X4077" s="2">
        <f ca="1"/>
        <v>40.594959273442548</v>
      </c>
      <c r="AG4077" s="2">
        <f ca="1"/>
        <v>0.35281773385295723</v>
      </c>
      <c r="AH4077" s="2" t="str">
        <f ca="1"/>
        <v>OK</v>
      </c>
    </row>
    <row r="4078" spans="2:34">
      <c r="B4078" s="2">
        <f ca="1"/>
        <v>0.72489757078972938</v>
      </c>
      <c r="O4078" s="2">
        <f ca="1"/>
        <v>1.6814638235048178</v>
      </c>
      <c r="X4078" s="2">
        <f ca="1"/>
        <v>38.600991442516424</v>
      </c>
      <c r="AG4078" s="2">
        <f ca="1"/>
        <v>0.66614710710538172</v>
      </c>
      <c r="AH4078" s="2" t="str">
        <f ca="1"/>
        <v>Bad</v>
      </c>
    </row>
    <row r="4079" spans="2:34">
      <c r="B4079" s="2">
        <f ca="1"/>
        <v>0.30812588144302566</v>
      </c>
      <c r="O4079" s="2">
        <f ca="1"/>
        <v>1.1310560566355576</v>
      </c>
      <c r="X4079" s="2">
        <f ca="1"/>
        <v>76.857411142384024</v>
      </c>
      <c r="AG4079" s="2">
        <f ca="1"/>
        <v>0.61165681724837384</v>
      </c>
      <c r="AH4079" s="2" t="str">
        <f ca="1"/>
        <v>Bad</v>
      </c>
    </row>
    <row r="4080" spans="2:34">
      <c r="B4080" s="2">
        <f ca="1"/>
        <v>0.6243311145079149</v>
      </c>
      <c r="O4080" s="2">
        <f ca="1"/>
        <v>-1.4057431397323028</v>
      </c>
      <c r="X4080" s="2">
        <f ca="1"/>
        <v>89.068581510530166</v>
      </c>
      <c r="AG4080" s="2">
        <f ca="1"/>
        <v>0.56356134755845022</v>
      </c>
      <c r="AH4080" s="2" t="str">
        <f ca="1"/>
        <v>Bad</v>
      </c>
    </row>
    <row r="4081" spans="2:34">
      <c r="B4081" s="2">
        <f ca="1"/>
        <v>0.40981117172743664</v>
      </c>
      <c r="O4081" s="2">
        <f ca="1"/>
        <v>9.065739684389669E-2</v>
      </c>
      <c r="X4081" s="2">
        <f ca="1"/>
        <v>16.215349119149142</v>
      </c>
      <c r="AG4081" s="2">
        <f ca="1"/>
        <v>0.10809766567744661</v>
      </c>
      <c r="AH4081" s="2" t="str">
        <f ca="1"/>
        <v>OK</v>
      </c>
    </row>
    <row r="4082" spans="2:34">
      <c r="B4082" s="2">
        <f ca="1"/>
        <v>0.40739547644520191</v>
      </c>
      <c r="O4082" s="2">
        <f ca="1"/>
        <v>-0.89175598903666509</v>
      </c>
      <c r="X4082" s="2">
        <f ca="1"/>
        <v>78.376100010106612</v>
      </c>
      <c r="AG4082" s="2">
        <f ca="1"/>
        <v>4.3002306874093899E-2</v>
      </c>
      <c r="AH4082" s="2" t="str">
        <f ca="1"/>
        <v>Good</v>
      </c>
    </row>
    <row r="4083" spans="2:34">
      <c r="B4083" s="2">
        <f ca="1"/>
        <v>0.67783715531956279</v>
      </c>
      <c r="O4083" s="2">
        <f ca="1"/>
        <v>-2.5733438292567188</v>
      </c>
      <c r="X4083" s="2">
        <f ca="1"/>
        <v>73.320971256327482</v>
      </c>
      <c r="AG4083" s="2">
        <f ca="1"/>
        <v>0.87240379592840189</v>
      </c>
      <c r="AH4083" s="2" t="str">
        <f ca="1"/>
        <v>Bad</v>
      </c>
    </row>
    <row r="4084" spans="2:34">
      <c r="B4084" s="2">
        <f ca="1"/>
        <v>9.9680803685878061E-2</v>
      </c>
      <c r="O4084" s="2">
        <f ca="1"/>
        <v>2.0185664458358961</v>
      </c>
      <c r="X4084" s="2">
        <f ca="1"/>
        <v>39.489424986858374</v>
      </c>
      <c r="AG4084" s="2">
        <f ca="1"/>
        <v>0.23739145027234176</v>
      </c>
      <c r="AH4084" s="2" t="str">
        <f ca="1"/>
        <v>OK</v>
      </c>
    </row>
    <row r="4085" spans="2:34">
      <c r="B4085" s="2">
        <f ca="1"/>
        <v>0.79710252705468942</v>
      </c>
      <c r="O4085" s="2">
        <f ca="1"/>
        <v>-0.16286279705946063</v>
      </c>
      <c r="X4085" s="2">
        <f ca="1"/>
        <v>63.312069783977051</v>
      </c>
      <c r="AG4085" s="2">
        <f ca="1"/>
        <v>0.74196302275568016</v>
      </c>
      <c r="AH4085" s="2" t="str">
        <f ca="1"/>
        <v>Bad</v>
      </c>
    </row>
    <row r="4086" spans="2:34">
      <c r="B4086" s="2">
        <f ca="1"/>
        <v>0.3126480425842102</v>
      </c>
      <c r="O4086" s="2">
        <f ca="1"/>
        <v>-0.60707253041646259</v>
      </c>
      <c r="X4086" s="2">
        <f ca="1"/>
        <v>53.767314089684291</v>
      </c>
      <c r="AG4086" s="2">
        <f ca="1"/>
        <v>0.22031094178582755</v>
      </c>
      <c r="AH4086" s="2" t="str">
        <f ca="1"/>
        <v>OK</v>
      </c>
    </row>
    <row r="4087" spans="2:34">
      <c r="B4087" s="2">
        <f ca="1"/>
        <v>0.19277594687142163</v>
      </c>
      <c r="O4087" s="2">
        <f ca="1"/>
        <v>-0.80253836890974584</v>
      </c>
      <c r="X4087" s="2">
        <f ca="1"/>
        <v>51.124173569038433</v>
      </c>
      <c r="AG4087" s="2">
        <f ca="1"/>
        <v>0.21807119105884665</v>
      </c>
      <c r="AH4087" s="2" t="str">
        <f ca="1"/>
        <v>OK</v>
      </c>
    </row>
    <row r="4088" spans="2:34">
      <c r="B4088" s="2">
        <f ca="1"/>
        <v>0.92975848993120058</v>
      </c>
      <c r="O4088" s="2">
        <f ca="1"/>
        <v>8.5733577755937485E-2</v>
      </c>
      <c r="X4088" s="2">
        <f ca="1"/>
        <v>45.927388347680377</v>
      </c>
      <c r="AG4088" s="2">
        <f ca="1"/>
        <v>0.84764106087947955</v>
      </c>
      <c r="AH4088" s="2" t="str">
        <f ca="1"/>
        <v>Bad</v>
      </c>
    </row>
    <row r="4089" spans="2:34">
      <c r="B4089" s="2">
        <f ca="1"/>
        <v>0.13368523622757134</v>
      </c>
      <c r="O4089" s="2">
        <f ca="1"/>
        <v>0.66754717639532068</v>
      </c>
      <c r="X4089" s="2">
        <f ca="1"/>
        <v>52.18896923574215</v>
      </c>
      <c r="AG4089" s="2">
        <f ca="1"/>
        <v>0.15589109473274676</v>
      </c>
      <c r="AH4089" s="2" t="str">
        <f ca="1"/>
        <v>OK</v>
      </c>
    </row>
    <row r="4090" spans="2:34">
      <c r="B4090" s="2">
        <f ca="1"/>
        <v>5.4300034176582468E-2</v>
      </c>
      <c r="O4090" s="2">
        <f ca="1"/>
        <v>0.66394250830081269</v>
      </c>
      <c r="X4090" s="2">
        <f ca="1"/>
        <v>50.174445115418393</v>
      </c>
      <c r="AG4090" s="2">
        <f ca="1"/>
        <v>0.81675319081857189</v>
      </c>
      <c r="AH4090" s="2" t="str">
        <f ca="1"/>
        <v>Bad</v>
      </c>
    </row>
    <row r="4091" spans="2:34">
      <c r="B4091" s="2">
        <f ca="1"/>
        <v>0.38050791572379938</v>
      </c>
      <c r="O4091" s="2">
        <f ca="1"/>
        <v>-0.1614112926413771</v>
      </c>
      <c r="X4091" s="2">
        <f ca="1"/>
        <v>32.790807082411419</v>
      </c>
      <c r="AG4091" s="2">
        <f ca="1"/>
        <v>0.82670571935506332</v>
      </c>
      <c r="AH4091" s="2" t="str">
        <f ca="1"/>
        <v>Bad</v>
      </c>
    </row>
    <row r="4092" spans="2:34">
      <c r="B4092" s="2">
        <f ca="1"/>
        <v>0.53373270713046206</v>
      </c>
      <c r="O4092" s="2">
        <f ca="1"/>
        <v>0.79555405962846704</v>
      </c>
      <c r="X4092" s="2">
        <f ca="1"/>
        <v>39.894729212982114</v>
      </c>
      <c r="AG4092" s="2">
        <f ca="1"/>
        <v>0.47464473150371633</v>
      </c>
      <c r="AH4092" s="2" t="str">
        <f ca="1"/>
        <v>Bad</v>
      </c>
    </row>
    <row r="4093" spans="2:34">
      <c r="B4093" s="2">
        <f ca="1"/>
        <v>0.47723569983655101</v>
      </c>
      <c r="O4093" s="2">
        <f ca="1"/>
        <v>-0.3937732126681911</v>
      </c>
      <c r="X4093" s="2">
        <f ca="1"/>
        <v>64.735698392844853</v>
      </c>
      <c r="AG4093" s="2">
        <f ca="1"/>
        <v>0.2135221341494169</v>
      </c>
      <c r="AH4093" s="2" t="str">
        <f ca="1"/>
        <v>OK</v>
      </c>
    </row>
    <row r="4094" spans="2:34">
      <c r="B4094" s="2">
        <f ca="1"/>
        <v>0.24327458449002348</v>
      </c>
      <c r="O4094" s="2">
        <f ca="1"/>
        <v>-0.97887214221516172</v>
      </c>
      <c r="X4094" s="2">
        <f ca="1"/>
        <v>41.408665486256183</v>
      </c>
      <c r="AG4094" s="2">
        <f ca="1"/>
        <v>3.2277430562521747E-3</v>
      </c>
      <c r="AH4094" s="2" t="str">
        <f ca="1"/>
        <v>Good</v>
      </c>
    </row>
    <row r="4095" spans="2:34">
      <c r="B4095" s="2">
        <f ca="1"/>
        <v>0.30340230639729482</v>
      </c>
      <c r="O4095" s="2">
        <f ca="1"/>
        <v>0.1833952054412232</v>
      </c>
      <c r="X4095" s="2">
        <f ca="1"/>
        <v>64.128570286097982</v>
      </c>
      <c r="AG4095" s="2">
        <f ca="1"/>
        <v>0.78305688063125722</v>
      </c>
      <c r="AH4095" s="2" t="str">
        <f ca="1"/>
        <v>Bad</v>
      </c>
    </row>
    <row r="4096" spans="2:34">
      <c r="B4096" s="2">
        <f ca="1"/>
        <v>0.84382234144550217</v>
      </c>
      <c r="O4096" s="2">
        <f ca="1"/>
        <v>1.0736513543505894</v>
      </c>
      <c r="X4096" s="2">
        <f ca="1"/>
        <v>53.483410435599978</v>
      </c>
      <c r="AG4096" s="2">
        <f ca="1"/>
        <v>0.14497658995510454</v>
      </c>
      <c r="AH4096" s="2" t="str">
        <f ca="1"/>
        <v>OK</v>
      </c>
    </row>
    <row r="4097" spans="2:34">
      <c r="B4097" s="2">
        <f ca="1"/>
        <v>7.7646233482905114E-2</v>
      </c>
      <c r="O4097" s="2">
        <f ca="1"/>
        <v>-0.99175426608223982</v>
      </c>
      <c r="X4097" s="2">
        <f ca="1"/>
        <v>47.574260608878241</v>
      </c>
      <c r="AG4097" s="2">
        <f ca="1"/>
        <v>9.157715415371448E-2</v>
      </c>
      <c r="AH4097" s="2" t="str">
        <f ca="1"/>
        <v>OK</v>
      </c>
    </row>
    <row r="4098" spans="2:34">
      <c r="B4098" s="2">
        <f ca="1"/>
        <v>0.2012284726219471</v>
      </c>
      <c r="O4098" s="2">
        <f ca="1"/>
        <v>-0.31587728903741835</v>
      </c>
      <c r="X4098" s="2">
        <f ca="1"/>
        <v>53.671893838022584</v>
      </c>
      <c r="AG4098" s="2">
        <f ca="1"/>
        <v>0.76044613932199701</v>
      </c>
      <c r="AH4098" s="2" t="str">
        <f ca="1"/>
        <v>Bad</v>
      </c>
    </row>
    <row r="4099" spans="2:34">
      <c r="B4099" s="2">
        <f ca="1"/>
        <v>0.24394151334346081</v>
      </c>
      <c r="O4099" s="2">
        <f ca="1"/>
        <v>-9.9566584547434875E-2</v>
      </c>
      <c r="X4099" s="2">
        <f ca="1"/>
        <v>74.611069435798342</v>
      </c>
      <c r="AG4099" s="2">
        <f ca="1"/>
        <v>0.26804295649411025</v>
      </c>
      <c r="AH4099" s="2" t="str">
        <f ca="1"/>
        <v>OK</v>
      </c>
    </row>
    <row r="4100" spans="2:34">
      <c r="B4100" s="2">
        <f ca="1"/>
        <v>0.42559354547883732</v>
      </c>
      <c r="O4100" s="2">
        <f ca="1"/>
        <v>6.6055343176663964E-2</v>
      </c>
      <c r="X4100" s="2">
        <f ca="1"/>
        <v>43.366471352789873</v>
      </c>
      <c r="AG4100" s="2">
        <f ca="1"/>
        <v>0.55345271822561548</v>
      </c>
      <c r="AH4100" s="2" t="str">
        <f ca="1"/>
        <v>Bad</v>
      </c>
    </row>
    <row r="4101" spans="2:34">
      <c r="B4101" s="2">
        <f ca="1"/>
        <v>0.11844914564458975</v>
      </c>
      <c r="O4101" s="2">
        <f ca="1"/>
        <v>0.55181696168265693</v>
      </c>
      <c r="X4101" s="2">
        <f ca="1"/>
        <v>28.792387522443317</v>
      </c>
      <c r="AG4101" s="2">
        <f ca="1"/>
        <v>1.1042267928188965E-2</v>
      </c>
      <c r="AH4101" s="2" t="str">
        <f ca="1"/>
        <v>Good</v>
      </c>
    </row>
    <row r="4102" spans="2:34">
      <c r="B4102" s="2">
        <f ca="1"/>
        <v>0.69820789558685159</v>
      </c>
      <c r="O4102" s="2">
        <f ca="1"/>
        <v>-0.28887161227840369</v>
      </c>
      <c r="X4102" s="2">
        <f ca="1"/>
        <v>60.23202905789978</v>
      </c>
      <c r="AG4102" s="2">
        <f ca="1"/>
        <v>0.4333744739866574</v>
      </c>
      <c r="AH4102" s="2" t="str">
        <f ca="1"/>
        <v>Bad</v>
      </c>
    </row>
    <row r="4103" spans="2:34">
      <c r="B4103" s="2">
        <f ca="1"/>
        <v>4.0506565425686425E-3</v>
      </c>
      <c r="O4103" s="2">
        <f ca="1"/>
        <v>-0.40150106595640461</v>
      </c>
      <c r="X4103" s="2">
        <f ca="1"/>
        <v>35.704478133503152</v>
      </c>
      <c r="AG4103" s="2">
        <f ca="1"/>
        <v>0.22896008005843216</v>
      </c>
      <c r="AH4103" s="2" t="str">
        <f ca="1"/>
        <v>OK</v>
      </c>
    </row>
    <row r="4104" spans="2:34">
      <c r="B4104" s="2">
        <f ca="1"/>
        <v>0.71570215154874162</v>
      </c>
      <c r="O4104" s="2">
        <f ca="1"/>
        <v>-0.10669813468883019</v>
      </c>
      <c r="X4104" s="2">
        <f ca="1"/>
        <v>72.401927675852093</v>
      </c>
      <c r="AG4104" s="2">
        <f ca="1"/>
        <v>0.89816653911100763</v>
      </c>
      <c r="AH4104" s="2" t="str">
        <f ca="1"/>
        <v>Bad</v>
      </c>
    </row>
    <row r="4105" spans="2:34">
      <c r="B4105" s="2">
        <f ca="1"/>
        <v>0.2357130626404329</v>
      </c>
      <c r="O4105" s="2">
        <f ca="1"/>
        <v>-1.6060948290110693</v>
      </c>
      <c r="X4105" s="2">
        <f ca="1"/>
        <v>39.352083898127241</v>
      </c>
      <c r="AG4105" s="2">
        <f ca="1"/>
        <v>0.16683759339578685</v>
      </c>
      <c r="AH4105" s="2" t="str">
        <f ca="1"/>
        <v>OK</v>
      </c>
    </row>
    <row r="4106" spans="2:34">
      <c r="B4106" s="2">
        <f ca="1"/>
        <v>0.70644809610828774</v>
      </c>
      <c r="O4106" s="2">
        <f ca="1"/>
        <v>0.38694009609139668</v>
      </c>
      <c r="X4106" s="2">
        <f ca="1"/>
        <v>42.711174482885482</v>
      </c>
      <c r="AG4106" s="2">
        <f ca="1"/>
        <v>0.91737529046865451</v>
      </c>
      <c r="AH4106" s="2" t="str">
        <f ca="1"/>
        <v>Bad</v>
      </c>
    </row>
    <row r="4107" spans="2:34">
      <c r="B4107" s="2">
        <f ca="1"/>
        <v>0.15768438185953126</v>
      </c>
      <c r="O4107" s="2">
        <f ca="1"/>
        <v>8.1983028549070469E-2</v>
      </c>
      <c r="X4107" s="2">
        <f ca="1"/>
        <v>45.473001412545891</v>
      </c>
      <c r="AG4107" s="2">
        <f ca="1"/>
        <v>0.15463709843707663</v>
      </c>
      <c r="AH4107" s="2" t="str">
        <f ca="1"/>
        <v>OK</v>
      </c>
    </row>
    <row r="4108" spans="2:34">
      <c r="B4108" s="2">
        <f ca="1"/>
        <v>0.1507875029196617</v>
      </c>
      <c r="O4108" s="2">
        <f ca="1"/>
        <v>2.3836946354556563</v>
      </c>
      <c r="X4108" s="2">
        <f ca="1"/>
        <v>58.195260046751578</v>
      </c>
      <c r="AG4108" s="2">
        <f ca="1"/>
        <v>9.1922982295787881E-2</v>
      </c>
      <c r="AH4108" s="2" t="str">
        <f ca="1"/>
        <v>OK</v>
      </c>
    </row>
    <row r="4109" spans="2:34">
      <c r="B4109" s="2">
        <f ca="1"/>
        <v>0.40558954695441929</v>
      </c>
      <c r="O4109" s="2">
        <f ca="1"/>
        <v>0.18279820365496746</v>
      </c>
      <c r="X4109" s="2">
        <f ca="1"/>
        <v>44.155949585163661</v>
      </c>
      <c r="AG4109" s="2">
        <f ca="1"/>
        <v>0.70170889805401893</v>
      </c>
      <c r="AH4109" s="2" t="str">
        <f ca="1"/>
        <v>Bad</v>
      </c>
    </row>
    <row r="4110" spans="2:34">
      <c r="B4110" s="2">
        <f ca="1"/>
        <v>0.64238099681966854</v>
      </c>
      <c r="O4110" s="2">
        <f ca="1"/>
        <v>0.28245282601968424</v>
      </c>
      <c r="X4110" s="2">
        <f ca="1"/>
        <v>64.191871228409042</v>
      </c>
      <c r="AG4110" s="2">
        <f ca="1"/>
        <v>0.8732842579270077</v>
      </c>
      <c r="AH4110" s="2" t="str">
        <f ca="1"/>
        <v>Bad</v>
      </c>
    </row>
    <row r="4111" spans="2:34">
      <c r="B4111" s="2">
        <f ca="1"/>
        <v>0.10960428044927184</v>
      </c>
      <c r="O4111" s="2">
        <f ca="1"/>
        <v>0.26759068086534887</v>
      </c>
      <c r="X4111" s="2">
        <f ca="1"/>
        <v>52.632884038438391</v>
      </c>
      <c r="AG4111" s="2">
        <f ca="1"/>
        <v>0.93063325108686556</v>
      </c>
      <c r="AH4111" s="2" t="str">
        <f ca="1"/>
        <v>Bad</v>
      </c>
    </row>
    <row r="4112" spans="2:34">
      <c r="B4112" s="2">
        <f ca="1"/>
        <v>0.96645851074255784</v>
      </c>
      <c r="O4112" s="2">
        <f ca="1"/>
        <v>0.20474027918172411</v>
      </c>
      <c r="X4112" s="2">
        <f ca="1"/>
        <v>44.09295110846314</v>
      </c>
      <c r="AG4112" s="2">
        <f ca="1"/>
        <v>0.26336713640411569</v>
      </c>
      <c r="AH4112" s="2" t="str">
        <f ca="1"/>
        <v>OK</v>
      </c>
    </row>
    <row r="4113" spans="2:34">
      <c r="B4113" s="2">
        <f ca="1"/>
        <v>0.49608755616662314</v>
      </c>
      <c r="O4113" s="2">
        <f ca="1"/>
        <v>0.13573547778506942</v>
      </c>
      <c r="X4113" s="2">
        <f ca="1"/>
        <v>46.020624050677711</v>
      </c>
      <c r="AG4113" s="2">
        <f ca="1"/>
        <v>0.18960752375665102</v>
      </c>
      <c r="AH4113" s="2" t="str">
        <f ca="1"/>
        <v>OK</v>
      </c>
    </row>
    <row r="4114" spans="2:34">
      <c r="B4114" s="2">
        <f ca="1"/>
        <v>0.73290649003667685</v>
      </c>
      <c r="O4114" s="2">
        <f ca="1"/>
        <v>-1.1459155374843819</v>
      </c>
      <c r="X4114" s="2">
        <f ca="1"/>
        <v>42.902601607809643</v>
      </c>
      <c r="AG4114" s="2">
        <f ca="1"/>
        <v>0.94742942546140951</v>
      </c>
      <c r="AH4114" s="2" t="str">
        <f ca="1"/>
        <v>Bad</v>
      </c>
    </row>
    <row r="4115" spans="2:34">
      <c r="B4115" s="2">
        <f ca="1"/>
        <v>0.65061199081671894</v>
      </c>
      <c r="O4115" s="2">
        <f ca="1"/>
        <v>0.46217049987062386</v>
      </c>
      <c r="X4115" s="2">
        <f ca="1"/>
        <v>100.05818690742316</v>
      </c>
      <c r="AG4115" s="2">
        <f ca="1"/>
        <v>0.1841584457333596</v>
      </c>
      <c r="AH4115" s="2" t="str">
        <f ca="1"/>
        <v>OK</v>
      </c>
    </row>
    <row r="4116" spans="2:34">
      <c r="B4116" s="2">
        <f ca="1"/>
        <v>0.51496170820476439</v>
      </c>
      <c r="O4116" s="2">
        <f ca="1"/>
        <v>-0.64611275287013281</v>
      </c>
      <c r="X4116" s="2">
        <f ca="1"/>
        <v>52.294191689065634</v>
      </c>
      <c r="AG4116" s="2">
        <f ca="1"/>
        <v>0.44892919622321936</v>
      </c>
      <c r="AH4116" s="2" t="str">
        <f ca="1"/>
        <v>Bad</v>
      </c>
    </row>
    <row r="4117" spans="2:34">
      <c r="B4117" s="2">
        <f ca="1"/>
        <v>0.24846871824705663</v>
      </c>
      <c r="O4117" s="2">
        <f ca="1"/>
        <v>-0.33990876228662409</v>
      </c>
      <c r="X4117" s="2">
        <f ca="1"/>
        <v>62.446611456366121</v>
      </c>
      <c r="AG4117" s="2">
        <f ca="1"/>
        <v>0.11641906713967964</v>
      </c>
      <c r="AH4117" s="2" t="str">
        <f ca="1"/>
        <v>OK</v>
      </c>
    </row>
    <row r="4118" spans="2:34">
      <c r="B4118" s="2">
        <f ca="1"/>
        <v>0.93402122383496899</v>
      </c>
      <c r="O4118" s="2">
        <f ca="1"/>
        <v>6.0912381377799821E-2</v>
      </c>
      <c r="X4118" s="2">
        <f ca="1"/>
        <v>58.669454058355051</v>
      </c>
      <c r="AG4118" s="2">
        <f ca="1"/>
        <v>0.77539326452930513</v>
      </c>
      <c r="AH4118" s="2" t="str">
        <f ca="1"/>
        <v>Bad</v>
      </c>
    </row>
    <row r="4119" spans="2:34">
      <c r="B4119" s="2">
        <f ca="1"/>
        <v>0.43886497189098983</v>
      </c>
      <c r="O4119" s="2">
        <f ca="1"/>
        <v>-0.13310901520937704</v>
      </c>
      <c r="X4119" s="2">
        <f ca="1"/>
        <v>39.320702501920543</v>
      </c>
      <c r="AG4119" s="2">
        <f ca="1"/>
        <v>0.14864729702613833</v>
      </c>
      <c r="AH4119" s="2" t="str">
        <f ca="1"/>
        <v>OK</v>
      </c>
    </row>
    <row r="4120" spans="2:34">
      <c r="B4120" s="2">
        <f ca="1"/>
        <v>0.10429011349088069</v>
      </c>
      <c r="O4120" s="2">
        <f ca="1"/>
        <v>1.090674643962773</v>
      </c>
      <c r="X4120" s="2">
        <f ca="1"/>
        <v>49.103053255705646</v>
      </c>
      <c r="AG4120" s="2">
        <f ca="1"/>
        <v>0.16926649970784946</v>
      </c>
      <c r="AH4120" s="2" t="str">
        <f ca="1"/>
        <v>OK</v>
      </c>
    </row>
    <row r="4121" spans="2:34">
      <c r="B4121" s="2">
        <f ca="1"/>
        <v>0.32895340516156768</v>
      </c>
      <c r="O4121" s="2">
        <f ca="1"/>
        <v>0.19170466157564092</v>
      </c>
      <c r="X4121" s="2">
        <f ca="1"/>
        <v>75.213788360572678</v>
      </c>
      <c r="AG4121" s="2">
        <f ca="1"/>
        <v>0.80557370084477409</v>
      </c>
      <c r="AH4121" s="2" t="str">
        <f ca="1"/>
        <v>Bad</v>
      </c>
    </row>
    <row r="4122" spans="2:34">
      <c r="B4122" s="2">
        <f ca="1"/>
        <v>0.15753011405883699</v>
      </c>
      <c r="O4122" s="2">
        <f ca="1"/>
        <v>0.19290969277693093</v>
      </c>
      <c r="X4122" s="2">
        <f ca="1"/>
        <v>73.865869668636591</v>
      </c>
      <c r="AG4122" s="2">
        <f ca="1"/>
        <v>0.83440720932305235</v>
      </c>
      <c r="AH4122" s="2" t="str">
        <f ca="1"/>
        <v>Bad</v>
      </c>
    </row>
    <row r="4123" spans="2:34">
      <c r="B4123" s="2">
        <f ca="1"/>
        <v>8.7740532626284118E-2</v>
      </c>
      <c r="O4123" s="2">
        <f ca="1"/>
        <v>0.25332451700042258</v>
      </c>
      <c r="X4123" s="2">
        <f ca="1"/>
        <v>42.290813517706241</v>
      </c>
      <c r="AG4123" s="2">
        <f ca="1"/>
        <v>0.96489712127496086</v>
      </c>
      <c r="AH4123" s="2" t="str">
        <f ca="1"/>
        <v>Bad</v>
      </c>
    </row>
    <row r="4124" spans="2:34">
      <c r="B4124" s="2">
        <f ca="1"/>
        <v>0.59910176281337613</v>
      </c>
      <c r="O4124" s="2">
        <f ca="1"/>
        <v>-2.0226155452199848</v>
      </c>
      <c r="X4124" s="2">
        <f ca="1"/>
        <v>31.731925998500632</v>
      </c>
      <c r="AG4124" s="2">
        <f ca="1"/>
        <v>0.12103988004868604</v>
      </c>
      <c r="AH4124" s="2" t="str">
        <f ca="1"/>
        <v>OK</v>
      </c>
    </row>
    <row r="4125" spans="2:34">
      <c r="B4125" s="2">
        <f ca="1"/>
        <v>0.99221954212212737</v>
      </c>
      <c r="O4125" s="2">
        <f ca="1"/>
        <v>1.0163731811644834</v>
      </c>
      <c r="X4125" s="2">
        <f ca="1"/>
        <v>63.127309835660142</v>
      </c>
      <c r="AG4125" s="2">
        <f ca="1"/>
        <v>0.81035372771433445</v>
      </c>
      <c r="AH4125" s="2" t="str">
        <f ca="1"/>
        <v>Bad</v>
      </c>
    </row>
    <row r="4126" spans="2:34">
      <c r="B4126" s="2">
        <f ca="1"/>
        <v>0.68139037575803352</v>
      </c>
      <c r="O4126" s="2">
        <f ca="1"/>
        <v>-1.1685205321795915</v>
      </c>
      <c r="X4126" s="2">
        <f ca="1"/>
        <v>50.367215684612091</v>
      </c>
      <c r="AG4126" s="2">
        <f ca="1"/>
        <v>0.81814381653747104</v>
      </c>
      <c r="AH4126" s="2" t="str">
        <f ca="1"/>
        <v>Bad</v>
      </c>
    </row>
    <row r="4127" spans="2:34">
      <c r="B4127" s="2">
        <f ca="1"/>
        <v>2.8380884049973965E-2</v>
      </c>
      <c r="O4127" s="2">
        <f ca="1"/>
        <v>1.4793735765294187</v>
      </c>
      <c r="X4127" s="2">
        <f ca="1"/>
        <v>81.242849091591808</v>
      </c>
      <c r="AG4127" s="2">
        <f ca="1"/>
        <v>0.80367071691619474</v>
      </c>
      <c r="AH4127" s="2" t="str">
        <f ca="1"/>
        <v>Bad</v>
      </c>
    </row>
    <row r="4128" spans="2:34">
      <c r="B4128" s="2">
        <f ca="1"/>
        <v>0.53576548257590928</v>
      </c>
      <c r="O4128" s="2">
        <f ca="1"/>
        <v>-1.311414214701873</v>
      </c>
      <c r="X4128" s="2">
        <f ca="1"/>
        <v>57.296269788678806</v>
      </c>
      <c r="AG4128" s="2">
        <f ca="1"/>
        <v>0.35831012169158938</v>
      </c>
      <c r="AH4128" s="2" t="str">
        <f ca="1"/>
        <v>OK</v>
      </c>
    </row>
    <row r="4129" spans="2:34">
      <c r="B4129" s="2">
        <f ca="1"/>
        <v>8.3252521057005202E-2</v>
      </c>
      <c r="O4129" s="2">
        <f ca="1"/>
        <v>-0.38037617908112448</v>
      </c>
      <c r="X4129" s="2">
        <f ca="1"/>
        <v>36.114653959931601</v>
      </c>
      <c r="AG4129" s="2">
        <f ca="1"/>
        <v>0.77219497939627701</v>
      </c>
      <c r="AH4129" s="2" t="str">
        <f ca="1"/>
        <v>Bad</v>
      </c>
    </row>
    <row r="4130" spans="2:34">
      <c r="B4130" s="2">
        <f ca="1"/>
        <v>0.76253115400302396</v>
      </c>
      <c r="O4130" s="2">
        <f ca="1"/>
        <v>-0.85605886887466343</v>
      </c>
      <c r="X4130" s="2">
        <f ca="1"/>
        <v>29.075023389613087</v>
      </c>
      <c r="AG4130" s="2">
        <f ca="1"/>
        <v>0.75243788593995431</v>
      </c>
      <c r="AH4130" s="2" t="str">
        <f ca="1"/>
        <v>Bad</v>
      </c>
    </row>
    <row r="4131" spans="2:34">
      <c r="B4131" s="2">
        <f ca="1"/>
        <v>0.90485766858540551</v>
      </c>
      <c r="O4131" s="2">
        <f ca="1"/>
        <v>1.2257320945597836</v>
      </c>
      <c r="X4131" s="2">
        <f ca="1"/>
        <v>42.971795992288605</v>
      </c>
      <c r="AG4131" s="2">
        <f ca="1"/>
        <v>0.71742826933675441</v>
      </c>
      <c r="AH4131" s="2" t="str">
        <f ca="1"/>
        <v>Bad</v>
      </c>
    </row>
    <row r="4132" spans="2:34">
      <c r="B4132" s="2">
        <f ca="1"/>
        <v>0.541922935502547</v>
      </c>
      <c r="O4132" s="2">
        <f ca="1"/>
        <v>0.35497662561779364</v>
      </c>
      <c r="X4132" s="2">
        <f ca="1"/>
        <v>54.537979356633272</v>
      </c>
      <c r="AG4132" s="2">
        <f ca="1"/>
        <v>0.91665483409966608</v>
      </c>
      <c r="AH4132" s="2" t="str">
        <f ca="1"/>
        <v>Bad</v>
      </c>
    </row>
    <row r="4133" spans="2:34">
      <c r="B4133" s="2">
        <f ca="1"/>
        <v>0.52989285230266425</v>
      </c>
      <c r="O4133" s="2">
        <f ca="1"/>
        <v>0.86414187185332014</v>
      </c>
      <c r="X4133" s="2">
        <f ca="1"/>
        <v>81.866816441353308</v>
      </c>
      <c r="AG4133" s="2">
        <f ca="1"/>
        <v>0.8493465495592698</v>
      </c>
      <c r="AH4133" s="2" t="str">
        <f ca="1"/>
        <v>Bad</v>
      </c>
    </row>
    <row r="4134" spans="2:34">
      <c r="B4134" s="2">
        <f ca="1"/>
        <v>0.1636462760098345</v>
      </c>
      <c r="O4134" s="2">
        <f ca="1"/>
        <v>5.8728366405642218E-2</v>
      </c>
      <c r="X4134" s="2">
        <f ca="1"/>
        <v>45.213020561867481</v>
      </c>
      <c r="AG4134" s="2">
        <f ca="1"/>
        <v>0.6126895864236217</v>
      </c>
      <c r="AH4134" s="2" t="str">
        <f ca="1"/>
        <v>Bad</v>
      </c>
    </row>
    <row r="4135" spans="2:34">
      <c r="B4135" s="2">
        <f ca="1"/>
        <v>6.972903010691045E-2</v>
      </c>
      <c r="O4135" s="2">
        <f ca="1"/>
        <v>0.65810995388032834</v>
      </c>
      <c r="X4135" s="2">
        <f ca="1"/>
        <v>38.726434734203778</v>
      </c>
      <c r="AG4135" s="2">
        <f ca="1"/>
        <v>0.97609365417181482</v>
      </c>
      <c r="AH4135" s="2" t="str">
        <f ca="1"/>
        <v>Bad</v>
      </c>
    </row>
    <row r="4136" spans="2:34">
      <c r="B4136" s="2">
        <f ca="1"/>
        <v>0.22357485139165711</v>
      </c>
      <c r="O4136" s="2">
        <f ca="1"/>
        <v>-0.821782164709014</v>
      </c>
      <c r="X4136" s="2">
        <f ca="1"/>
        <v>53.35637744655935</v>
      </c>
      <c r="AG4136" s="2">
        <f ca="1"/>
        <v>0.3322797972836673</v>
      </c>
      <c r="AH4136" s="2" t="str">
        <f ca="1"/>
        <v>OK</v>
      </c>
    </row>
    <row r="4137" spans="2:34">
      <c r="B4137" s="2">
        <f ca="1"/>
        <v>0.5897878169016626</v>
      </c>
      <c r="O4137" s="2">
        <f ca="1"/>
        <v>-5.459357513429685E-2</v>
      </c>
      <c r="X4137" s="2">
        <f ca="1"/>
        <v>59.421040100965826</v>
      </c>
      <c r="AG4137" s="2">
        <f ca="1"/>
        <v>0.65665294889565806</v>
      </c>
      <c r="AH4137" s="2" t="str">
        <f ca="1"/>
        <v>Bad</v>
      </c>
    </row>
    <row r="4138" spans="2:34">
      <c r="B4138" s="2">
        <f ca="1"/>
        <v>0.58815464147843532</v>
      </c>
      <c r="O4138" s="2">
        <f ca="1"/>
        <v>6.2261260420063184E-2</v>
      </c>
      <c r="X4138" s="2">
        <f ca="1"/>
        <v>42.437617607689646</v>
      </c>
      <c r="AG4138" s="2">
        <f ca="1"/>
        <v>0.8116055943744549</v>
      </c>
      <c r="AH4138" s="2" t="str">
        <f ca="1"/>
        <v>Bad</v>
      </c>
    </row>
    <row r="4139" spans="2:34">
      <c r="B4139" s="2">
        <f ca="1"/>
        <v>0.32642186165351772</v>
      </c>
      <c r="O4139" s="2">
        <f ca="1"/>
        <v>-0.37636128219929127</v>
      </c>
      <c r="X4139" s="2">
        <f ca="1"/>
        <v>40.14811750625995</v>
      </c>
      <c r="AG4139" s="2">
        <f ca="1"/>
        <v>0.34303580123169164</v>
      </c>
      <c r="AH4139" s="2" t="str">
        <f ca="1"/>
        <v>OK</v>
      </c>
    </row>
    <row r="4140" spans="2:34">
      <c r="B4140" s="2">
        <f ca="1"/>
        <v>0.72733498545367969</v>
      </c>
      <c r="O4140" s="2">
        <f ca="1"/>
        <v>-0.73821899578384709</v>
      </c>
      <c r="X4140" s="2">
        <f ca="1"/>
        <v>59.721630371147228</v>
      </c>
      <c r="AG4140" s="2">
        <f ca="1"/>
        <v>0.64463113402122207</v>
      </c>
      <c r="AH4140" s="2" t="str">
        <f ca="1"/>
        <v>Bad</v>
      </c>
    </row>
    <row r="4141" spans="2:34">
      <c r="B4141" s="2">
        <f ca="1"/>
        <v>0.75669107087767018</v>
      </c>
      <c r="O4141" s="2">
        <f ca="1"/>
        <v>0.85722545184810073</v>
      </c>
      <c r="X4141" s="2">
        <f ca="1"/>
        <v>65.20135596126201</v>
      </c>
      <c r="AG4141" s="2">
        <f ca="1"/>
        <v>0.88059377481663437</v>
      </c>
      <c r="AH4141" s="2" t="str">
        <f ca="1"/>
        <v>Bad</v>
      </c>
    </row>
    <row r="4142" spans="2:34">
      <c r="B4142" s="2">
        <f ca="1"/>
        <v>0.93543242372555468</v>
      </c>
      <c r="O4142" s="2">
        <f ca="1"/>
        <v>-0.93992307605211634</v>
      </c>
      <c r="X4142" s="2">
        <f ca="1"/>
        <v>48.906585256923222</v>
      </c>
      <c r="AG4142" s="2">
        <f ca="1"/>
        <v>0.62209849308652143</v>
      </c>
      <c r="AH4142" s="2" t="str">
        <f ca="1"/>
        <v>Bad</v>
      </c>
    </row>
    <row r="4143" spans="2:34">
      <c r="B4143" s="2">
        <f ca="1"/>
        <v>0.41383848744135032</v>
      </c>
      <c r="O4143" s="2">
        <f ca="1"/>
        <v>0.5336455474623738</v>
      </c>
      <c r="X4143" s="2">
        <f ca="1"/>
        <v>51.291894574670664</v>
      </c>
      <c r="AG4143" s="2">
        <f ca="1"/>
        <v>0.40961934595270444</v>
      </c>
      <c r="AH4143" s="2" t="str">
        <f ca="1"/>
        <v>Bad</v>
      </c>
    </row>
    <row r="4144" spans="2:34">
      <c r="B4144" s="2">
        <f ca="1"/>
        <v>0.13148427592234091</v>
      </c>
      <c r="O4144" s="2">
        <f ca="1"/>
        <v>0.74784934213584253</v>
      </c>
      <c r="X4144" s="2">
        <f ca="1"/>
        <v>22.670104763603604</v>
      </c>
      <c r="AG4144" s="2">
        <f ca="1"/>
        <v>0.70076512435533722</v>
      </c>
      <c r="AH4144" s="2" t="str">
        <f ca="1"/>
        <v>Bad</v>
      </c>
    </row>
    <row r="4145" spans="2:34">
      <c r="B4145" s="2">
        <f ca="1"/>
        <v>0.6361283003149909</v>
      </c>
      <c r="O4145" s="2">
        <f ca="1"/>
        <v>0.79164364987580926</v>
      </c>
      <c r="X4145" s="2">
        <f ca="1"/>
        <v>47.889157506559826</v>
      </c>
      <c r="AG4145" s="2">
        <f ca="1"/>
        <v>0.4687944419455643</v>
      </c>
      <c r="AH4145" s="2" t="str">
        <f ca="1"/>
        <v>Bad</v>
      </c>
    </row>
    <row r="4146" spans="2:34">
      <c r="B4146" s="2">
        <f ca="1"/>
        <v>0.41426754625302542</v>
      </c>
      <c r="O4146" s="2">
        <f ca="1"/>
        <v>1.5394882258672913</v>
      </c>
      <c r="X4146" s="2">
        <f ca="1"/>
        <v>47.013436266457973</v>
      </c>
      <c r="AG4146" s="2">
        <f ca="1"/>
        <v>0.96726179852119443</v>
      </c>
      <c r="AH4146" s="2" t="str">
        <f ca="1"/>
        <v>Bad</v>
      </c>
    </row>
    <row r="4147" spans="2:34">
      <c r="B4147" s="2">
        <f ca="1"/>
        <v>8.5916364061051409E-2</v>
      </c>
      <c r="O4147" s="2">
        <f ca="1"/>
        <v>-7.13367630019585E-2</v>
      </c>
      <c r="X4147" s="2">
        <f ca="1"/>
        <v>39.114746196164717</v>
      </c>
      <c r="AG4147" s="2">
        <f ca="1"/>
        <v>0.19667581518600485</v>
      </c>
      <c r="AH4147" s="2" t="str">
        <f ca="1"/>
        <v>OK</v>
      </c>
    </row>
    <row r="4148" spans="2:34">
      <c r="B4148" s="2">
        <f ca="1"/>
        <v>0.15757377857935806</v>
      </c>
      <c r="O4148" s="2">
        <f ca="1"/>
        <v>-2.0504725697614488</v>
      </c>
      <c r="X4148" s="2">
        <f ca="1"/>
        <v>36.12852709994533</v>
      </c>
      <c r="AG4148" s="2">
        <f ca="1"/>
        <v>0.24457583768901148</v>
      </c>
      <c r="AH4148" s="2" t="str">
        <f ca="1"/>
        <v>OK</v>
      </c>
    </row>
    <row r="4149" spans="2:34">
      <c r="B4149" s="2">
        <f ca="1"/>
        <v>0.73557891609997306</v>
      </c>
      <c r="O4149" s="2">
        <f ca="1"/>
        <v>-0.82859487407814369</v>
      </c>
      <c r="X4149" s="2">
        <f ca="1"/>
        <v>92.509615378767748</v>
      </c>
      <c r="AG4149" s="2">
        <f ca="1"/>
        <v>0.48995376688164982</v>
      </c>
      <c r="AH4149" s="2" t="str">
        <f ca="1"/>
        <v>Bad</v>
      </c>
    </row>
    <row r="4150" spans="2:34">
      <c r="B4150" s="2">
        <f ca="1"/>
        <v>0.19489941181245141</v>
      </c>
      <c r="O4150" s="2">
        <f ca="1"/>
        <v>-0.29714625588779414</v>
      </c>
      <c r="X4150" s="2">
        <f ca="1"/>
        <v>61.798450221065771</v>
      </c>
      <c r="AG4150" s="2">
        <f ca="1"/>
        <v>0.85947835125919925</v>
      </c>
      <c r="AH4150" s="2" t="str">
        <f ca="1"/>
        <v>Bad</v>
      </c>
    </row>
    <row r="4151" spans="2:34">
      <c r="B4151" s="2">
        <f ca="1"/>
        <v>0.32205594491286482</v>
      </c>
      <c r="O4151" s="2">
        <f ca="1"/>
        <v>-0.38053576471498546</v>
      </c>
      <c r="X4151" s="2">
        <f ca="1"/>
        <v>56.723653026499605</v>
      </c>
      <c r="AG4151" s="2">
        <f ca="1"/>
        <v>0.69847127014721599</v>
      </c>
      <c r="AH4151" s="2" t="str">
        <f ca="1"/>
        <v>Bad</v>
      </c>
    </row>
    <row r="4152" spans="2:34">
      <c r="B4152" s="2">
        <f ca="1"/>
        <v>0.90852138644016156</v>
      </c>
      <c r="O4152" s="2">
        <f ca="1"/>
        <v>1.2944671052896553</v>
      </c>
      <c r="X4152" s="2">
        <f ca="1"/>
        <v>49.119680387731542</v>
      </c>
      <c r="AG4152" s="2">
        <f ca="1"/>
        <v>0.67384789434123715</v>
      </c>
      <c r="AH4152" s="2" t="str">
        <f ca="1"/>
        <v>Bad</v>
      </c>
    </row>
    <row r="4153" spans="2:34">
      <c r="B4153" s="2">
        <f ca="1"/>
        <v>0.27277376697488442</v>
      </c>
      <c r="O4153" s="2">
        <f ca="1"/>
        <v>0.28319965480194892</v>
      </c>
      <c r="X4153" s="2">
        <f ca="1"/>
        <v>49.314788795034247</v>
      </c>
      <c r="AG4153" s="2">
        <f ca="1"/>
        <v>0.53797882820691845</v>
      </c>
      <c r="AH4153" s="2" t="str">
        <f ca="1"/>
        <v>Bad</v>
      </c>
    </row>
    <row r="4154" spans="2:34">
      <c r="B4154" s="2">
        <f ca="1"/>
        <v>0.37141522447300201</v>
      </c>
      <c r="O4154" s="2">
        <f ca="1"/>
        <v>-0.32211488849204478</v>
      </c>
      <c r="X4154" s="2">
        <f ca="1"/>
        <v>47.744898594860452</v>
      </c>
      <c r="AG4154" s="2">
        <f ca="1"/>
        <v>0.53914610035062505</v>
      </c>
      <c r="AH4154" s="2" t="str">
        <f ca="1"/>
        <v>Bad</v>
      </c>
    </row>
    <row r="4155" spans="2:34">
      <c r="B4155" s="2">
        <f ca="1"/>
        <v>0.72529479871333979</v>
      </c>
      <c r="O4155" s="2">
        <f ca="1"/>
        <v>-1.7711285102125187</v>
      </c>
      <c r="X4155" s="2">
        <f ca="1"/>
        <v>52.472273238290683</v>
      </c>
      <c r="AG4155" s="2">
        <f ca="1"/>
        <v>0.59197828624416338</v>
      </c>
      <c r="AH4155" s="2" t="str">
        <f ca="1"/>
        <v>Bad</v>
      </c>
    </row>
    <row r="4156" spans="2:34">
      <c r="B4156" s="2">
        <f ca="1"/>
        <v>0.5015220718088782</v>
      </c>
      <c r="O4156" s="2">
        <f ca="1"/>
        <v>-2.2070741757259875</v>
      </c>
      <c r="X4156" s="2">
        <f ca="1"/>
        <v>22.879256378888485</v>
      </c>
      <c r="AG4156" s="2">
        <f ca="1"/>
        <v>0.24390289908140406</v>
      </c>
      <c r="AH4156" s="2" t="str">
        <f ca="1"/>
        <v>OK</v>
      </c>
    </row>
    <row r="4157" spans="2:34">
      <c r="B4157" s="2">
        <f ca="1"/>
        <v>0.24311067496763883</v>
      </c>
      <c r="O4157" s="2">
        <f ca="1"/>
        <v>-0.71003053344299727</v>
      </c>
      <c r="X4157" s="2">
        <f ca="1"/>
        <v>80.676913185701977</v>
      </c>
      <c r="AG4157" s="2">
        <f ca="1"/>
        <v>0.21736249875396307</v>
      </c>
      <c r="AH4157" s="2" t="str">
        <f ca="1"/>
        <v>OK</v>
      </c>
    </row>
    <row r="4158" spans="2:34">
      <c r="B4158" s="2">
        <f ca="1"/>
        <v>0.99852641647309048</v>
      </c>
      <c r="O4158" s="2">
        <f ca="1"/>
        <v>0.75570480679964103</v>
      </c>
      <c r="X4158" s="2">
        <f ca="1"/>
        <v>44.802824263581471</v>
      </c>
      <c r="AG4158" s="2">
        <f ca="1"/>
        <v>0.72789616585023031</v>
      </c>
      <c r="AH4158" s="2" t="str">
        <f ca="1"/>
        <v>Bad</v>
      </c>
    </row>
    <row r="4159" spans="2:34">
      <c r="B4159" s="2">
        <f ca="1"/>
        <v>0.37069239288565092</v>
      </c>
      <c r="O4159" s="2">
        <f ca="1"/>
        <v>0.25418905348050191</v>
      </c>
      <c r="X4159" s="2">
        <f ca="1"/>
        <v>27.001258944233545</v>
      </c>
      <c r="AG4159" s="2">
        <f ca="1"/>
        <v>7.4080616131732224E-2</v>
      </c>
      <c r="AH4159" s="2" t="str">
        <f ca="1"/>
        <v>OK</v>
      </c>
    </row>
    <row r="4160" spans="2:34">
      <c r="B4160" s="2">
        <f ca="1"/>
        <v>0.12950423893641538</v>
      </c>
      <c r="O4160" s="2">
        <f ca="1"/>
        <v>1.7345376584988045E-3</v>
      </c>
      <c r="X4160" s="2">
        <f ca="1"/>
        <v>71.156027194792827</v>
      </c>
      <c r="AG4160" s="2">
        <f ca="1"/>
        <v>0.24554740549667153</v>
      </c>
      <c r="AH4160" s="2" t="str">
        <f ca="1"/>
        <v>OK</v>
      </c>
    </row>
    <row r="4161" spans="2:34">
      <c r="B4161" s="2">
        <f ca="1"/>
        <v>0.20519372513937517</v>
      </c>
      <c r="O4161" s="2">
        <f ca="1"/>
        <v>-0.21329497932846189</v>
      </c>
      <c r="X4161" s="2">
        <f ca="1"/>
        <v>49.107932306150204</v>
      </c>
      <c r="AG4161" s="2">
        <f ca="1"/>
        <v>5.1228354118561858E-2</v>
      </c>
      <c r="AH4161" s="2" t="str">
        <f ca="1"/>
        <v>OK</v>
      </c>
    </row>
    <row r="4162" spans="2:34">
      <c r="B4162" s="2">
        <f ca="1"/>
        <v>0.74203791449623568</v>
      </c>
      <c r="O4162" s="2">
        <f ca="1"/>
        <v>-0.65958217439426514</v>
      </c>
      <c r="X4162" s="2">
        <f ca="1"/>
        <v>64.055973638726385</v>
      </c>
      <c r="AG4162" s="2">
        <f ca="1"/>
        <v>0.3981360809022163</v>
      </c>
      <c r="AH4162" s="2" t="str">
        <f ca="1"/>
        <v>OK</v>
      </c>
    </row>
    <row r="4163" spans="2:34">
      <c r="B4163" s="2">
        <f ca="1"/>
        <v>0.91206265628862981</v>
      </c>
      <c r="O4163" s="2">
        <f ca="1"/>
        <v>-0.14844120623020815</v>
      </c>
      <c r="X4163" s="2">
        <f ca="1"/>
        <v>75.368101865580456</v>
      </c>
      <c r="AG4163" s="2">
        <f ca="1"/>
        <v>0.48681849650729214</v>
      </c>
      <c r="AH4163" s="2" t="str">
        <f ca="1"/>
        <v>Bad</v>
      </c>
    </row>
    <row r="4164" spans="2:34">
      <c r="B4164" s="2">
        <f ca="1"/>
        <v>0.21831866510463338</v>
      </c>
      <c r="O4164" s="2">
        <f ca="1"/>
        <v>-0.65411843682817472</v>
      </c>
      <c r="X4164" s="2">
        <f ca="1"/>
        <v>49.052819132687034</v>
      </c>
      <c r="AG4164" s="2">
        <f ca="1"/>
        <v>0.12476089456141581</v>
      </c>
      <c r="AH4164" s="2" t="str">
        <f ca="1"/>
        <v>OK</v>
      </c>
    </row>
    <row r="4165" spans="2:34">
      <c r="B4165" s="2">
        <f ca="1"/>
        <v>0.88613444267195596</v>
      </c>
      <c r="O4165" s="2">
        <f ca="1"/>
        <v>1.0610908626147844</v>
      </c>
      <c r="X4165" s="2">
        <f ca="1"/>
        <v>45.116073049462372</v>
      </c>
      <c r="AG4165" s="2">
        <f ca="1"/>
        <v>0.236085162916436</v>
      </c>
      <c r="AH4165" s="2" t="str">
        <f ca="1"/>
        <v>OK</v>
      </c>
    </row>
    <row r="4166" spans="2:34">
      <c r="B4166" s="2">
        <f ca="1"/>
        <v>6.8489561135921528E-2</v>
      </c>
      <c r="O4166" s="2">
        <f ca="1"/>
        <v>-1.3845019466021762</v>
      </c>
      <c r="X4166" s="2">
        <f ca="1"/>
        <v>54.609098015867431</v>
      </c>
      <c r="AG4166" s="2">
        <f ca="1"/>
        <v>0.12572095148511719</v>
      </c>
      <c r="AH4166" s="2" t="str">
        <f ca="1"/>
        <v>OK</v>
      </c>
    </row>
    <row r="4167" spans="2:34">
      <c r="B4167" s="2">
        <f ca="1"/>
        <v>3.8571260930140072E-2</v>
      </c>
      <c r="O4167" s="2">
        <f ca="1"/>
        <v>0.17698301274504055</v>
      </c>
      <c r="X4167" s="2">
        <f ca="1"/>
        <v>47.588932176915321</v>
      </c>
      <c r="AG4167" s="2">
        <f ca="1"/>
        <v>0.76240383914147603</v>
      </c>
      <c r="AH4167" s="2" t="str">
        <f ca="1"/>
        <v>Bad</v>
      </c>
    </row>
    <row r="4168" spans="2:34">
      <c r="B4168" s="2">
        <f ca="1"/>
        <v>0.83234555826577128</v>
      </c>
      <c r="O4168" s="2">
        <f ca="1"/>
        <v>0.37086402622005421</v>
      </c>
      <c r="X4168" s="2">
        <f ca="1"/>
        <v>47.556093089421083</v>
      </c>
      <c r="AG4168" s="2">
        <f ca="1"/>
        <v>0.13169709903503102</v>
      </c>
      <c r="AH4168" s="2" t="str">
        <f ca="1"/>
        <v>OK</v>
      </c>
    </row>
    <row r="4169" spans="2:34">
      <c r="B4169" s="2">
        <f ca="1"/>
        <v>0.61488014681021119</v>
      </c>
      <c r="O4169" s="2">
        <f ca="1"/>
        <v>-0.47942667181421544</v>
      </c>
      <c r="X4169" s="2">
        <f ca="1"/>
        <v>54.64046362981545</v>
      </c>
      <c r="AG4169" s="2">
        <f ca="1"/>
        <v>0.47132883300866313</v>
      </c>
      <c r="AH4169" s="2" t="str">
        <f ca="1"/>
        <v>Bad</v>
      </c>
    </row>
    <row r="4170" spans="2:34">
      <c r="B4170" s="2">
        <f ca="1"/>
        <v>0.56292392505184963</v>
      </c>
      <c r="O4170" s="2">
        <f ca="1"/>
        <v>0.39149353319033325</v>
      </c>
      <c r="X4170" s="2">
        <f ca="1"/>
        <v>38.943239397285481</v>
      </c>
      <c r="AG4170" s="2">
        <f ca="1"/>
        <v>0.33125623379703439</v>
      </c>
      <c r="AH4170" s="2" t="str">
        <f ca="1"/>
        <v>OK</v>
      </c>
    </row>
    <row r="4171" spans="2:34">
      <c r="B4171" s="2">
        <f ca="1"/>
        <v>0.861494464261638</v>
      </c>
      <c r="O4171" s="2">
        <f ca="1"/>
        <v>-1.7446855847778342</v>
      </c>
      <c r="X4171" s="2">
        <f ca="1"/>
        <v>52.363338194634999</v>
      </c>
      <c r="AG4171" s="2">
        <f ca="1"/>
        <v>0.55608949805337993</v>
      </c>
      <c r="AH4171" s="2" t="str">
        <f ca="1"/>
        <v>Bad</v>
      </c>
    </row>
    <row r="4172" spans="2:34">
      <c r="B4172" s="2">
        <f ca="1"/>
        <v>0.23773936071184698</v>
      </c>
      <c r="O4172" s="2">
        <f ca="1"/>
        <v>4.3677190786642936E-2</v>
      </c>
      <c r="X4172" s="2">
        <f ca="1"/>
        <v>50.803520338775542</v>
      </c>
      <c r="AG4172" s="2">
        <f ca="1"/>
        <v>0.67296986428991135</v>
      </c>
      <c r="AH4172" s="2" t="str">
        <f ca="1"/>
        <v>Bad</v>
      </c>
    </row>
    <row r="4173" spans="2:34">
      <c r="B4173" s="2">
        <f ca="1"/>
        <v>0.96792404372990348</v>
      </c>
      <c r="O4173" s="2">
        <f ca="1"/>
        <v>0.29648719906813159</v>
      </c>
      <c r="X4173" s="2">
        <f ca="1"/>
        <v>69.718440784798943</v>
      </c>
      <c r="AG4173" s="2">
        <f ca="1"/>
        <v>0.3367939370607147</v>
      </c>
      <c r="AH4173" s="2" t="str">
        <f ca="1"/>
        <v>OK</v>
      </c>
    </row>
    <row r="4174" spans="2:34">
      <c r="B4174" s="2">
        <f ca="1"/>
        <v>0.3224155263853139</v>
      </c>
      <c r="O4174" s="2">
        <f ca="1"/>
        <v>-0.79117574619452824</v>
      </c>
      <c r="X4174" s="2">
        <f ca="1"/>
        <v>63.83513895531452</v>
      </c>
      <c r="AG4174" s="2">
        <f ca="1"/>
        <v>6.896561472181606E-2</v>
      </c>
      <c r="AH4174" s="2" t="str">
        <f ca="1"/>
        <v>OK</v>
      </c>
    </row>
    <row r="4175" spans="2:34">
      <c r="B4175" s="2">
        <f ca="1"/>
        <v>0.82539651328121888</v>
      </c>
      <c r="O4175" s="2">
        <f ca="1"/>
        <v>-1.2374311214869509</v>
      </c>
      <c r="X4175" s="2">
        <f ca="1"/>
        <v>27.057557610919446</v>
      </c>
      <c r="AG4175" s="2">
        <f ca="1"/>
        <v>0.85975465322256328</v>
      </c>
      <c r="AH4175" s="2" t="str">
        <f ca="1"/>
        <v>Bad</v>
      </c>
    </row>
    <row r="4176" spans="2:34">
      <c r="B4176" s="2">
        <f ca="1"/>
        <v>8.0122784511262868E-3</v>
      </c>
      <c r="O4176" s="2">
        <f ca="1"/>
        <v>-0.76449377796981166</v>
      </c>
      <c r="X4176" s="2">
        <f ca="1"/>
        <v>48.325695151737477</v>
      </c>
      <c r="AG4176" s="2">
        <f ca="1"/>
        <v>0.63131374700735421</v>
      </c>
      <c r="AH4176" s="2" t="str">
        <f ca="1"/>
        <v>Bad</v>
      </c>
    </row>
    <row r="4177" spans="2:34">
      <c r="B4177" s="2">
        <f ca="1"/>
        <v>0.76548224478762328</v>
      </c>
      <c r="O4177" s="2">
        <f ca="1"/>
        <v>1.3448507545043398</v>
      </c>
      <c r="X4177" s="2">
        <f ca="1"/>
        <v>55.104537246040593</v>
      </c>
      <c r="AG4177" s="2">
        <f ca="1"/>
        <v>0.53406467993156181</v>
      </c>
      <c r="AH4177" s="2" t="str">
        <f ca="1"/>
        <v>Bad</v>
      </c>
    </row>
    <row r="4178" spans="2:34">
      <c r="B4178" s="2">
        <f ca="1"/>
        <v>0.1200037074606406</v>
      </c>
      <c r="O4178" s="2">
        <f ca="1"/>
        <v>-0.26267361345239049</v>
      </c>
      <c r="X4178" s="2">
        <f ca="1"/>
        <v>44.512633443319956</v>
      </c>
      <c r="AG4178" s="2">
        <f ca="1"/>
        <v>0.74725450544805572</v>
      </c>
      <c r="AH4178" s="2" t="str">
        <f ca="1"/>
        <v>Bad</v>
      </c>
    </row>
    <row r="4179" spans="2:34">
      <c r="B4179" s="2">
        <f ca="1"/>
        <v>0.42698973811003071</v>
      </c>
      <c r="O4179" s="2">
        <f ca="1"/>
        <v>-0.88689040607568037</v>
      </c>
      <c r="X4179" s="2">
        <f ca="1"/>
        <v>46.654996236959782</v>
      </c>
      <c r="AG4179" s="2">
        <f ca="1"/>
        <v>3.1015938393537112E-3</v>
      </c>
      <c r="AH4179" s="2" t="str">
        <f ca="1"/>
        <v>Good</v>
      </c>
    </row>
    <row r="4180" spans="2:34">
      <c r="B4180" s="2">
        <f ca="1"/>
        <v>0.21156934755102985</v>
      </c>
      <c r="O4180" s="2">
        <f ca="1"/>
        <v>-0.58416443901358639</v>
      </c>
      <c r="X4180" s="2">
        <f ca="1"/>
        <v>52.683204361569189</v>
      </c>
      <c r="AG4180" s="2">
        <f ca="1"/>
        <v>0.81016111000627133</v>
      </c>
      <c r="AH4180" s="2" t="str">
        <f ca="1"/>
        <v>Bad</v>
      </c>
    </row>
    <row r="4181" spans="2:34">
      <c r="B4181" s="2">
        <f ca="1"/>
        <v>0.56013119406014678</v>
      </c>
      <c r="O4181" s="2">
        <f ca="1"/>
        <v>0.75659130552764864</v>
      </c>
      <c r="X4181" s="2">
        <f ca="1"/>
        <v>65.371947398537273</v>
      </c>
      <c r="AG4181" s="2">
        <f ca="1"/>
        <v>0.95405101930933034</v>
      </c>
      <c r="AH4181" s="2" t="str">
        <f ca="1"/>
        <v>Bad</v>
      </c>
    </row>
    <row r="4182" spans="2:34">
      <c r="B4182" s="2">
        <f ca="1"/>
        <v>0.9565328157027011</v>
      </c>
      <c r="O4182" s="2">
        <f ca="1"/>
        <v>-0.68203082411248406</v>
      </c>
      <c r="X4182" s="2">
        <f ca="1"/>
        <v>42.892966788117391</v>
      </c>
      <c r="AG4182" s="2">
        <f ca="1"/>
        <v>0.29590739810648103</v>
      </c>
      <c r="AH4182" s="2" t="str">
        <f ca="1"/>
        <v>OK</v>
      </c>
    </row>
    <row r="4183" spans="2:34">
      <c r="B4183" s="2">
        <f ca="1"/>
        <v>0.26338212132521877</v>
      </c>
      <c r="O4183" s="2">
        <f ca="1"/>
        <v>0.41065900798013083</v>
      </c>
      <c r="X4183" s="2">
        <f ca="1"/>
        <v>80.536003750119249</v>
      </c>
      <c r="AG4183" s="2">
        <f ca="1"/>
        <v>0.15225641245408661</v>
      </c>
      <c r="AH4183" s="2" t="str">
        <f ca="1"/>
        <v>OK</v>
      </c>
    </row>
    <row r="4184" spans="2:34">
      <c r="B4184" s="2">
        <f ca="1"/>
        <v>0.62338237409241448</v>
      </c>
      <c r="O4184" s="2">
        <f ca="1"/>
        <v>-0.92384383525727831</v>
      </c>
      <c r="X4184" s="2">
        <f ca="1"/>
        <v>32.983927138339737</v>
      </c>
      <c r="AG4184" s="2">
        <f ca="1"/>
        <v>0.30168911600442971</v>
      </c>
      <c r="AH4184" s="2" t="str">
        <f ca="1"/>
        <v>OK</v>
      </c>
    </row>
    <row r="4185" spans="2:34">
      <c r="B4185" s="2">
        <f ca="1"/>
        <v>0.81815711739576247</v>
      </c>
      <c r="O4185" s="2">
        <f ca="1"/>
        <v>-1.3653684202412699</v>
      </c>
      <c r="X4185" s="2">
        <f ca="1"/>
        <v>36.617448927965114</v>
      </c>
      <c r="AG4185" s="2">
        <f ca="1"/>
        <v>0.79809628192563964</v>
      </c>
      <c r="AH4185" s="2" t="str">
        <f ca="1"/>
        <v>Bad</v>
      </c>
    </row>
    <row r="4186" spans="2:34">
      <c r="B4186" s="2">
        <f ca="1"/>
        <v>0.51534459159885837</v>
      </c>
      <c r="O4186" s="2">
        <f ca="1"/>
        <v>0.8957423632598206</v>
      </c>
      <c r="X4186" s="2">
        <f ca="1"/>
        <v>36.796470653300169</v>
      </c>
      <c r="AG4186" s="2">
        <f ca="1"/>
        <v>0.90119292974981247</v>
      </c>
      <c r="AH4186" s="2" t="str">
        <f ca="1"/>
        <v>Bad</v>
      </c>
    </row>
    <row r="4187" spans="2:34">
      <c r="B4187" s="2">
        <f ca="1"/>
        <v>0.97671204376483822</v>
      </c>
      <c r="O4187" s="2">
        <f ca="1"/>
        <v>-0.29876317513846878</v>
      </c>
      <c r="X4187" s="2">
        <f ca="1"/>
        <v>46.955165612535659</v>
      </c>
      <c r="AG4187" s="2">
        <f ca="1"/>
        <v>0.65535394873129738</v>
      </c>
      <c r="AH4187" s="2" t="str">
        <f ca="1"/>
        <v>Bad</v>
      </c>
    </row>
    <row r="4188" spans="2:34">
      <c r="B4188" s="2">
        <f ca="1"/>
        <v>4.1016212189470158E-2</v>
      </c>
      <c r="O4188" s="2">
        <f ca="1"/>
        <v>4.31009471587964E-2</v>
      </c>
      <c r="X4188" s="2">
        <f ca="1"/>
        <v>77.001462714046482</v>
      </c>
      <c r="AG4188" s="2">
        <f ca="1"/>
        <v>0.87668321315676279</v>
      </c>
      <c r="AH4188" s="2" t="str">
        <f ca="1"/>
        <v>Bad</v>
      </c>
    </row>
    <row r="4189" spans="2:34">
      <c r="B4189" s="2">
        <f ca="1"/>
        <v>0.56085074727372564</v>
      </c>
      <c r="O4189" s="2">
        <f ca="1"/>
        <v>-1.1497495609534267</v>
      </c>
      <c r="X4189" s="2">
        <f ca="1"/>
        <v>69.145647126589836</v>
      </c>
      <c r="AG4189" s="2">
        <f ca="1"/>
        <v>7.607652082255334E-2</v>
      </c>
      <c r="AH4189" s="2" t="str">
        <f ca="1"/>
        <v>OK</v>
      </c>
    </row>
    <row r="4190" spans="2:34">
      <c r="B4190" s="2">
        <f ca="1"/>
        <v>0.73593295561758021</v>
      </c>
      <c r="O4190" s="2">
        <f ca="1"/>
        <v>0.40711398968015783</v>
      </c>
      <c r="X4190" s="2">
        <f ca="1"/>
        <v>37.588130716856519</v>
      </c>
      <c r="AG4190" s="2">
        <f ca="1"/>
        <v>0.52413268208174957</v>
      </c>
      <c r="AH4190" s="2" t="str">
        <f ca="1"/>
        <v>Bad</v>
      </c>
    </row>
    <row r="4191" spans="2:34">
      <c r="B4191" s="2">
        <f ca="1"/>
        <v>0.44074200398427643</v>
      </c>
      <c r="O4191" s="2">
        <f ca="1"/>
        <v>-0.10690839836919426</v>
      </c>
      <c r="X4191" s="2">
        <f ca="1"/>
        <v>58.212622891476585</v>
      </c>
      <c r="AG4191" s="2">
        <f ca="1"/>
        <v>0.44187379316647712</v>
      </c>
      <c r="AH4191" s="2" t="str">
        <f ca="1"/>
        <v>Bad</v>
      </c>
    </row>
    <row r="4192" spans="2:34">
      <c r="B4192" s="2">
        <f ca="1"/>
        <v>0.69572521250960317</v>
      </c>
      <c r="O4192" s="2">
        <f ca="1"/>
        <v>1.1525268430529676</v>
      </c>
      <c r="X4192" s="2">
        <f ca="1"/>
        <v>20.265427353191626</v>
      </c>
      <c r="AG4192" s="2">
        <f ca="1"/>
        <v>0.4048242363572192</v>
      </c>
      <c r="AH4192" s="2" t="str">
        <f ca="1"/>
        <v>Bad</v>
      </c>
    </row>
    <row r="4193" spans="2:34">
      <c r="B4193" s="2">
        <f ca="1"/>
        <v>0.40314000491711033</v>
      </c>
      <c r="O4193" s="2">
        <f ca="1"/>
        <v>0.29720169227874632</v>
      </c>
      <c r="X4193" s="2">
        <f ca="1"/>
        <v>68.579703661976808</v>
      </c>
      <c r="AG4193" s="2">
        <f ca="1"/>
        <v>0.18104136374758983</v>
      </c>
      <c r="AH4193" s="2" t="str">
        <f ca="1"/>
        <v>OK</v>
      </c>
    </row>
    <row r="4194" spans="2:34">
      <c r="B4194" s="2">
        <f ca="1"/>
        <v>0.17502945748119303</v>
      </c>
      <c r="O4194" s="2">
        <f ca="1"/>
        <v>-0.69250142253141056</v>
      </c>
      <c r="X4194" s="2">
        <f ca="1"/>
        <v>35.259981679478877</v>
      </c>
      <c r="AG4194" s="2">
        <f ca="1"/>
        <v>0.40296821386752724</v>
      </c>
      <c r="AH4194" s="2" t="str">
        <f ca="1"/>
        <v>Bad</v>
      </c>
    </row>
    <row r="4195" spans="2:34">
      <c r="B4195" s="2">
        <f ca="1"/>
        <v>2.5549538226886659E-2</v>
      </c>
      <c r="O4195" s="2">
        <f ca="1"/>
        <v>0.34862858598884333</v>
      </c>
      <c r="X4195" s="2">
        <f ca="1"/>
        <v>48.752414376767021</v>
      </c>
      <c r="AG4195" s="2">
        <f ca="1"/>
        <v>0.79464464666183932</v>
      </c>
      <c r="AH4195" s="2" t="str">
        <f ca="1"/>
        <v>Bad</v>
      </c>
    </row>
    <row r="4196" spans="2:34">
      <c r="B4196" s="2">
        <f ca="1"/>
        <v>0.52697124358872127</v>
      </c>
      <c r="O4196" s="2">
        <f ca="1"/>
        <v>0.17864259413630468</v>
      </c>
      <c r="X4196" s="2">
        <f ca="1"/>
        <v>59.152964476151688</v>
      </c>
      <c r="AG4196" s="2">
        <f ca="1"/>
        <v>0.17008275215701874</v>
      </c>
      <c r="AH4196" s="2" t="str">
        <f ca="1"/>
        <v>OK</v>
      </c>
    </row>
    <row r="4197" spans="2:34">
      <c r="B4197" s="2">
        <f ca="1"/>
        <v>0.31405027150512543</v>
      </c>
      <c r="O4197" s="2">
        <f ca="1"/>
        <v>0.21241165541988491</v>
      </c>
      <c r="X4197" s="2">
        <f ca="1"/>
        <v>57.433178493938627</v>
      </c>
      <c r="AG4197" s="2">
        <f ca="1"/>
        <v>0.61995615593564213</v>
      </c>
      <c r="AH4197" s="2" t="str">
        <f ca="1"/>
        <v>Bad</v>
      </c>
    </row>
    <row r="4198" spans="2:34">
      <c r="B4198" s="2">
        <f ca="1"/>
        <v>0.92936640392549053</v>
      </c>
      <c r="O4198" s="2">
        <f ca="1"/>
        <v>1.2949883499363972</v>
      </c>
      <c r="X4198" s="2">
        <f ca="1"/>
        <v>47.549584791481642</v>
      </c>
      <c r="AG4198" s="2">
        <f ca="1"/>
        <v>0.10272281648373882</v>
      </c>
      <c r="AH4198" s="2" t="str">
        <f ca="1"/>
        <v>OK</v>
      </c>
    </row>
    <row r="4199" spans="2:34">
      <c r="B4199" s="2">
        <f ca="1"/>
        <v>0.97351041376150094</v>
      </c>
      <c r="O4199" s="2">
        <f ca="1"/>
        <v>0.344647471849367</v>
      </c>
      <c r="X4199" s="2">
        <f ca="1"/>
        <v>38.324359691367128</v>
      </c>
      <c r="AG4199" s="2">
        <f ca="1"/>
        <v>0.73667121015915593</v>
      </c>
      <c r="AH4199" s="2" t="str">
        <f ca="1"/>
        <v>Bad</v>
      </c>
    </row>
    <row r="4200" spans="2:34">
      <c r="B4200" s="2">
        <f ca="1"/>
        <v>0.72244070619255396</v>
      </c>
      <c r="O4200" s="2">
        <f ca="1"/>
        <v>-0.56230363874291278</v>
      </c>
      <c r="X4200" s="2">
        <f ca="1"/>
        <v>68.372555506167757</v>
      </c>
      <c r="AG4200" s="2">
        <f ca="1"/>
        <v>0.52786240992305045</v>
      </c>
      <c r="AH4200" s="2" t="str">
        <f ca="1"/>
        <v>Bad</v>
      </c>
    </row>
    <row r="4201" spans="2:34">
      <c r="B4201" s="2">
        <f ca="1"/>
        <v>0.72519017141737629</v>
      </c>
      <c r="O4201" s="2">
        <f ca="1"/>
        <v>-2.8266185846341028</v>
      </c>
      <c r="X4201" s="2">
        <f ca="1"/>
        <v>27.091131156607275</v>
      </c>
      <c r="AG4201" s="2">
        <f ca="1"/>
        <v>0.1164750702007189</v>
      </c>
      <c r="AH4201" s="2" t="str">
        <f ca="1"/>
        <v>OK</v>
      </c>
    </row>
    <row r="4202" spans="2:34">
      <c r="B4202" s="2">
        <f ca="1"/>
        <v>0.98750140124691277</v>
      </c>
      <c r="O4202" s="2">
        <f ca="1"/>
        <v>0.83170171396827419</v>
      </c>
      <c r="X4202" s="2">
        <f ca="1"/>
        <v>46.347584713484906</v>
      </c>
      <c r="AG4202" s="2">
        <f ca="1"/>
        <v>0.69746202957131875</v>
      </c>
      <c r="AH4202" s="2" t="str">
        <f ca="1"/>
        <v>Bad</v>
      </c>
    </row>
    <row r="4203" spans="2:34">
      <c r="B4203" s="2">
        <f ca="1"/>
        <v>0.17350785266445912</v>
      </c>
      <c r="O4203" s="2">
        <f ca="1"/>
        <v>2.6951741720924409</v>
      </c>
      <c r="X4203" s="2">
        <f ca="1"/>
        <v>106.82278747351717</v>
      </c>
      <c r="AG4203" s="2">
        <f ca="1"/>
        <v>0.3350339732836749</v>
      </c>
      <c r="AH4203" s="2" t="str">
        <f ca="1"/>
        <v>OK</v>
      </c>
    </row>
    <row r="4204" spans="2:34">
      <c r="B4204" s="2">
        <f ca="1"/>
        <v>0.16304719140030466</v>
      </c>
      <c r="O4204" s="2">
        <f ca="1"/>
        <v>-0.53793929508970439</v>
      </c>
      <c r="X4204" s="2">
        <f ca="1"/>
        <v>53.161831653941306</v>
      </c>
      <c r="AG4204" s="2">
        <f ca="1"/>
        <v>0.26331042469810928</v>
      </c>
      <c r="AH4204" s="2" t="str">
        <f ca="1"/>
        <v>OK</v>
      </c>
    </row>
    <row r="4205" spans="2:34">
      <c r="B4205" s="2">
        <f ca="1"/>
        <v>0.25542755125162064</v>
      </c>
      <c r="O4205" s="2">
        <f ca="1"/>
        <v>-1.1393503663749727</v>
      </c>
      <c r="X4205" s="2">
        <f ca="1"/>
        <v>17.632985668422855</v>
      </c>
      <c r="AG4205" s="2">
        <f ca="1"/>
        <v>6.681246989036338E-2</v>
      </c>
      <c r="AH4205" s="2" t="str">
        <f ca="1"/>
        <v>OK</v>
      </c>
    </row>
    <row r="4206" spans="2:34">
      <c r="B4206" s="2">
        <f ca="1"/>
        <v>0.63139377642999595</v>
      </c>
      <c r="O4206" s="2">
        <f ca="1"/>
        <v>-0.49248669178086152</v>
      </c>
      <c r="X4206" s="2">
        <f ca="1"/>
        <v>62.026044359757591</v>
      </c>
      <c r="AG4206" s="2">
        <f ca="1"/>
        <v>0.10615993122796219</v>
      </c>
      <c r="AH4206" s="2" t="str">
        <f ca="1"/>
        <v>OK</v>
      </c>
    </row>
    <row r="4207" spans="2:34">
      <c r="B4207" s="2">
        <f ca="1"/>
        <v>0.21023213291120424</v>
      </c>
      <c r="O4207" s="2">
        <f ca="1"/>
        <v>-0.76565754322212332</v>
      </c>
      <c r="X4207" s="2">
        <f ca="1"/>
        <v>49.496043312014272</v>
      </c>
      <c r="AG4207" s="2">
        <f ca="1"/>
        <v>5.8785389231735374E-2</v>
      </c>
      <c r="AH4207" s="2" t="str">
        <f ca="1"/>
        <v>OK</v>
      </c>
    </row>
    <row r="4208" spans="2:34">
      <c r="B4208" s="2">
        <f ca="1"/>
        <v>0.43482019226534119</v>
      </c>
      <c r="O4208" s="2">
        <f ca="1"/>
        <v>-3.5597766931600341E-2</v>
      </c>
      <c r="X4208" s="2">
        <f ca="1"/>
        <v>60.794623245067847</v>
      </c>
      <c r="AG4208" s="2">
        <f ca="1"/>
        <v>0.47737996556852424</v>
      </c>
      <c r="AH4208" s="2" t="str">
        <f ca="1"/>
        <v>Bad</v>
      </c>
    </row>
    <row r="4209" spans="2:34">
      <c r="B4209" s="2">
        <f ca="1"/>
        <v>0.48549788467653499</v>
      </c>
      <c r="O4209" s="2">
        <f ca="1"/>
        <v>-0.4585143233619951</v>
      </c>
      <c r="X4209" s="2">
        <f ca="1"/>
        <v>48.361121539239932</v>
      </c>
      <c r="AG4209" s="2">
        <f ca="1"/>
        <v>0.67935027838798723</v>
      </c>
      <c r="AH4209" s="2" t="str">
        <f ca="1"/>
        <v>Bad</v>
      </c>
    </row>
    <row r="4210" spans="2:34">
      <c r="B4210" s="2">
        <f ca="1"/>
        <v>6.5357216402071927E-2</v>
      </c>
      <c r="O4210" s="2">
        <f ca="1"/>
        <v>-1.5644915291064003</v>
      </c>
      <c r="X4210" s="2">
        <f ca="1"/>
        <v>43.203809578718626</v>
      </c>
      <c r="AG4210" s="2">
        <f ca="1"/>
        <v>0.51198608171805993</v>
      </c>
      <c r="AH4210" s="2" t="str">
        <f ca="1"/>
        <v>Bad</v>
      </c>
    </row>
    <row r="4211" spans="2:34">
      <c r="B4211" s="2">
        <f ca="1"/>
        <v>0.33568954104865134</v>
      </c>
      <c r="O4211" s="2">
        <f ca="1"/>
        <v>0.58403711068033748</v>
      </c>
      <c r="X4211" s="2">
        <f ca="1"/>
        <v>30.613407836262738</v>
      </c>
      <c r="AG4211" s="2">
        <f ca="1"/>
        <v>0.57715508058783782</v>
      </c>
      <c r="AH4211" s="2" t="str">
        <f ca="1"/>
        <v>Bad</v>
      </c>
    </row>
    <row r="4212" spans="2:34">
      <c r="B4212" s="2">
        <f ca="1"/>
        <v>0.18178925952941527</v>
      </c>
      <c r="O4212" s="2">
        <f ca="1"/>
        <v>-1.6006624223493942</v>
      </c>
      <c r="X4212" s="2">
        <f ca="1"/>
        <v>49.960361111669521</v>
      </c>
      <c r="AG4212" s="2">
        <f ca="1"/>
        <v>0.34570984076727918</v>
      </c>
      <c r="AH4212" s="2" t="str">
        <f ca="1"/>
        <v>OK</v>
      </c>
    </row>
    <row r="4213" spans="2:34">
      <c r="B4213" s="2">
        <f ca="1"/>
        <v>0.18237715907801211</v>
      </c>
      <c r="O4213" s="2">
        <f ca="1"/>
        <v>-0.8881801491858301</v>
      </c>
      <c r="X4213" s="2">
        <f ca="1"/>
        <v>27.583506477752874</v>
      </c>
      <c r="AG4213" s="2">
        <f ca="1"/>
        <v>0.61996126637443938</v>
      </c>
      <c r="AH4213" s="2" t="str">
        <f ca="1"/>
        <v>Bad</v>
      </c>
    </row>
    <row r="4214" spans="2:34">
      <c r="B4214" s="2">
        <f ca="1"/>
        <v>0.48873300302136347</v>
      </c>
      <c r="O4214" s="2">
        <f ca="1"/>
        <v>0.28173317847227747</v>
      </c>
      <c r="X4214" s="2">
        <f ca="1"/>
        <v>40.507096853501132</v>
      </c>
      <c r="AG4214" s="2">
        <f ca="1"/>
        <v>0.56699524714228566</v>
      </c>
      <c r="AH4214" s="2" t="str">
        <f ca="1"/>
        <v>Bad</v>
      </c>
    </row>
    <row r="4215" spans="2:34">
      <c r="B4215" s="2">
        <f ca="1"/>
        <v>0.87318459003471705</v>
      </c>
      <c r="O4215" s="2">
        <f ca="1"/>
        <v>0.20253845425224773</v>
      </c>
      <c r="X4215" s="2">
        <f ca="1"/>
        <v>36.717389823809448</v>
      </c>
      <c r="AG4215" s="2">
        <f ca="1"/>
        <v>0.47309496461018385</v>
      </c>
      <c r="AH4215" s="2" t="str">
        <f ca="1"/>
        <v>Bad</v>
      </c>
    </row>
    <row r="4216" spans="2:34">
      <c r="B4216" s="2">
        <f ca="1"/>
        <v>0.14216894244875844</v>
      </c>
      <c r="O4216" s="2">
        <f ca="1"/>
        <v>-0.16829020141431147</v>
      </c>
      <c r="X4216" s="2">
        <f ca="1"/>
        <v>62.168507172568837</v>
      </c>
      <c r="AG4216" s="2">
        <f ca="1"/>
        <v>4.5244779432518367E-3</v>
      </c>
      <c r="AH4216" s="2" t="str">
        <f ca="1"/>
        <v>Good</v>
      </c>
    </row>
    <row r="4217" spans="2:34">
      <c r="B4217" s="2">
        <f ca="1"/>
        <v>0.83334128050313749</v>
      </c>
      <c r="O4217" s="2">
        <f ca="1"/>
        <v>5.2313989339147944E-2</v>
      </c>
      <c r="X4217" s="2">
        <f ca="1"/>
        <v>50.407592451132103</v>
      </c>
      <c r="AG4217" s="2">
        <f ca="1"/>
        <v>0.57709609412050944</v>
      </c>
      <c r="AH4217" s="2" t="str">
        <f ca="1"/>
        <v>Bad</v>
      </c>
    </row>
    <row r="4218" spans="2:34">
      <c r="B4218" s="2">
        <f ca="1"/>
        <v>0.32215947351633156</v>
      </c>
      <c r="O4218" s="2">
        <f ca="1"/>
        <v>0.81432710773681527</v>
      </c>
      <c r="X4218" s="2">
        <f ca="1"/>
        <v>59.997299240378226</v>
      </c>
      <c r="AG4218" s="2">
        <f ca="1"/>
        <v>0.36962053914007797</v>
      </c>
      <c r="AH4218" s="2" t="str">
        <f ca="1"/>
        <v>OK</v>
      </c>
    </row>
    <row r="4219" spans="2:34">
      <c r="B4219" s="2">
        <f ca="1"/>
        <v>0.57647689525458734</v>
      </c>
      <c r="O4219" s="2">
        <f ca="1"/>
        <v>1.8773305913228018</v>
      </c>
      <c r="X4219" s="2">
        <f ca="1"/>
        <v>28.175101739291751</v>
      </c>
      <c r="AG4219" s="2">
        <f ca="1"/>
        <v>0.89222778408922232</v>
      </c>
      <c r="AH4219" s="2" t="str">
        <f ca="1"/>
        <v>Bad</v>
      </c>
    </row>
    <row r="4220" spans="2:34">
      <c r="B4220" s="2">
        <f ca="1"/>
        <v>0.74060350052423352</v>
      </c>
      <c r="O4220" s="2">
        <f ca="1"/>
        <v>6.3973574857745727E-2</v>
      </c>
      <c r="X4220" s="2">
        <f ca="1"/>
        <v>38.407179281314399</v>
      </c>
      <c r="AG4220" s="2">
        <f ca="1"/>
        <v>0.55167587008975616</v>
      </c>
      <c r="AH4220" s="2" t="str">
        <f ca="1"/>
        <v>Bad</v>
      </c>
    </row>
    <row r="4221" spans="2:34">
      <c r="B4221" s="2">
        <f ca="1"/>
        <v>0.88594367979972888</v>
      </c>
      <c r="O4221" s="2">
        <f ca="1"/>
        <v>-0.24213980212874356</v>
      </c>
      <c r="X4221" s="2">
        <f ca="1"/>
        <v>45.266657762645998</v>
      </c>
      <c r="AG4221" s="2">
        <f ca="1"/>
        <v>0.55246263145005536</v>
      </c>
      <c r="AH4221" s="2" t="str">
        <f ca="1"/>
        <v>Bad</v>
      </c>
    </row>
    <row r="4222" spans="2:34">
      <c r="B4222" s="2">
        <f ca="1"/>
        <v>0.67202850553321203</v>
      </c>
      <c r="O4222" s="2">
        <f ca="1"/>
        <v>-0.24002277914399497</v>
      </c>
      <c r="X4222" s="2">
        <f ca="1"/>
        <v>24.593686453397019</v>
      </c>
      <c r="AG4222" s="2">
        <f ca="1"/>
        <v>0.25148537112925085</v>
      </c>
      <c r="AH4222" s="2" t="str">
        <f ca="1"/>
        <v>OK</v>
      </c>
    </row>
    <row r="4223" spans="2:34">
      <c r="B4223" s="2">
        <f ca="1"/>
        <v>0.31647773906999044</v>
      </c>
      <c r="O4223" s="2">
        <f ca="1"/>
        <v>2.0107353010593836</v>
      </c>
      <c r="X4223" s="2">
        <f ca="1"/>
        <v>81.967818106205328</v>
      </c>
      <c r="AG4223" s="2">
        <f ca="1"/>
        <v>0.69940378935265923</v>
      </c>
      <c r="AH4223" s="2" t="str">
        <f ca="1"/>
        <v>Bad</v>
      </c>
    </row>
    <row r="4224" spans="2:34">
      <c r="B4224" s="2">
        <f ca="1"/>
        <v>0.32237876099075757</v>
      </c>
      <c r="O4224" s="2">
        <f ca="1"/>
        <v>0.12409524154816468</v>
      </c>
      <c r="X4224" s="2">
        <f ca="1"/>
        <v>97.567657160476884</v>
      </c>
      <c r="AG4224" s="2">
        <f ca="1"/>
        <v>0.72246564576363492</v>
      </c>
      <c r="AH4224" s="2" t="str">
        <f ca="1"/>
        <v>Bad</v>
      </c>
    </row>
    <row r="4225" spans="2:34">
      <c r="B4225" s="2">
        <f ca="1"/>
        <v>0.13374088511029747</v>
      </c>
      <c r="O4225" s="2">
        <f ca="1"/>
        <v>-1.9007147254024443</v>
      </c>
      <c r="X4225" s="2">
        <f ca="1"/>
        <v>30.563142883122506</v>
      </c>
      <c r="AG4225" s="2">
        <f ca="1"/>
        <v>0.4773707232671287</v>
      </c>
      <c r="AH4225" s="2" t="str">
        <f ca="1"/>
        <v>Bad</v>
      </c>
    </row>
    <row r="4226" spans="2:34">
      <c r="B4226" s="2">
        <f ca="1"/>
        <v>0.33106464689967829</v>
      </c>
      <c r="O4226" s="2">
        <f ca="1"/>
        <v>0.58128105476447167</v>
      </c>
      <c r="X4226" s="2">
        <f ca="1"/>
        <v>26.778825649047082</v>
      </c>
      <c r="AG4226" s="2">
        <f ca="1"/>
        <v>0.74046263843832416</v>
      </c>
      <c r="AH4226" s="2" t="str">
        <f ca="1"/>
        <v>Bad</v>
      </c>
    </row>
    <row r="4227" spans="2:34">
      <c r="B4227" s="2">
        <f ca="1"/>
        <v>0.96520288863222303</v>
      </c>
      <c r="O4227" s="2">
        <f ca="1"/>
        <v>0.22783984500671145</v>
      </c>
      <c r="X4227" s="2">
        <f ca="1"/>
        <v>68.5954981708893</v>
      </c>
      <c r="AG4227" s="2">
        <f ca="1"/>
        <v>0.29205993221337212</v>
      </c>
      <c r="AH4227" s="2" t="str">
        <f ca="1"/>
        <v>OK</v>
      </c>
    </row>
    <row r="4228" spans="2:34">
      <c r="B4228" s="2">
        <f ca="1"/>
        <v>0.84389054570226407</v>
      </c>
      <c r="O4228" s="2">
        <f ca="1"/>
        <v>-1.1917110452640503</v>
      </c>
      <c r="X4228" s="2">
        <f ca="1"/>
        <v>34.198731230945782</v>
      </c>
      <c r="AG4228" s="2">
        <f ca="1"/>
        <v>0.99844168199016048</v>
      </c>
      <c r="AH4228" s="2" t="str">
        <f ca="1"/>
        <v>Bad</v>
      </c>
    </row>
    <row r="4229" spans="2:34">
      <c r="B4229" s="2">
        <f ca="1"/>
        <v>7.3373088082553384E-3</v>
      </c>
      <c r="O4229" s="2">
        <f ca="1"/>
        <v>1.3802661829244831</v>
      </c>
      <c r="X4229" s="2">
        <f ca="1"/>
        <v>35.122131964805369</v>
      </c>
      <c r="AG4229" s="2">
        <f ca="1"/>
        <v>0.96255534355968875</v>
      </c>
      <c r="AH4229" s="2" t="str">
        <f ca="1"/>
        <v>Bad</v>
      </c>
    </row>
    <row r="4230" spans="2:34">
      <c r="B4230" s="2">
        <f ca="1"/>
        <v>0.90477297572090887</v>
      </c>
      <c r="O4230" s="2">
        <f ca="1"/>
        <v>-3.0542032216587137E-2</v>
      </c>
      <c r="X4230" s="2">
        <f ca="1"/>
        <v>72.008004811850256</v>
      </c>
      <c r="AG4230" s="2">
        <f ca="1"/>
        <v>0.85881381076181507</v>
      </c>
      <c r="AH4230" s="2" t="str">
        <f ca="1"/>
        <v>Bad</v>
      </c>
    </row>
    <row r="4231" spans="2:34">
      <c r="B4231" s="2">
        <f ca="1"/>
        <v>0.5166341390005551</v>
      </c>
      <c r="O4231" s="2">
        <f ca="1"/>
        <v>0.17823743248776461</v>
      </c>
      <c r="X4231" s="2">
        <f ca="1"/>
        <v>78.301865450341523</v>
      </c>
      <c r="AG4231" s="2">
        <f ca="1"/>
        <v>0.70536260654469141</v>
      </c>
      <c r="AH4231" s="2" t="str">
        <f ca="1"/>
        <v>Bad</v>
      </c>
    </row>
    <row r="4232" spans="2:34">
      <c r="B4232" s="2">
        <f ca="1"/>
        <v>0.17385715655309752</v>
      </c>
      <c r="O4232" s="2">
        <f ca="1"/>
        <v>0.97158522538812098</v>
      </c>
      <c r="X4232" s="2">
        <f ca="1"/>
        <v>65.22225613803387</v>
      </c>
      <c r="AG4232" s="2">
        <f ca="1"/>
        <v>0.2702307670100792</v>
      </c>
      <c r="AH4232" s="2" t="str">
        <f ca="1"/>
        <v>OK</v>
      </c>
    </row>
    <row r="4233" spans="2:34">
      <c r="B4233" s="2">
        <f ca="1"/>
        <v>0.95997613317597286</v>
      </c>
      <c r="O4233" s="2">
        <f ca="1"/>
        <v>1.1898772248275267</v>
      </c>
      <c r="X4233" s="2">
        <f ca="1"/>
        <v>32.736937556868504</v>
      </c>
      <c r="AG4233" s="2">
        <f ca="1"/>
        <v>0.48931890418268509</v>
      </c>
      <c r="AH4233" s="2" t="str">
        <f ca="1"/>
        <v>Bad</v>
      </c>
    </row>
    <row r="4234" spans="2:34">
      <c r="B4234" s="2">
        <f ca="1"/>
        <v>0.91117398375532321</v>
      </c>
      <c r="O4234" s="2">
        <f ca="1"/>
        <v>0.62957599307937973</v>
      </c>
      <c r="X4234" s="2">
        <f ca="1"/>
        <v>66.831987436404759</v>
      </c>
      <c r="AG4234" s="2">
        <f ca="1"/>
        <v>0.30503836995196298</v>
      </c>
      <c r="AH4234" s="2" t="str">
        <f ca="1"/>
        <v>OK</v>
      </c>
    </row>
    <row r="4235" spans="2:34">
      <c r="B4235" s="2">
        <f ca="1"/>
        <v>0.95838852284585818</v>
      </c>
      <c r="O4235" s="2">
        <f ca="1"/>
        <v>0.9452397521961976</v>
      </c>
      <c r="X4235" s="2">
        <f ca="1"/>
        <v>39.982202488452479</v>
      </c>
      <c r="AG4235" s="2">
        <f ca="1"/>
        <v>0.39872231763691746</v>
      </c>
      <c r="AH4235" s="2" t="str">
        <f ca="1"/>
        <v>OK</v>
      </c>
    </row>
    <row r="4236" spans="2:34">
      <c r="B4236" s="2">
        <f ca="1"/>
        <v>0.74105204790170576</v>
      </c>
      <c r="O4236" s="2">
        <f ca="1"/>
        <v>0.11157929808377298</v>
      </c>
      <c r="X4236" s="2">
        <f ca="1"/>
        <v>51.372039920839292</v>
      </c>
      <c r="AG4236" s="2">
        <f ca="1"/>
        <v>0.7716438014038105</v>
      </c>
      <c r="AH4236" s="2" t="str">
        <f ca="1"/>
        <v>Bad</v>
      </c>
    </row>
    <row r="4237" spans="2:34">
      <c r="B4237" s="2">
        <f ca="1"/>
        <v>0.51884161023595965</v>
      </c>
      <c r="O4237" s="2">
        <f ca="1"/>
        <v>-1.5443635556881237</v>
      </c>
      <c r="X4237" s="2">
        <f ca="1"/>
        <v>32.35494553754031</v>
      </c>
      <c r="AG4237" s="2">
        <f ca="1"/>
        <v>2.147015390757101E-2</v>
      </c>
      <c r="AH4237" s="2" t="str">
        <f ca="1"/>
        <v>Good</v>
      </c>
    </row>
    <row r="4238" spans="2:34">
      <c r="B4238" s="2">
        <f ca="1"/>
        <v>0.5377862011387069</v>
      </c>
      <c r="O4238" s="2">
        <f ca="1"/>
        <v>-8.0317164578197667E-2</v>
      </c>
      <c r="X4238" s="2">
        <f ca="1"/>
        <v>27.445118149958695</v>
      </c>
      <c r="AG4238" s="2">
        <f ca="1"/>
        <v>0.6205813080645135</v>
      </c>
      <c r="AH4238" s="2" t="str">
        <f ca="1"/>
        <v>Bad</v>
      </c>
    </row>
    <row r="4239" spans="2:34">
      <c r="B4239" s="2">
        <f ca="1"/>
        <v>0.42337189839169143</v>
      </c>
      <c r="O4239" s="2">
        <f ca="1"/>
        <v>1.7748252215149747</v>
      </c>
      <c r="X4239" s="2">
        <f ca="1"/>
        <v>51.671050448670854</v>
      </c>
      <c r="AG4239" s="2">
        <f ca="1"/>
        <v>0.93784014687927097</v>
      </c>
      <c r="AH4239" s="2" t="str">
        <f ca="1"/>
        <v>Bad</v>
      </c>
    </row>
    <row r="4240" spans="2:34">
      <c r="B4240" s="2">
        <f ca="1"/>
        <v>4.1101249718603849E-2</v>
      </c>
      <c r="O4240" s="2">
        <f ca="1"/>
        <v>1.9600514670267435</v>
      </c>
      <c r="X4240" s="2">
        <f ca="1"/>
        <v>99.26312898077812</v>
      </c>
      <c r="AG4240" s="2">
        <f ca="1"/>
        <v>0.7455968786393381</v>
      </c>
      <c r="AH4240" s="2" t="str">
        <f ca="1"/>
        <v>Bad</v>
      </c>
    </row>
    <row r="4241" spans="2:34">
      <c r="B4241" s="2">
        <f ca="1"/>
        <v>0.3363227374627844</v>
      </c>
      <c r="O4241" s="2">
        <f ca="1"/>
        <v>-0.29618806187487234</v>
      </c>
      <c r="X4241" s="2">
        <f ca="1"/>
        <v>44.440633257201981</v>
      </c>
      <c r="AG4241" s="2">
        <f ca="1"/>
        <v>0.67246458616729066</v>
      </c>
      <c r="AH4241" s="2" t="str">
        <f ca="1"/>
        <v>Bad</v>
      </c>
    </row>
    <row r="4242" spans="2:34">
      <c r="B4242" s="2">
        <f ca="1"/>
        <v>0.17705149919614249</v>
      </c>
      <c r="O4242" s="2">
        <f ca="1"/>
        <v>1.6383584846781001</v>
      </c>
      <c r="X4242" s="2">
        <f ca="1"/>
        <v>52.764766421831268</v>
      </c>
      <c r="AG4242" s="2">
        <f ca="1"/>
        <v>0.81827669795622016</v>
      </c>
      <c r="AH4242" s="2" t="str">
        <f ca="1"/>
        <v>Bad</v>
      </c>
    </row>
    <row r="4243" spans="2:34">
      <c r="B4243" s="2">
        <f ca="1"/>
        <v>0.96739510187043809</v>
      </c>
      <c r="O4243" s="2">
        <f ca="1"/>
        <v>-0.15612601599318957</v>
      </c>
      <c r="X4243" s="2">
        <f ca="1"/>
        <v>40.706866891084516</v>
      </c>
      <c r="AG4243" s="2">
        <f ca="1"/>
        <v>0.92881565346838579</v>
      </c>
      <c r="AH4243" s="2" t="str">
        <f ca="1"/>
        <v>Bad</v>
      </c>
    </row>
    <row r="4244" spans="2:34">
      <c r="B4244" s="2">
        <f ca="1"/>
        <v>0.12481437776473547</v>
      </c>
      <c r="O4244" s="2">
        <f ca="1"/>
        <v>0.38308981568890521</v>
      </c>
      <c r="X4244" s="2">
        <f ca="1"/>
        <v>49.623583810118191</v>
      </c>
      <c r="AG4244" s="2">
        <f ca="1"/>
        <v>0.89712307903485677</v>
      </c>
      <c r="AH4244" s="2" t="str">
        <f ca="1"/>
        <v>Bad</v>
      </c>
    </row>
    <row r="4245" spans="2:34">
      <c r="B4245" s="2">
        <f ca="1"/>
        <v>0.89578116251321305</v>
      </c>
      <c r="O4245" s="2">
        <f ca="1"/>
        <v>1.7008919995223195</v>
      </c>
      <c r="X4245" s="2">
        <f ca="1"/>
        <v>54.515099761132355</v>
      </c>
      <c r="AG4245" s="2">
        <f ca="1"/>
        <v>0.94251893695909716</v>
      </c>
      <c r="AH4245" s="2" t="str">
        <f ca="1"/>
        <v>Bad</v>
      </c>
    </row>
    <row r="4246" spans="2:34">
      <c r="B4246" s="2">
        <f ca="1"/>
        <v>0.20228963040945547</v>
      </c>
      <c r="O4246" s="2">
        <f ca="1"/>
        <v>0.5199985497488111</v>
      </c>
      <c r="X4246" s="2">
        <f ca="1"/>
        <v>51.194939412812175</v>
      </c>
      <c r="AG4246" s="2">
        <f ca="1"/>
        <v>0.66134335028630176</v>
      </c>
      <c r="AH4246" s="2" t="str">
        <f ca="1"/>
        <v>Bad</v>
      </c>
    </row>
    <row r="4247" spans="2:34">
      <c r="B4247" s="2">
        <f ca="1"/>
        <v>0.3503366246532964</v>
      </c>
      <c r="O4247" s="2">
        <f ca="1"/>
        <v>-1.7831469585279409</v>
      </c>
      <c r="X4247" s="2">
        <f ca="1"/>
        <v>54.993797271572717</v>
      </c>
      <c r="AG4247" s="2">
        <f ca="1"/>
        <v>0.38004839784736966</v>
      </c>
      <c r="AH4247" s="2" t="str">
        <f ca="1"/>
        <v>OK</v>
      </c>
    </row>
    <row r="4248" spans="2:34">
      <c r="B4248" s="2">
        <f ca="1"/>
        <v>8.9889043120187528E-2</v>
      </c>
      <c r="O4248" s="2">
        <f ca="1"/>
        <v>1.807178970288462</v>
      </c>
      <c r="X4248" s="2">
        <f ca="1"/>
        <v>60.1314632555776</v>
      </c>
      <c r="AG4248" s="2">
        <f ca="1"/>
        <v>0.17518658661930164</v>
      </c>
      <c r="AH4248" s="2" t="str">
        <f ca="1"/>
        <v>OK</v>
      </c>
    </row>
    <row r="4249" spans="2:34">
      <c r="B4249" s="2">
        <f ca="1"/>
        <v>0.47830070889503151</v>
      </c>
      <c r="O4249" s="2">
        <f ca="1"/>
        <v>-0.73538480112815607</v>
      </c>
      <c r="X4249" s="2">
        <f ca="1"/>
        <v>43.320222459882103</v>
      </c>
      <c r="AG4249" s="2">
        <f ca="1"/>
        <v>0.69516329952411193</v>
      </c>
      <c r="AH4249" s="2" t="str">
        <f ca="1"/>
        <v>Bad</v>
      </c>
    </row>
    <row r="4250" spans="2:34">
      <c r="B4250" s="2">
        <f ca="1"/>
        <v>0.83602496454275732</v>
      </c>
      <c r="O4250" s="2">
        <f ca="1"/>
        <v>0.21137516937891351</v>
      </c>
      <c r="X4250" s="2">
        <f ca="1"/>
        <v>71.331219437912978</v>
      </c>
      <c r="AG4250" s="2">
        <f ca="1"/>
        <v>0.6391825074941031</v>
      </c>
      <c r="AH4250" s="2" t="str">
        <f ca="1"/>
        <v>Bad</v>
      </c>
    </row>
    <row r="4251" spans="2:34">
      <c r="B4251" s="2">
        <f ca="1"/>
        <v>0.88287191363733086</v>
      </c>
      <c r="O4251" s="2">
        <f ca="1"/>
        <v>-1.6443601967562333</v>
      </c>
      <c r="X4251" s="2">
        <f ca="1"/>
        <v>31.1965468759659</v>
      </c>
      <c r="AG4251" s="2">
        <f ca="1"/>
        <v>0.23099390422919774</v>
      </c>
      <c r="AH4251" s="2" t="str">
        <f ca="1"/>
        <v>OK</v>
      </c>
    </row>
    <row r="4252" spans="2:34">
      <c r="B4252" s="2">
        <f ca="1"/>
        <v>0.65283316087554888</v>
      </c>
      <c r="O4252" s="2">
        <f ca="1"/>
        <v>5.124017552812301E-2</v>
      </c>
      <c r="X4252" s="2">
        <f ca="1"/>
        <v>60.811504765019997</v>
      </c>
      <c r="AG4252" s="2">
        <f ca="1"/>
        <v>0.4062851611211673</v>
      </c>
      <c r="AH4252" s="2" t="str">
        <f ca="1"/>
        <v>Bad</v>
      </c>
    </row>
    <row r="4253" spans="2:34">
      <c r="B4253" s="2">
        <f ca="1"/>
        <v>0.23565143220642204</v>
      </c>
      <c r="O4253" s="2">
        <f ca="1"/>
        <v>1.1454731480372362</v>
      </c>
      <c r="X4253" s="2">
        <f ca="1"/>
        <v>44.009926168159339</v>
      </c>
      <c r="AG4253" s="2">
        <f ca="1"/>
        <v>3.3910708476863283E-2</v>
      </c>
      <c r="AH4253" s="2" t="str">
        <f ca="1"/>
        <v>Good</v>
      </c>
    </row>
    <row r="4254" spans="2:34">
      <c r="B4254" s="2">
        <f ca="1"/>
        <v>0.74875754490719926</v>
      </c>
      <c r="O4254" s="2">
        <f ca="1"/>
        <v>-0.11148979794283213</v>
      </c>
      <c r="X4254" s="2">
        <f ca="1"/>
        <v>46.153035641050202</v>
      </c>
      <c r="AG4254" s="2">
        <f ca="1"/>
        <v>0.17765093640341756</v>
      </c>
      <c r="AH4254" s="2" t="str">
        <f ca="1"/>
        <v>OK</v>
      </c>
    </row>
    <row r="4255" spans="2:34">
      <c r="B4255" s="2">
        <f ca="1"/>
        <v>0.46836753164296452</v>
      </c>
      <c r="O4255" s="2">
        <f ca="1"/>
        <v>-1.4080116441908557E-2</v>
      </c>
      <c r="X4255" s="2">
        <f ca="1"/>
        <v>49.591566771357535</v>
      </c>
      <c r="AG4255" s="2">
        <f ca="1"/>
        <v>0.10223683642725545</v>
      </c>
      <c r="AH4255" s="2" t="str">
        <f ca="1"/>
        <v>OK</v>
      </c>
    </row>
    <row r="4256" spans="2:34">
      <c r="B4256" s="2">
        <f ca="1"/>
        <v>0.7847996234061434</v>
      </c>
      <c r="O4256" s="2">
        <f ca="1"/>
        <v>-1.5658617298723734</v>
      </c>
      <c r="X4256" s="2">
        <f ca="1"/>
        <v>34.730578158378421</v>
      </c>
      <c r="AG4256" s="2">
        <f ca="1"/>
        <v>6.1382413964850002E-3</v>
      </c>
      <c r="AH4256" s="2" t="str">
        <f ca="1"/>
        <v>Good</v>
      </c>
    </row>
    <row r="4257" spans="2:34">
      <c r="B4257" s="2">
        <f ca="1"/>
        <v>0.86653801539261388</v>
      </c>
      <c r="O4257" s="2">
        <f ca="1"/>
        <v>1.2177591263141645</v>
      </c>
      <c r="X4257" s="2">
        <f ca="1"/>
        <v>57.415980056839359</v>
      </c>
      <c r="AG4257" s="2">
        <f ca="1"/>
        <v>0.95819213754082577</v>
      </c>
      <c r="AH4257" s="2" t="str">
        <f ca="1"/>
        <v>Bad</v>
      </c>
    </row>
    <row r="4258" spans="2:34">
      <c r="B4258" s="2">
        <f ca="1"/>
        <v>0.6846181262118427</v>
      </c>
      <c r="O4258" s="2">
        <f ca="1"/>
        <v>4.1680392581769192E-2</v>
      </c>
      <c r="X4258" s="2">
        <f ca="1"/>
        <v>57.878106197721451</v>
      </c>
      <c r="AG4258" s="2">
        <f ca="1"/>
        <v>0.10910631861095288</v>
      </c>
      <c r="AH4258" s="2" t="str">
        <f ca="1"/>
        <v>OK</v>
      </c>
    </row>
    <row r="4259" spans="2:34">
      <c r="B4259" s="2">
        <f ca="1"/>
        <v>0.31809396966632786</v>
      </c>
      <c r="O4259" s="2">
        <f ca="1"/>
        <v>6.0857314368463276E-2</v>
      </c>
      <c r="X4259" s="2">
        <f ca="1"/>
        <v>66.673249563236382</v>
      </c>
      <c r="AG4259" s="2">
        <f ca="1"/>
        <v>0.8670267943473331</v>
      </c>
      <c r="AH4259" s="2" t="str">
        <f ca="1"/>
        <v>Bad</v>
      </c>
    </row>
    <row r="4260" spans="2:34">
      <c r="B4260" s="2">
        <f ca="1"/>
        <v>0.95525853677996064</v>
      </c>
      <c r="O4260" s="2">
        <f ca="1"/>
        <v>0.65520139273731692</v>
      </c>
      <c r="X4260" s="2">
        <f ca="1"/>
        <v>50.07471594385634</v>
      </c>
      <c r="AG4260" s="2">
        <f ca="1"/>
        <v>0.77276525537005281</v>
      </c>
      <c r="AH4260" s="2" t="str">
        <f ca="1"/>
        <v>Bad</v>
      </c>
    </row>
    <row r="4261" spans="2:34">
      <c r="B4261" s="2">
        <f ca="1"/>
        <v>0.21126596688970989</v>
      </c>
      <c r="O4261" s="2">
        <f ca="1"/>
        <v>0.83615974287395711</v>
      </c>
      <c r="X4261" s="2">
        <f ca="1"/>
        <v>33.450145920907545</v>
      </c>
      <c r="AG4261" s="2">
        <f ca="1"/>
        <v>0.26966494816594389</v>
      </c>
      <c r="AH4261" s="2" t="str">
        <f ca="1"/>
        <v>OK</v>
      </c>
    </row>
    <row r="4262" spans="2:34">
      <c r="B4262" s="2">
        <f ca="1"/>
        <v>0.20491507314355029</v>
      </c>
      <c r="O4262" s="2">
        <f ca="1"/>
        <v>0.25952345359702522</v>
      </c>
      <c r="X4262" s="2">
        <f ca="1"/>
        <v>64.635850484063354</v>
      </c>
      <c r="AG4262" s="2">
        <f ca="1"/>
        <v>0.36238183411675773</v>
      </c>
      <c r="AH4262" s="2" t="str">
        <f ca="1"/>
        <v>OK</v>
      </c>
    </row>
    <row r="4263" spans="2:34">
      <c r="B4263" s="2">
        <f ca="1"/>
        <v>0.24675540673611263</v>
      </c>
      <c r="O4263" s="2">
        <f ca="1"/>
        <v>-1.0796403856700387</v>
      </c>
      <c r="X4263" s="2">
        <f ca="1"/>
        <v>41.26641750471628</v>
      </c>
      <c r="AG4263" s="2">
        <f ca="1"/>
        <v>0.54980583038038788</v>
      </c>
      <c r="AH4263" s="2" t="str">
        <f ca="1"/>
        <v>Bad</v>
      </c>
    </row>
    <row r="4264" spans="2:34">
      <c r="B4264" s="2">
        <f ca="1"/>
        <v>0.96645681538934181</v>
      </c>
      <c r="O4264" s="2">
        <f ca="1"/>
        <v>0.81085219346927895</v>
      </c>
      <c r="X4264" s="2">
        <f ca="1"/>
        <v>51.993740074760233</v>
      </c>
      <c r="AG4264" s="2">
        <f ca="1"/>
        <v>0.5385917244803351</v>
      </c>
      <c r="AH4264" s="2" t="str">
        <f ca="1"/>
        <v>Bad</v>
      </c>
    </row>
    <row r="4265" spans="2:34">
      <c r="B4265" s="2">
        <f ca="1"/>
        <v>4.4519786529958694E-2</v>
      </c>
      <c r="O4265" s="2">
        <f ca="1"/>
        <v>-0.18843672210437482</v>
      </c>
      <c r="X4265" s="2">
        <f ca="1"/>
        <v>89.47917857908395</v>
      </c>
      <c r="AG4265" s="2">
        <f ca="1"/>
        <v>2.2520464720677369E-2</v>
      </c>
      <c r="AH4265" s="2" t="str">
        <f ca="1"/>
        <v>Good</v>
      </c>
    </row>
    <row r="4266" spans="2:34">
      <c r="B4266" s="2">
        <f ca="1"/>
        <v>0.96102980679252492</v>
      </c>
      <c r="O4266" s="2">
        <f ca="1"/>
        <v>-0.60751813798689336</v>
      </c>
      <c r="X4266" s="2">
        <f ca="1"/>
        <v>41.941025033872002</v>
      </c>
      <c r="AG4266" s="2">
        <f ca="1"/>
        <v>0.71142029293407871</v>
      </c>
      <c r="AH4266" s="2" t="str">
        <f ca="1"/>
        <v>Bad</v>
      </c>
    </row>
    <row r="4267" spans="2:34">
      <c r="B4267" s="2">
        <f ca="1"/>
        <v>0.34514975539671733</v>
      </c>
      <c r="O4267" s="2">
        <f ca="1"/>
        <v>0.32713012198963531</v>
      </c>
      <c r="X4267" s="2">
        <f ca="1"/>
        <v>43.845001717785017</v>
      </c>
      <c r="AG4267" s="2">
        <f ca="1"/>
        <v>0.61589187769921461</v>
      </c>
      <c r="AH4267" s="2" t="str">
        <f ca="1"/>
        <v>Bad</v>
      </c>
    </row>
    <row r="4268" spans="2:34">
      <c r="B4268" s="2">
        <f ca="1"/>
        <v>0.26009441149824664</v>
      </c>
      <c r="O4268" s="2">
        <f ca="1"/>
        <v>0.22642602168846593</v>
      </c>
      <c r="X4268" s="2">
        <f ca="1"/>
        <v>57.930911936093175</v>
      </c>
      <c r="AG4268" s="2">
        <f ca="1"/>
        <v>9.3651953769355867E-2</v>
      </c>
      <c r="AH4268" s="2" t="str">
        <f ca="1"/>
        <v>OK</v>
      </c>
    </row>
    <row r="4269" spans="2:34">
      <c r="B4269" s="2">
        <f ca="1"/>
        <v>0.99070939683794679</v>
      </c>
      <c r="O4269" s="2">
        <f ca="1"/>
        <v>2.3178314855208309E-2</v>
      </c>
      <c r="X4269" s="2">
        <f ca="1"/>
        <v>33.548926764368304</v>
      </c>
      <c r="AG4269" s="2">
        <f ca="1"/>
        <v>0.17289618068873858</v>
      </c>
      <c r="AH4269" s="2" t="str">
        <f ca="1"/>
        <v>OK</v>
      </c>
    </row>
    <row r="4270" spans="2:34">
      <c r="B4270" s="2">
        <f ca="1"/>
        <v>0.12528417192999175</v>
      </c>
      <c r="O4270" s="2">
        <f ca="1"/>
        <v>-0.58567981354280119</v>
      </c>
      <c r="X4270" s="2">
        <f ca="1"/>
        <v>37.334221647369226</v>
      </c>
      <c r="AG4270" s="2">
        <f ca="1"/>
        <v>0.67992845271984925</v>
      </c>
      <c r="AH4270" s="2" t="str">
        <f ca="1"/>
        <v>Bad</v>
      </c>
    </row>
    <row r="4271" spans="2:34">
      <c r="B4271" s="2">
        <f ca="1"/>
        <v>0.47914302741193038</v>
      </c>
      <c r="O4271" s="2">
        <f ca="1"/>
        <v>0.31058420157189626</v>
      </c>
      <c r="X4271" s="2">
        <f ca="1"/>
        <v>73.099193286917355</v>
      </c>
      <c r="AG4271" s="2">
        <f ca="1"/>
        <v>0.752539261661338</v>
      </c>
      <c r="AH4271" s="2" t="str">
        <f ca="1"/>
        <v>Bad</v>
      </c>
    </row>
    <row r="4272" spans="2:34">
      <c r="B4272" s="2">
        <f ca="1"/>
        <v>0.54473661713132349</v>
      </c>
      <c r="O4272" s="2">
        <f ca="1"/>
        <v>3.6073156173449868E-2</v>
      </c>
      <c r="X4272" s="2">
        <f ca="1"/>
        <v>34.96619536264425</v>
      </c>
      <c r="AG4272" s="2">
        <f ca="1"/>
        <v>0.57037886940864357</v>
      </c>
      <c r="AH4272" s="2" t="str">
        <f ca="1"/>
        <v>Bad</v>
      </c>
    </row>
    <row r="4273" spans="2:34">
      <c r="B4273" s="2">
        <f ca="1"/>
        <v>0.96038121252995778</v>
      </c>
      <c r="O4273" s="2">
        <f ca="1"/>
        <v>0.77391202598539266</v>
      </c>
      <c r="X4273" s="2">
        <f ca="1"/>
        <v>44.390147829775117</v>
      </c>
      <c r="AG4273" s="2">
        <f ca="1"/>
        <v>0.80225909664331141</v>
      </c>
      <c r="AH4273" s="2" t="str">
        <f ca="1"/>
        <v>Bad</v>
      </c>
    </row>
    <row r="4274" spans="2:34">
      <c r="B4274" s="2">
        <f ca="1"/>
        <v>0.36049247216532643</v>
      </c>
      <c r="O4274" s="2">
        <f ca="1"/>
        <v>-0.83420836898398831</v>
      </c>
      <c r="X4274" s="2">
        <f ca="1"/>
        <v>54.919177901910466</v>
      </c>
      <c r="AG4274" s="2">
        <f ca="1"/>
        <v>0.95520253513647968</v>
      </c>
      <c r="AH4274" s="2" t="str">
        <f ca="1"/>
        <v>Bad</v>
      </c>
    </row>
    <row r="4275" spans="2:34">
      <c r="B4275" s="2">
        <f ca="1"/>
        <v>0.92972531240330891</v>
      </c>
      <c r="O4275" s="2">
        <f ca="1"/>
        <v>0.1290836322564034</v>
      </c>
      <c r="X4275" s="2">
        <f ca="1"/>
        <v>90.012394555374641</v>
      </c>
      <c r="AG4275" s="2">
        <f ca="1"/>
        <v>0.29292427852458069</v>
      </c>
      <c r="AH4275" s="2" t="str">
        <f ca="1"/>
        <v>OK</v>
      </c>
    </row>
    <row r="4276" spans="2:34">
      <c r="B4276" s="2">
        <f ca="1"/>
        <v>0.48080000734783712</v>
      </c>
      <c r="O4276" s="2">
        <f ca="1"/>
        <v>-1.2089370682605529</v>
      </c>
      <c r="X4276" s="2">
        <f ca="1"/>
        <v>59.224687618429776</v>
      </c>
      <c r="AG4276" s="2">
        <f ca="1"/>
        <v>0.94539426105640567</v>
      </c>
      <c r="AH4276" s="2" t="str">
        <f ca="1"/>
        <v>Bad</v>
      </c>
    </row>
    <row r="4277" spans="2:34">
      <c r="B4277" s="2">
        <f ca="1"/>
        <v>0.76050433258744321</v>
      </c>
      <c r="O4277" s="2">
        <f ca="1"/>
        <v>-1.0910809020542362</v>
      </c>
      <c r="X4277" s="2">
        <f ca="1"/>
        <v>25.307117551325788</v>
      </c>
      <c r="AG4277" s="2">
        <f ca="1"/>
        <v>4.1195514278463463E-2</v>
      </c>
      <c r="AH4277" s="2" t="str">
        <f ca="1"/>
        <v>Good</v>
      </c>
    </row>
    <row r="4278" spans="2:34">
      <c r="B4278" s="2">
        <f ca="1"/>
        <v>0.76664620740690625</v>
      </c>
      <c r="O4278" s="2">
        <f ca="1"/>
        <v>0.98700667171683854</v>
      </c>
      <c r="X4278" s="2">
        <f ca="1"/>
        <v>48.030525383476814</v>
      </c>
      <c r="AG4278" s="2">
        <f ca="1"/>
        <v>0.66036023246518272</v>
      </c>
      <c r="AH4278" s="2" t="str">
        <f ca="1"/>
        <v>Bad</v>
      </c>
    </row>
    <row r="4279" spans="2:34">
      <c r="B4279" s="2">
        <f ca="1"/>
        <v>0.9056552742110584</v>
      </c>
      <c r="O4279" s="2">
        <f ca="1"/>
        <v>0.23921306279513191</v>
      </c>
      <c r="X4279" s="2">
        <f ca="1"/>
        <v>51.602808965686108</v>
      </c>
      <c r="AG4279" s="2">
        <f ca="1"/>
        <v>0.37533547851814975</v>
      </c>
      <c r="AH4279" s="2" t="str">
        <f ca="1"/>
        <v>OK</v>
      </c>
    </row>
    <row r="4280" spans="2:34">
      <c r="B4280" s="2">
        <f ca="1"/>
        <v>0.12808891167298131</v>
      </c>
      <c r="O4280" s="2">
        <f ca="1"/>
        <v>1.1322081992029698</v>
      </c>
      <c r="X4280" s="2">
        <f ca="1"/>
        <v>48.566039841066974</v>
      </c>
      <c r="AG4280" s="2">
        <f ca="1"/>
        <v>0.39351503702554647</v>
      </c>
      <c r="AH4280" s="2" t="str">
        <f ca="1"/>
        <v>OK</v>
      </c>
    </row>
    <row r="4281" spans="2:34">
      <c r="B4281" s="2">
        <f ca="1"/>
        <v>0.24106353670587199</v>
      </c>
      <c r="O4281" s="2">
        <f ca="1"/>
        <v>0.94914031301753055</v>
      </c>
      <c r="X4281" s="2">
        <f ca="1"/>
        <v>66.063472356547948</v>
      </c>
      <c r="AG4281" s="2">
        <f ca="1"/>
        <v>3.585974825066196E-2</v>
      </c>
      <c r="AH4281" s="2" t="str">
        <f ca="1"/>
        <v>Good</v>
      </c>
    </row>
    <row r="4282" spans="2:34">
      <c r="B4282" s="2">
        <f ca="1"/>
        <v>0.50139208338300767</v>
      </c>
      <c r="O4282" s="2">
        <f ca="1"/>
        <v>-1.0985614535198585</v>
      </c>
      <c r="X4282" s="2">
        <f ca="1"/>
        <v>42.590527927239854</v>
      </c>
      <c r="AG4282" s="2">
        <f ca="1"/>
        <v>0.6654832580183685</v>
      </c>
      <c r="AH4282" s="2" t="str">
        <f ca="1"/>
        <v>Bad</v>
      </c>
    </row>
    <row r="4283" spans="2:34">
      <c r="B4283" s="2">
        <f ca="1"/>
        <v>0.41271604679847917</v>
      </c>
      <c r="O4283" s="2">
        <f ca="1"/>
        <v>-0.65652850724065281</v>
      </c>
      <c r="X4283" s="2">
        <f ca="1"/>
        <v>69.18291076771014</v>
      </c>
      <c r="AG4283" s="2">
        <f ca="1"/>
        <v>0.8521433313133846</v>
      </c>
      <c r="AH4283" s="2" t="str">
        <f ca="1"/>
        <v>Bad</v>
      </c>
    </row>
    <row r="4284" spans="2:34">
      <c r="B4284" s="2">
        <f ca="1"/>
        <v>0.60589574008021874</v>
      </c>
      <c r="O4284" s="2">
        <f ca="1"/>
        <v>-1.1534503045726394</v>
      </c>
      <c r="X4284" s="2">
        <f ca="1"/>
        <v>47.366673867804693</v>
      </c>
      <c r="AG4284" s="2">
        <f ca="1"/>
        <v>0.84828660944870893</v>
      </c>
      <c r="AH4284" s="2" t="str">
        <f ca="1"/>
        <v>Bad</v>
      </c>
    </row>
    <row r="4285" spans="2:34">
      <c r="B4285" s="2">
        <f ca="1"/>
        <v>0.36971279877176766</v>
      </c>
      <c r="O4285" s="2">
        <f ca="1"/>
        <v>-0.65761128568505478</v>
      </c>
      <c r="X4285" s="2">
        <f ca="1"/>
        <v>42.623534501747578</v>
      </c>
      <c r="AG4285" s="2">
        <f ca="1"/>
        <v>0.91564023808447126</v>
      </c>
      <c r="AH4285" s="2" t="str">
        <f ca="1"/>
        <v>Bad</v>
      </c>
    </row>
    <row r="4286" spans="2:34">
      <c r="B4286" s="2">
        <f ca="1"/>
        <v>0.16744973938312269</v>
      </c>
      <c r="O4286" s="2">
        <f ca="1"/>
        <v>-0.19812898362101181</v>
      </c>
      <c r="X4286" s="2">
        <f ca="1"/>
        <v>89.154600049006035</v>
      </c>
      <c r="AG4286" s="2">
        <f ca="1"/>
        <v>0.28899039101544011</v>
      </c>
      <c r="AH4286" s="2" t="str">
        <f ca="1"/>
        <v>OK</v>
      </c>
    </row>
    <row r="4287" spans="2:34">
      <c r="B4287" s="2">
        <f ca="1"/>
        <v>0.89104283580985699</v>
      </c>
      <c r="O4287" s="2">
        <f ca="1"/>
        <v>0.74694272768720216</v>
      </c>
      <c r="X4287" s="2">
        <f ca="1"/>
        <v>44.913203134193623</v>
      </c>
      <c r="AG4287" s="2">
        <f ca="1"/>
        <v>0.45352473719887021</v>
      </c>
      <c r="AH4287" s="2" t="str">
        <f ca="1"/>
        <v>Bad</v>
      </c>
    </row>
    <row r="4288" spans="2:34">
      <c r="B4288" s="2">
        <f ca="1"/>
        <v>0.14015553263973346</v>
      </c>
      <c r="O4288" s="2">
        <f ca="1"/>
        <v>-0.40021173113097053</v>
      </c>
      <c r="X4288" s="2">
        <f ca="1"/>
        <v>54.438012517968815</v>
      </c>
      <c r="AG4288" s="2">
        <f ca="1"/>
        <v>0.96771470083312017</v>
      </c>
      <c r="AH4288" s="2" t="str">
        <f ca="1"/>
        <v>Bad</v>
      </c>
    </row>
    <row r="4289" spans="2:34">
      <c r="B4289" s="2">
        <f ca="1"/>
        <v>0.42176769705256012</v>
      </c>
      <c r="O4289" s="2">
        <f ca="1"/>
        <v>0.38853999873447675</v>
      </c>
      <c r="X4289" s="2">
        <f ca="1"/>
        <v>72.014095979514281</v>
      </c>
      <c r="AG4289" s="2">
        <f ca="1"/>
        <v>0.30688286428444944</v>
      </c>
      <c r="AH4289" s="2" t="str">
        <f ca="1"/>
        <v>OK</v>
      </c>
    </row>
    <row r="4290" spans="2:34">
      <c r="B4290" s="2">
        <f ca="1"/>
        <v>0.97384733653897415</v>
      </c>
      <c r="O4290" s="2">
        <f ca="1"/>
        <v>-0.49215447608194202</v>
      </c>
      <c r="X4290" s="2">
        <f ca="1"/>
        <v>47.827853369058062</v>
      </c>
      <c r="AG4290" s="2">
        <f ca="1"/>
        <v>0.64897468554542104</v>
      </c>
      <c r="AH4290" s="2" t="str">
        <f ca="1"/>
        <v>Bad</v>
      </c>
    </row>
    <row r="4291" spans="2:34">
      <c r="B4291" s="2">
        <f ca="1"/>
        <v>0.53806455918336216</v>
      </c>
      <c r="O4291" s="2">
        <f ca="1"/>
        <v>-1.0506343085752794</v>
      </c>
      <c r="X4291" s="2">
        <f ca="1"/>
        <v>45.107491443476022</v>
      </c>
      <c r="AG4291" s="2">
        <f ca="1"/>
        <v>0.96286033974899876</v>
      </c>
      <c r="AH4291" s="2" t="str">
        <f ca="1"/>
        <v>Bad</v>
      </c>
    </row>
    <row r="4292" spans="2:34">
      <c r="B4292" s="2">
        <f ca="1"/>
        <v>0.84373611326181419</v>
      </c>
      <c r="O4292" s="2">
        <f ca="1"/>
        <v>0.91500112007475498</v>
      </c>
      <c r="X4292" s="2">
        <f ca="1"/>
        <v>68.309893980223521</v>
      </c>
      <c r="AG4292" s="2">
        <f ca="1"/>
        <v>3.8980385708249132E-2</v>
      </c>
      <c r="AH4292" s="2" t="str">
        <f ca="1"/>
        <v>Good</v>
      </c>
    </row>
    <row r="4293" spans="2:34">
      <c r="B4293" s="2">
        <f ca="1"/>
        <v>0.36119804554855994</v>
      </c>
      <c r="O4293" s="2">
        <f ca="1"/>
        <v>0.57645282467847481</v>
      </c>
      <c r="X4293" s="2">
        <f ca="1"/>
        <v>59.858952909111657</v>
      </c>
      <c r="AG4293" s="2">
        <f ca="1"/>
        <v>9.2670693577221463E-2</v>
      </c>
      <c r="AH4293" s="2" t="str">
        <f ca="1"/>
        <v>OK</v>
      </c>
    </row>
    <row r="4294" spans="2:34">
      <c r="B4294" s="2">
        <f ca="1"/>
        <v>0.45996132358263386</v>
      </c>
      <c r="O4294" s="2">
        <f ca="1"/>
        <v>-0.26720420772655235</v>
      </c>
      <c r="X4294" s="2">
        <f ca="1"/>
        <v>68.590809863687127</v>
      </c>
      <c r="AG4294" s="2">
        <f ca="1"/>
        <v>0.57472406480515881</v>
      </c>
      <c r="AH4294" s="2" t="str">
        <f ca="1"/>
        <v>Bad</v>
      </c>
    </row>
    <row r="4295" spans="2:34">
      <c r="B4295" s="2">
        <f ca="1"/>
        <v>3.9072405333759885E-2</v>
      </c>
      <c r="O4295" s="2">
        <f ca="1"/>
        <v>0.99545156913768973</v>
      </c>
      <c r="X4295" s="2">
        <f ca="1"/>
        <v>49.461320618771019</v>
      </c>
      <c r="AG4295" s="2">
        <f ca="1"/>
        <v>0.59141854337869537</v>
      </c>
      <c r="AH4295" s="2" t="str">
        <f ca="1"/>
        <v>Bad</v>
      </c>
    </row>
    <row r="4296" spans="2:34">
      <c r="B4296" s="2">
        <f ca="1"/>
        <v>0.24272856738386905</v>
      </c>
      <c r="O4296" s="2">
        <f ca="1"/>
        <v>-0.79057502399553092</v>
      </c>
      <c r="X4296" s="2">
        <f ca="1"/>
        <v>73.612533615834209</v>
      </c>
      <c r="AG4296" s="2">
        <f ca="1"/>
        <v>0.11186333189984676</v>
      </c>
      <c r="AH4296" s="2" t="str">
        <f ca="1"/>
        <v>OK</v>
      </c>
    </row>
    <row r="4297" spans="2:34">
      <c r="B4297" s="2">
        <f ca="1"/>
        <v>0.18119475850178945</v>
      </c>
      <c r="O4297" s="2">
        <f ca="1"/>
        <v>8.8752642708381721E-2</v>
      </c>
      <c r="X4297" s="2">
        <f ca="1"/>
        <v>37.355629910505364</v>
      </c>
      <c r="AG4297" s="2">
        <f ca="1"/>
        <v>0.86926171637088756</v>
      </c>
      <c r="AH4297" s="2" t="str">
        <f ca="1"/>
        <v>Bad</v>
      </c>
    </row>
    <row r="4298" spans="2:34">
      <c r="B4298" s="2">
        <f ca="1"/>
        <v>3.4787625140572986E-2</v>
      </c>
      <c r="O4298" s="2">
        <f ca="1"/>
        <v>-0.39272486751873875</v>
      </c>
      <c r="X4298" s="2">
        <f ca="1"/>
        <v>84.794833517701193</v>
      </c>
      <c r="AG4298" s="2">
        <f ca="1"/>
        <v>0.99484353299296524</v>
      </c>
      <c r="AH4298" s="2" t="str">
        <f ca="1"/>
        <v>Bad</v>
      </c>
    </row>
    <row r="4299" spans="2:34">
      <c r="B4299" s="2">
        <f ca="1"/>
        <v>0.58580084872880267</v>
      </c>
      <c r="O4299" s="2">
        <f ca="1"/>
        <v>0.75556219821355841</v>
      </c>
      <c r="X4299" s="2">
        <f ca="1"/>
        <v>63.659231071509311</v>
      </c>
      <c r="AG4299" s="2">
        <f ca="1"/>
        <v>0.3225575120184121</v>
      </c>
      <c r="AH4299" s="2" t="str">
        <f ca="1"/>
        <v>OK</v>
      </c>
    </row>
    <row r="4300" spans="2:34">
      <c r="B4300" s="2">
        <f ca="1"/>
        <v>0.29539723830990727</v>
      </c>
      <c r="O4300" s="2">
        <f ca="1"/>
        <v>-0.71462965579579563</v>
      </c>
      <c r="X4300" s="2">
        <f ca="1"/>
        <v>61.416828923084587</v>
      </c>
      <c r="AG4300" s="2">
        <f ca="1"/>
        <v>0.93632279764313409</v>
      </c>
      <c r="AH4300" s="2" t="str">
        <f ca="1"/>
        <v>Bad</v>
      </c>
    </row>
    <row r="4301" spans="2:34">
      <c r="B4301" s="2">
        <f ca="1"/>
        <v>0.33924402194978298</v>
      </c>
      <c r="O4301" s="2">
        <f ca="1"/>
        <v>-1.0423432984321295</v>
      </c>
      <c r="X4301" s="2">
        <f ca="1"/>
        <v>36.065173045642247</v>
      </c>
      <c r="AG4301" s="2">
        <f ca="1"/>
        <v>0.17080856028000513</v>
      </c>
      <c r="AH4301" s="2" t="str">
        <f ca="1"/>
        <v>OK</v>
      </c>
    </row>
    <row r="4302" spans="2:34">
      <c r="B4302" s="2">
        <f ca="1"/>
        <v>0.1346930122436063</v>
      </c>
      <c r="O4302" s="2">
        <f ca="1"/>
        <v>0.71970522830367167</v>
      </c>
      <c r="X4302" s="2">
        <f ca="1"/>
        <v>60.994087175188199</v>
      </c>
      <c r="AG4302" s="2">
        <f ca="1"/>
        <v>0.72019362143134269</v>
      </c>
      <c r="AH4302" s="2" t="str">
        <f ca="1"/>
        <v>Bad</v>
      </c>
    </row>
    <row r="4303" spans="2:34">
      <c r="B4303" s="2">
        <f ca="1"/>
        <v>0.44565912354183057</v>
      </c>
      <c r="O4303" s="2">
        <f ca="1"/>
        <v>-0.66854157090749156</v>
      </c>
      <c r="X4303" s="2">
        <f ca="1"/>
        <v>37.454995303879798</v>
      </c>
      <c r="AG4303" s="2">
        <f ca="1"/>
        <v>0.45059570849689812</v>
      </c>
      <c r="AH4303" s="2" t="str">
        <f ca="1"/>
        <v>Bad</v>
      </c>
    </row>
    <row r="4304" spans="2:34">
      <c r="B4304" s="2">
        <f ca="1"/>
        <v>0.23478213138219961</v>
      </c>
      <c r="O4304" s="2">
        <f ca="1"/>
        <v>-9.2843316879458182E-2</v>
      </c>
      <c r="X4304" s="2">
        <f ca="1"/>
        <v>38.810283645604699</v>
      </c>
      <c r="AG4304" s="2">
        <f ca="1"/>
        <v>1.3539745726352859E-2</v>
      </c>
      <c r="AH4304" s="2" t="str">
        <f ca="1"/>
        <v>Good</v>
      </c>
    </row>
    <row r="4305" spans="2:34">
      <c r="B4305" s="2">
        <f ca="1"/>
        <v>0.99369112140437799</v>
      </c>
      <c r="O4305" s="2">
        <f ca="1"/>
        <v>0.29117672536833167</v>
      </c>
      <c r="X4305" s="2">
        <f ca="1"/>
        <v>45.57958074538746</v>
      </c>
      <c r="AG4305" s="2">
        <f ca="1"/>
        <v>0.21173804254020978</v>
      </c>
      <c r="AH4305" s="2" t="str">
        <f ca="1"/>
        <v>OK</v>
      </c>
    </row>
    <row r="4306" spans="2:34">
      <c r="B4306" s="2">
        <f ca="1"/>
        <v>2.7702999537002171E-2</v>
      </c>
      <c r="O4306" s="2">
        <f ca="1"/>
        <v>-0.21901948984565081</v>
      </c>
      <c r="X4306" s="2">
        <f ca="1"/>
        <v>29.77146593468283</v>
      </c>
      <c r="AG4306" s="2">
        <f ca="1"/>
        <v>0.16099484724732216</v>
      </c>
      <c r="AH4306" s="2" t="str">
        <f ca="1"/>
        <v>OK</v>
      </c>
    </row>
    <row r="4307" spans="2:34">
      <c r="B4307" s="2">
        <f ca="1"/>
        <v>0.89555537081286607</v>
      </c>
      <c r="O4307" s="2">
        <f ca="1"/>
        <v>0.25405990796986982</v>
      </c>
      <c r="X4307" s="2">
        <f ca="1"/>
        <v>49.074892825405307</v>
      </c>
      <c r="AG4307" s="2">
        <f ca="1"/>
        <v>0.2566662401145634</v>
      </c>
      <c r="AH4307" s="2" t="str">
        <f ca="1"/>
        <v>OK</v>
      </c>
    </row>
    <row r="4308" spans="2:34">
      <c r="B4308" s="2">
        <f ca="1"/>
        <v>0.42585940746465556</v>
      </c>
      <c r="O4308" s="2">
        <f ca="1"/>
        <v>-7.4376777643795737E-3</v>
      </c>
      <c r="X4308" s="2">
        <f ca="1"/>
        <v>50.854173187806325</v>
      </c>
      <c r="AG4308" s="2">
        <f ca="1"/>
        <v>0.30060268842760052</v>
      </c>
      <c r="AH4308" s="2" t="str">
        <f ca="1"/>
        <v>OK</v>
      </c>
    </row>
    <row r="4309" spans="2:34">
      <c r="B4309" s="2">
        <f ca="1"/>
        <v>0.60770723283595118</v>
      </c>
      <c r="O4309" s="2">
        <f ca="1"/>
        <v>-1.2370519522515271</v>
      </c>
      <c r="X4309" s="2">
        <f ca="1"/>
        <v>74.584046305054187</v>
      </c>
      <c r="AG4309" s="2">
        <f ca="1"/>
        <v>0.53344788103533403</v>
      </c>
      <c r="AH4309" s="2" t="str">
        <f ca="1"/>
        <v>Bad</v>
      </c>
    </row>
    <row r="4310" spans="2:34">
      <c r="B4310" s="2">
        <f ca="1"/>
        <v>0.59733903642798314</v>
      </c>
      <c r="O4310" s="2">
        <f ca="1"/>
        <v>0.59614902100197764</v>
      </c>
      <c r="X4310" s="2">
        <f ca="1"/>
        <v>91.393492668047571</v>
      </c>
      <c r="AG4310" s="2">
        <f ca="1"/>
        <v>0.7333813517699741</v>
      </c>
      <c r="AH4310" s="2" t="str">
        <f ca="1"/>
        <v>Bad</v>
      </c>
    </row>
    <row r="4311" spans="2:34">
      <c r="B4311" s="2">
        <f ca="1"/>
        <v>0.74972828444011053</v>
      </c>
      <c r="O4311" s="2">
        <f ca="1"/>
        <v>0.24271475566716275</v>
      </c>
      <c r="X4311" s="2">
        <f ca="1"/>
        <v>67.868935984223569</v>
      </c>
      <c r="AG4311" s="2">
        <f ca="1"/>
        <v>0.77913606969059468</v>
      </c>
      <c r="AH4311" s="2" t="str">
        <f ca="1"/>
        <v>Bad</v>
      </c>
    </row>
    <row r="4312" spans="2:34">
      <c r="B4312" s="2">
        <f ca="1"/>
        <v>0.8748531017220218</v>
      </c>
      <c r="O4312" s="2">
        <f ca="1"/>
        <v>1.104915602418564</v>
      </c>
      <c r="X4312" s="2">
        <f ca="1"/>
        <v>45.582125780871493</v>
      </c>
      <c r="AG4312" s="2">
        <f ca="1"/>
        <v>0.33135202404019615</v>
      </c>
      <c r="AH4312" s="2" t="str">
        <f ca="1"/>
        <v>OK</v>
      </c>
    </row>
    <row r="4313" spans="2:34">
      <c r="B4313" s="2">
        <f ca="1"/>
        <v>0.41243923624671575</v>
      </c>
      <c r="O4313" s="2">
        <f ca="1"/>
        <v>1.9401295211531424</v>
      </c>
      <c r="X4313" s="2">
        <f ca="1"/>
        <v>33.36905090623862</v>
      </c>
      <c r="AG4313" s="2">
        <f ca="1"/>
        <v>0.42855704658134597</v>
      </c>
      <c r="AH4313" s="2" t="str">
        <f ca="1"/>
        <v>Bad</v>
      </c>
    </row>
    <row r="4314" spans="2:34">
      <c r="B4314" s="2">
        <f ca="1"/>
        <v>0.45943733647033147</v>
      </c>
      <c r="O4314" s="2">
        <f ca="1"/>
        <v>0.25318033011992064</v>
      </c>
      <c r="X4314" s="2">
        <f ca="1"/>
        <v>37.260260057762785</v>
      </c>
      <c r="AG4314" s="2">
        <f ca="1"/>
        <v>0.23660959742431231</v>
      </c>
      <c r="AH4314" s="2" t="str">
        <f ca="1"/>
        <v>OK</v>
      </c>
    </row>
    <row r="4315" spans="2:34">
      <c r="B4315" s="2">
        <f ca="1"/>
        <v>0.24147829984081248</v>
      </c>
      <c r="O4315" s="2">
        <f ca="1"/>
        <v>-0.14930618713659879</v>
      </c>
      <c r="X4315" s="2">
        <f ca="1"/>
        <v>27.682123371538804</v>
      </c>
      <c r="AG4315" s="2">
        <f ca="1"/>
        <v>0.18111385733854357</v>
      </c>
      <c r="AH4315" s="2" t="str">
        <f ca="1"/>
        <v>OK</v>
      </c>
    </row>
    <row r="4316" spans="2:34">
      <c r="B4316" s="2">
        <f ca="1"/>
        <v>0.17625207650781172</v>
      </c>
      <c r="O4316" s="2">
        <f ca="1"/>
        <v>3.7924318243820317E-2</v>
      </c>
      <c r="X4316" s="2">
        <f ca="1"/>
        <v>19.28589440721985</v>
      </c>
      <c r="AG4316" s="2">
        <f ca="1"/>
        <v>0.99277416391290751</v>
      </c>
      <c r="AH4316" s="2" t="str">
        <f ca="1"/>
        <v>Bad</v>
      </c>
    </row>
    <row r="4317" spans="2:34">
      <c r="B4317" s="2">
        <f ca="1"/>
        <v>0.46872855342451136</v>
      </c>
      <c r="O4317" s="2">
        <f ca="1"/>
        <v>-0.28519385440621287</v>
      </c>
      <c r="X4317" s="2">
        <f ca="1"/>
        <v>54.29990509471908</v>
      </c>
      <c r="AG4317" s="2">
        <f ca="1"/>
        <v>0.14281766472368829</v>
      </c>
      <c r="AH4317" s="2" t="str">
        <f ca="1"/>
        <v>OK</v>
      </c>
    </row>
    <row r="4318" spans="2:34">
      <c r="B4318" s="2">
        <f ca="1"/>
        <v>0.43339798800550877</v>
      </c>
      <c r="O4318" s="2">
        <f ca="1"/>
        <v>7.3728378142335571E-2</v>
      </c>
      <c r="X4318" s="2">
        <f ca="1"/>
        <v>61.433569882851693</v>
      </c>
      <c r="AG4318" s="2">
        <f ca="1"/>
        <v>9.1601250971891313E-2</v>
      </c>
      <c r="AH4318" s="2" t="str">
        <f ca="1"/>
        <v>OK</v>
      </c>
    </row>
    <row r="4319" spans="2:34">
      <c r="B4319" s="2">
        <f ca="1"/>
        <v>0.44236686060672592</v>
      </c>
      <c r="O4319" s="2">
        <f ca="1"/>
        <v>0.52498927552179264</v>
      </c>
      <c r="X4319" s="2">
        <f ca="1"/>
        <v>49.31806559303682</v>
      </c>
      <c r="AG4319" s="2">
        <f ca="1"/>
        <v>7.7825996509287565E-2</v>
      </c>
      <c r="AH4319" s="2" t="str">
        <f ca="1"/>
        <v>OK</v>
      </c>
    </row>
    <row r="4320" spans="2:34">
      <c r="B4320" s="2">
        <f ca="1"/>
        <v>0.69512280455564124</v>
      </c>
      <c r="O4320" s="2">
        <f ca="1"/>
        <v>2.3888638070456381</v>
      </c>
      <c r="X4320" s="2">
        <f ca="1"/>
        <v>36.50427595709867</v>
      </c>
      <c r="AG4320" s="2">
        <f ca="1"/>
        <v>0.23170432406765107</v>
      </c>
      <c r="AH4320" s="2" t="str">
        <f ca="1"/>
        <v>OK</v>
      </c>
    </row>
    <row r="4321" spans="2:34">
      <c r="B4321" s="2">
        <f ca="1"/>
        <v>0.28717928222900335</v>
      </c>
      <c r="O4321" s="2">
        <f ca="1"/>
        <v>-0.43265205341014285</v>
      </c>
      <c r="X4321" s="2">
        <f ca="1"/>
        <v>43.813029062988065</v>
      </c>
      <c r="AG4321" s="2">
        <f ca="1"/>
        <v>9.2883198601375394E-2</v>
      </c>
      <c r="AH4321" s="2" t="str">
        <f ca="1"/>
        <v>OK</v>
      </c>
    </row>
    <row r="4322" spans="2:34">
      <c r="B4322" s="2">
        <f ca="1"/>
        <v>0.59150432036217393</v>
      </c>
      <c r="O4322" s="2">
        <f ca="1"/>
        <v>1.0150953784792573</v>
      </c>
      <c r="X4322" s="2">
        <f ca="1"/>
        <v>61.79957590599308</v>
      </c>
      <c r="AG4322" s="2">
        <f ca="1"/>
        <v>0.73775958426685162</v>
      </c>
      <c r="AH4322" s="2" t="str">
        <f ca="1"/>
        <v>Bad</v>
      </c>
    </row>
    <row r="4323" spans="2:34">
      <c r="B4323" s="2">
        <f ca="1"/>
        <v>0.26864699272221415</v>
      </c>
      <c r="O4323" s="2">
        <f ca="1"/>
        <v>-0.64969399435050135</v>
      </c>
      <c r="X4323" s="2">
        <f ca="1"/>
        <v>42.907298813998914</v>
      </c>
      <c r="AG4323" s="2">
        <f ca="1"/>
        <v>0.3607547546448715</v>
      </c>
      <c r="AH4323" s="2" t="str">
        <f ca="1"/>
        <v>OK</v>
      </c>
    </row>
    <row r="4324" spans="2:34">
      <c r="B4324" s="2">
        <f ca="1"/>
        <v>0.38208479574180743</v>
      </c>
      <c r="O4324" s="2">
        <f ca="1"/>
        <v>0.72304837906113728</v>
      </c>
      <c r="X4324" s="2">
        <f ca="1"/>
        <v>35.938570576974328</v>
      </c>
      <c r="AG4324" s="2">
        <f ca="1"/>
        <v>0.7517021925358971</v>
      </c>
      <c r="AH4324" s="2" t="str">
        <f ca="1"/>
        <v>Bad</v>
      </c>
    </row>
    <row r="4325" spans="2:34">
      <c r="B4325" s="2">
        <f ca="1"/>
        <v>0.84293172139935213</v>
      </c>
      <c r="O4325" s="2">
        <f ca="1"/>
        <v>-0.73420965600991583</v>
      </c>
      <c r="X4325" s="2">
        <f ca="1"/>
        <v>59.244895169993164</v>
      </c>
      <c r="AG4325" s="2">
        <f ca="1"/>
        <v>0.63954420018605096</v>
      </c>
      <c r="AH4325" s="2" t="str">
        <f ca="1"/>
        <v>Bad</v>
      </c>
    </row>
    <row r="4326" spans="2:34">
      <c r="B4326" s="2">
        <f ca="1"/>
        <v>0.3978878964438699</v>
      </c>
      <c r="O4326" s="2">
        <f ca="1"/>
        <v>0.37480121038742287</v>
      </c>
      <c r="X4326" s="2">
        <f ca="1"/>
        <v>36.702551722722433</v>
      </c>
      <c r="AG4326" s="2">
        <f ca="1"/>
        <v>3.9436283032106001E-2</v>
      </c>
      <c r="AH4326" s="2" t="str">
        <f ca="1"/>
        <v>Good</v>
      </c>
    </row>
    <row r="4327" spans="2:34">
      <c r="B4327" s="2">
        <f ca="1"/>
        <v>0.74255715809076372</v>
      </c>
      <c r="O4327" s="2">
        <f ca="1"/>
        <v>-0.57033418327711893</v>
      </c>
      <c r="X4327" s="2">
        <f ca="1"/>
        <v>36.956601792532886</v>
      </c>
      <c r="AG4327" s="2">
        <f ca="1"/>
        <v>0.13765063831531865</v>
      </c>
      <c r="AH4327" s="2" t="str">
        <f ca="1"/>
        <v>OK</v>
      </c>
    </row>
    <row r="4328" spans="2:34">
      <c r="B4328" s="2">
        <f ca="1"/>
        <v>8.4619884921208977E-2</v>
      </c>
      <c r="O4328" s="2">
        <f ca="1"/>
        <v>-1.4582733058604183</v>
      </c>
      <c r="X4328" s="2">
        <f ca="1"/>
        <v>74.530163695698732</v>
      </c>
      <c r="AG4328" s="2">
        <f ca="1"/>
        <v>0.61944734447447103</v>
      </c>
      <c r="AH4328" s="2" t="str">
        <f ca="1"/>
        <v>Bad</v>
      </c>
    </row>
    <row r="4329" spans="2:34">
      <c r="B4329" s="2">
        <f ca="1"/>
        <v>0.69590365829040568</v>
      </c>
      <c r="O4329" s="2">
        <f ca="1"/>
        <v>-0.14839681155938639</v>
      </c>
      <c r="X4329" s="2">
        <f ca="1"/>
        <v>36.641401317742464</v>
      </c>
      <c r="AG4329" s="2">
        <f ca="1"/>
        <v>0.65175779163766001</v>
      </c>
      <c r="AH4329" s="2" t="str">
        <f ca="1"/>
        <v>Bad</v>
      </c>
    </row>
    <row r="4330" spans="2:34">
      <c r="B4330" s="2">
        <f ca="1"/>
        <v>0.29883318077052423</v>
      </c>
      <c r="O4330" s="2">
        <f ca="1"/>
        <v>1.7353075904108655E-2</v>
      </c>
      <c r="X4330" s="2">
        <f ca="1"/>
        <v>96.226228879895388</v>
      </c>
      <c r="AG4330" s="2">
        <f ca="1"/>
        <v>7.856994034268916E-2</v>
      </c>
      <c r="AH4330" s="2" t="str">
        <f ca="1"/>
        <v>OK</v>
      </c>
    </row>
    <row r="4331" spans="2:34">
      <c r="B4331" s="2">
        <f ca="1"/>
        <v>0.5018178898515615</v>
      </c>
      <c r="O4331" s="2">
        <f ca="1"/>
        <v>-1.1087047088197626</v>
      </c>
      <c r="X4331" s="2">
        <f ca="1"/>
        <v>49.727731525504439</v>
      </c>
      <c r="AG4331" s="2">
        <f ca="1"/>
        <v>0.33958575503438682</v>
      </c>
      <c r="AH4331" s="2" t="str">
        <f ca="1"/>
        <v>OK</v>
      </c>
    </row>
    <row r="4332" spans="2:34">
      <c r="B4332" s="2">
        <f ca="1"/>
        <v>5.2264393332897008E-3</v>
      </c>
      <c r="O4332" s="2">
        <f ca="1"/>
        <v>0.95581525263313549</v>
      </c>
      <c r="X4332" s="2">
        <f ca="1"/>
        <v>39.684852853007335</v>
      </c>
      <c r="AG4332" s="2">
        <f ca="1"/>
        <v>0.78507607018278991</v>
      </c>
      <c r="AH4332" s="2" t="str">
        <f ca="1"/>
        <v>Bad</v>
      </c>
    </row>
    <row r="4333" spans="2:34">
      <c r="B4333" s="2">
        <f ca="1"/>
        <v>0.934032502146245</v>
      </c>
      <c r="O4333" s="2">
        <f ca="1"/>
        <v>-2.3416297744778456</v>
      </c>
      <c r="X4333" s="2">
        <f ca="1"/>
        <v>78.773522148581094</v>
      </c>
      <c r="AG4333" s="2">
        <f ca="1"/>
        <v>0.43699382985700619</v>
      </c>
      <c r="AH4333" s="2" t="str">
        <f ca="1"/>
        <v>Bad</v>
      </c>
    </row>
    <row r="4334" spans="2:34">
      <c r="B4334" s="2">
        <f ca="1"/>
        <v>0.52146299526324746</v>
      </c>
      <c r="O4334" s="2">
        <f ca="1"/>
        <v>-2.1112822908276963</v>
      </c>
      <c r="X4334" s="2">
        <f ca="1"/>
        <v>39.743693864568741</v>
      </c>
      <c r="AG4334" s="2">
        <f ca="1"/>
        <v>0.29881878902097569</v>
      </c>
      <c r="AH4334" s="2" t="str">
        <f ca="1"/>
        <v>OK</v>
      </c>
    </row>
    <row r="4335" spans="2:34">
      <c r="B4335" s="2">
        <f ca="1"/>
        <v>0.98281481186133912</v>
      </c>
      <c r="O4335" s="2">
        <f ca="1"/>
        <v>0.6221544214148087</v>
      </c>
      <c r="X4335" s="2">
        <f ca="1"/>
        <v>68.671716709846962</v>
      </c>
      <c r="AG4335" s="2">
        <f ca="1"/>
        <v>0.27752580564045481</v>
      </c>
      <c r="AH4335" s="2" t="str">
        <f ca="1"/>
        <v>OK</v>
      </c>
    </row>
    <row r="4336" spans="2:34">
      <c r="B4336" s="2">
        <f ca="1"/>
        <v>0.12329317868517831</v>
      </c>
      <c r="O4336" s="2">
        <f ca="1"/>
        <v>1.1915246385793488</v>
      </c>
      <c r="X4336" s="2">
        <f ca="1"/>
        <v>43.716013431906546</v>
      </c>
      <c r="AG4336" s="2">
        <f ca="1"/>
        <v>0.56553545655036541</v>
      </c>
      <c r="AH4336" s="2" t="str">
        <f ca="1"/>
        <v>Bad</v>
      </c>
    </row>
    <row r="4337" spans="2:34">
      <c r="B4337" s="2">
        <f ca="1"/>
        <v>0.90858645657714732</v>
      </c>
      <c r="O4337" s="2">
        <f ca="1"/>
        <v>-0.74468820436364669</v>
      </c>
      <c r="X4337" s="2">
        <f ca="1"/>
        <v>59.775489880009538</v>
      </c>
      <c r="AG4337" s="2">
        <f ca="1"/>
        <v>0.58508882329182099</v>
      </c>
      <c r="AH4337" s="2" t="str">
        <f ca="1"/>
        <v>Bad</v>
      </c>
    </row>
    <row r="4338" spans="2:34">
      <c r="B4338" s="2">
        <f ca="1"/>
        <v>0.67847574899786744</v>
      </c>
      <c r="O4338" s="2">
        <f ca="1"/>
        <v>0.55527566133039141</v>
      </c>
      <c r="X4338" s="2">
        <f ca="1"/>
        <v>27.060621717951502</v>
      </c>
      <c r="AG4338" s="2">
        <f ca="1"/>
        <v>0.20711065012429608</v>
      </c>
      <c r="AH4338" s="2" t="str">
        <f ca="1"/>
        <v>OK</v>
      </c>
    </row>
    <row r="4339" spans="2:34">
      <c r="B4339" s="2">
        <f ca="1"/>
        <v>0.36706032487426321</v>
      </c>
      <c r="O4339" s="2">
        <f ca="1"/>
        <v>-1.2445342282466281</v>
      </c>
      <c r="X4339" s="2">
        <f ca="1"/>
        <v>42.090116734193252</v>
      </c>
      <c r="AG4339" s="2">
        <f ca="1"/>
        <v>0.99045386388182144</v>
      </c>
      <c r="AH4339" s="2" t="str">
        <f ca="1"/>
        <v>Bad</v>
      </c>
    </row>
    <row r="4340" spans="2:34">
      <c r="B4340" s="2">
        <f ca="1"/>
        <v>7.5006244065814798E-2</v>
      </c>
      <c r="O4340" s="2">
        <f ca="1"/>
        <v>2.2698607090811715</v>
      </c>
      <c r="X4340" s="2">
        <f ca="1"/>
        <v>52.518387579431369</v>
      </c>
      <c r="AG4340" s="2">
        <f ca="1"/>
        <v>0.88216496719164716</v>
      </c>
      <c r="AH4340" s="2" t="str">
        <f ca="1"/>
        <v>Bad</v>
      </c>
    </row>
    <row r="4341" spans="2:34">
      <c r="B4341" s="2">
        <f ca="1"/>
        <v>0.64036253445835212</v>
      </c>
      <c r="O4341" s="2">
        <f ca="1"/>
        <v>-1.3218670493949101</v>
      </c>
      <c r="X4341" s="2">
        <f ca="1"/>
        <v>28.16629438710499</v>
      </c>
      <c r="AG4341" s="2">
        <f ca="1"/>
        <v>0.2054506489037089</v>
      </c>
      <c r="AH4341" s="2" t="str">
        <f ca="1"/>
        <v>OK</v>
      </c>
    </row>
    <row r="4342" spans="2:34">
      <c r="B4342" s="2">
        <f ca="1"/>
        <v>0.93998030174991953</v>
      </c>
      <c r="O4342" s="2">
        <f ca="1"/>
        <v>0.32439359702482273</v>
      </c>
      <c r="X4342" s="2">
        <f ca="1"/>
        <v>41.164166308521722</v>
      </c>
      <c r="AG4342" s="2">
        <f ca="1"/>
        <v>0.57139348772381915</v>
      </c>
      <c r="AH4342" s="2" t="str">
        <f ca="1"/>
        <v>Bad</v>
      </c>
    </row>
    <row r="4343" spans="2:34">
      <c r="B4343" s="2">
        <f ca="1"/>
        <v>0.745858328208159</v>
      </c>
      <c r="O4343" s="2">
        <f ca="1"/>
        <v>1.260274121339068</v>
      </c>
      <c r="X4343" s="2">
        <f ca="1"/>
        <v>27.050269402964126</v>
      </c>
      <c r="AG4343" s="2">
        <f ca="1"/>
        <v>0.13231435625221688</v>
      </c>
      <c r="AH4343" s="2" t="str">
        <f ca="1"/>
        <v>OK</v>
      </c>
    </row>
    <row r="4344" spans="2:34">
      <c r="B4344" s="2">
        <f ca="1"/>
        <v>0.5357951589125638</v>
      </c>
      <c r="O4344" s="2">
        <f ca="1"/>
        <v>-0.94630533453652466</v>
      </c>
      <c r="X4344" s="2">
        <f ca="1"/>
        <v>59.302499221686546</v>
      </c>
      <c r="AG4344" s="2">
        <f ca="1"/>
        <v>0.37603125218845235</v>
      </c>
      <c r="AH4344" s="2" t="str">
        <f ca="1"/>
        <v>OK</v>
      </c>
    </row>
    <row r="4345" spans="2:34">
      <c r="B4345" s="2">
        <f ca="1"/>
        <v>0.72303886332593259</v>
      </c>
      <c r="O4345" s="2">
        <f ca="1"/>
        <v>0.32981422118742276</v>
      </c>
      <c r="X4345" s="2">
        <f ca="1"/>
        <v>82.679915890847994</v>
      </c>
      <c r="AG4345" s="2">
        <f ca="1"/>
        <v>0.14593233256388327</v>
      </c>
      <c r="AH4345" s="2" t="str">
        <f ca="1"/>
        <v>OK</v>
      </c>
    </row>
    <row r="4346" spans="2:34">
      <c r="B4346" s="2">
        <f ca="1"/>
        <v>0.34176722880949573</v>
      </c>
      <c r="O4346" s="2">
        <f ca="1"/>
        <v>-1.3630173836675963</v>
      </c>
      <c r="X4346" s="2">
        <f ca="1"/>
        <v>41.745834829027302</v>
      </c>
      <c r="AG4346" s="2">
        <f ca="1"/>
        <v>3.7483410485989355E-2</v>
      </c>
      <c r="AH4346" s="2" t="str">
        <f ca="1"/>
        <v>Good</v>
      </c>
    </row>
    <row r="4347" spans="2:34">
      <c r="B4347" s="2">
        <f ca="1"/>
        <v>0.61145482798053119</v>
      </c>
      <c r="O4347" s="2">
        <f ca="1"/>
        <v>-0.26974380175601209</v>
      </c>
      <c r="X4347" s="2">
        <f ca="1"/>
        <v>56.847163161894827</v>
      </c>
      <c r="AG4347" s="2">
        <f ca="1"/>
        <v>0.35022832763467782</v>
      </c>
      <c r="AH4347" s="2" t="str">
        <f ca="1"/>
        <v>OK</v>
      </c>
    </row>
    <row r="4348" spans="2:34">
      <c r="B4348" s="2">
        <f ca="1"/>
        <v>0.16080903680708958</v>
      </c>
      <c r="O4348" s="2">
        <f ca="1"/>
        <v>0.37310338391624359</v>
      </c>
      <c r="X4348" s="2">
        <f ca="1"/>
        <v>56.90400515454202</v>
      </c>
      <c r="AG4348" s="2">
        <f ca="1"/>
        <v>0.28107920789504792</v>
      </c>
      <c r="AH4348" s="2" t="str">
        <f ca="1"/>
        <v>OK</v>
      </c>
    </row>
    <row r="4349" spans="2:34">
      <c r="B4349" s="2">
        <f ca="1"/>
        <v>0.96255253903531268</v>
      </c>
      <c r="O4349" s="2">
        <f ca="1"/>
        <v>-0.14826900619002856</v>
      </c>
      <c r="X4349" s="2">
        <f ca="1"/>
        <v>26.061395522247992</v>
      </c>
      <c r="AG4349" s="2">
        <f ca="1"/>
        <v>0.78410002650672972</v>
      </c>
      <c r="AH4349" s="2" t="str">
        <f ca="1"/>
        <v>Bad</v>
      </c>
    </row>
    <row r="4350" spans="2:34">
      <c r="B4350" s="2">
        <f ca="1"/>
        <v>6.9415535244035098E-3</v>
      </c>
      <c r="O4350" s="2">
        <f ca="1"/>
        <v>9.7595345581508841E-2</v>
      </c>
      <c r="X4350" s="2">
        <f ca="1"/>
        <v>39.565118354504683</v>
      </c>
      <c r="AG4350" s="2">
        <f ca="1"/>
        <v>0.74623664224691311</v>
      </c>
      <c r="AH4350" s="2" t="str">
        <f ca="1"/>
        <v>Bad</v>
      </c>
    </row>
    <row r="4351" spans="2:34">
      <c r="B4351" s="2">
        <f ca="1"/>
        <v>0.47441760813701861</v>
      </c>
      <c r="O4351" s="2">
        <f ca="1"/>
        <v>-0.85977924482419177</v>
      </c>
      <c r="X4351" s="2">
        <f ca="1"/>
        <v>64.744686138961185</v>
      </c>
      <c r="AG4351" s="2">
        <f ca="1"/>
        <v>0.42557385788039404</v>
      </c>
      <c r="AH4351" s="2" t="str">
        <f ca="1"/>
        <v>Bad</v>
      </c>
    </row>
    <row r="4352" spans="2:34">
      <c r="B4352" s="2">
        <f ca="1"/>
        <v>0.41563687274085326</v>
      </c>
      <c r="O4352" s="2">
        <f ca="1"/>
        <v>0.39278011963528486</v>
      </c>
      <c r="X4352" s="2">
        <f ca="1"/>
        <v>50.999452624026546</v>
      </c>
      <c r="AG4352" s="2">
        <f ca="1"/>
        <v>0.44433792890634582</v>
      </c>
      <c r="AH4352" s="2" t="str">
        <f ca="1"/>
        <v>Bad</v>
      </c>
    </row>
    <row r="4353" spans="2:34">
      <c r="B4353" s="2">
        <f ca="1"/>
        <v>0.4289803304642783</v>
      </c>
      <c r="O4353" s="2">
        <f ca="1"/>
        <v>1.3171106189286541</v>
      </c>
      <c r="X4353" s="2">
        <f ca="1"/>
        <v>46.70894170554697</v>
      </c>
      <c r="AG4353" s="2">
        <f ca="1"/>
        <v>8.6824114777400263E-2</v>
      </c>
      <c r="AH4353" s="2" t="str">
        <f ca="1"/>
        <v>OK</v>
      </c>
    </row>
    <row r="4354" spans="2:34">
      <c r="B4354" s="2">
        <f ca="1"/>
        <v>0.32332507430159407</v>
      </c>
      <c r="O4354" s="2">
        <f ca="1"/>
        <v>0.6555515402795119</v>
      </c>
      <c r="X4354" s="2">
        <f ca="1"/>
        <v>70.241956859116925</v>
      </c>
      <c r="AG4354" s="2">
        <f ca="1"/>
        <v>0.21922587873366228</v>
      </c>
      <c r="AH4354" s="2" t="str">
        <f ca="1"/>
        <v>OK</v>
      </c>
    </row>
    <row r="4355" spans="2:34">
      <c r="B4355" s="2">
        <f ca="1"/>
        <v>0.60152692838876232</v>
      </c>
      <c r="O4355" s="2">
        <f ca="1"/>
        <v>1.1704733819054647</v>
      </c>
      <c r="X4355" s="2">
        <f ca="1"/>
        <v>35.180463066166503</v>
      </c>
      <c r="AG4355" s="2">
        <f ca="1"/>
        <v>0.84095611626740596</v>
      </c>
      <c r="AH4355" s="2" t="str">
        <f ca="1"/>
        <v>Bad</v>
      </c>
    </row>
    <row r="4356" spans="2:34">
      <c r="B4356" s="2">
        <f ca="1"/>
        <v>0.65144457609467121</v>
      </c>
      <c r="O4356" s="2">
        <f ca="1"/>
        <v>1.912274956351611</v>
      </c>
      <c r="X4356" s="2">
        <f ca="1"/>
        <v>46.894531792216299</v>
      </c>
      <c r="AG4356" s="2">
        <f ca="1"/>
        <v>3.0157693647657968E-2</v>
      </c>
      <c r="AH4356" s="2" t="str">
        <f ca="1"/>
        <v>Good</v>
      </c>
    </row>
    <row r="4357" spans="2:34">
      <c r="B4357" s="2">
        <f ca="1"/>
        <v>0.94715607706809801</v>
      </c>
      <c r="O4357" s="2">
        <f ca="1"/>
        <v>-1.0718866945941912</v>
      </c>
      <c r="X4357" s="2">
        <f ca="1"/>
        <v>52.283245933481751</v>
      </c>
      <c r="AG4357" s="2">
        <f ca="1"/>
        <v>0.56761923710236228</v>
      </c>
      <c r="AH4357" s="2" t="str">
        <f ca="1"/>
        <v>Bad</v>
      </c>
    </row>
    <row r="4358" spans="2:34">
      <c r="B4358" s="2">
        <f ca="1"/>
        <v>0.74780842495458399</v>
      </c>
      <c r="O4358" s="2">
        <f ca="1"/>
        <v>-0.26944392279170137</v>
      </c>
      <c r="X4358" s="2">
        <f ca="1"/>
        <v>48.177245157708413</v>
      </c>
      <c r="AG4358" s="2">
        <f ca="1"/>
        <v>0.28354934475264293</v>
      </c>
      <c r="AH4358" s="2" t="str">
        <f ca="1"/>
        <v>OK</v>
      </c>
    </row>
    <row r="4359" spans="2:34">
      <c r="B4359" s="2">
        <f ca="1"/>
        <v>0.56163244593431028</v>
      </c>
      <c r="O4359" s="2">
        <f ca="1"/>
        <v>0.59704740099506259</v>
      </c>
      <c r="X4359" s="2">
        <f ca="1"/>
        <v>28.492694928080319</v>
      </c>
      <c r="AG4359" s="2">
        <f ca="1"/>
        <v>0.14911871771535234</v>
      </c>
      <c r="AH4359" s="2" t="str">
        <f ca="1"/>
        <v>OK</v>
      </c>
    </row>
    <row r="4360" spans="2:34">
      <c r="B4360" s="2">
        <f ca="1"/>
        <v>0.45729058108786158</v>
      </c>
      <c r="O4360" s="2">
        <f ca="1"/>
        <v>0.58439799454187569</v>
      </c>
      <c r="X4360" s="2">
        <f ca="1"/>
        <v>55.852285311660395</v>
      </c>
      <c r="AG4360" s="2">
        <f ca="1"/>
        <v>0.1676353865761413</v>
      </c>
      <c r="AH4360" s="2" t="str">
        <f ca="1"/>
        <v>OK</v>
      </c>
    </row>
    <row r="4361" spans="2:34">
      <c r="B4361" s="2">
        <f ca="1"/>
        <v>0.54383181634759636</v>
      </c>
      <c r="O4361" s="2">
        <f ca="1"/>
        <v>0.18756710335558879</v>
      </c>
      <c r="X4361" s="2">
        <f ca="1"/>
        <v>55.324910540730357</v>
      </c>
      <c r="AG4361" s="2">
        <f ca="1"/>
        <v>8.3699500519999637E-2</v>
      </c>
      <c r="AH4361" s="2" t="str">
        <f ca="1"/>
        <v>OK</v>
      </c>
    </row>
    <row r="4362" spans="2:34">
      <c r="B4362" s="2">
        <f ca="1"/>
        <v>0.79688756363576174</v>
      </c>
      <c r="O4362" s="2">
        <f ca="1"/>
        <v>0.919024587351575</v>
      </c>
      <c r="X4362" s="2">
        <f ca="1"/>
        <v>30.934088241269656</v>
      </c>
      <c r="AG4362" s="2">
        <f ca="1"/>
        <v>0.44837730673235487</v>
      </c>
      <c r="AH4362" s="2" t="str">
        <f ca="1"/>
        <v>Bad</v>
      </c>
    </row>
    <row r="4363" spans="2:34">
      <c r="B4363" s="2">
        <f ca="1"/>
        <v>0.10583002804186226</v>
      </c>
      <c r="O4363" s="2">
        <f ca="1"/>
        <v>-0.44344824348757123</v>
      </c>
      <c r="X4363" s="2">
        <f ca="1"/>
        <v>31.156168122919183</v>
      </c>
      <c r="AG4363" s="2">
        <f ca="1"/>
        <v>0.74764443021531002</v>
      </c>
      <c r="AH4363" s="2" t="str">
        <f ca="1"/>
        <v>Bad</v>
      </c>
    </row>
    <row r="4364" spans="2:34">
      <c r="B4364" s="2">
        <f ca="1"/>
        <v>0.74066585625684267</v>
      </c>
      <c r="O4364" s="2">
        <f ca="1"/>
        <v>-1.3372350954366361</v>
      </c>
      <c r="X4364" s="2">
        <f ca="1"/>
        <v>32.077595115845703</v>
      </c>
      <c r="AG4364" s="2">
        <f ca="1"/>
        <v>0.83590066134403274</v>
      </c>
      <c r="AH4364" s="2" t="str">
        <f ca="1"/>
        <v>Bad</v>
      </c>
    </row>
    <row r="4365" spans="2:34">
      <c r="B4365" s="2">
        <f ca="1"/>
        <v>0.1059699230989537</v>
      </c>
      <c r="O4365" s="2">
        <f ca="1"/>
        <v>0.19088716506874467</v>
      </c>
      <c r="X4365" s="2">
        <f ca="1"/>
        <v>55.956563119352197</v>
      </c>
      <c r="AG4365" s="2">
        <f ca="1"/>
        <v>0.31696679898256774</v>
      </c>
      <c r="AH4365" s="2" t="str">
        <f ca="1"/>
        <v>OK</v>
      </c>
    </row>
    <row r="4366" spans="2:34">
      <c r="B4366" s="2">
        <f ca="1"/>
        <v>0.7264390881788092</v>
      </c>
      <c r="O4366" s="2">
        <f ca="1"/>
        <v>1.6881237786152787</v>
      </c>
      <c r="X4366" s="2">
        <f ca="1"/>
        <v>69.793328973282541</v>
      </c>
      <c r="AG4366" s="2">
        <f ca="1"/>
        <v>0.52337967937491503</v>
      </c>
      <c r="AH4366" s="2" t="str">
        <f ca="1"/>
        <v>Bad</v>
      </c>
    </row>
    <row r="4367" spans="2:34">
      <c r="B4367" s="2">
        <f ca="1"/>
        <v>0.65379418762568076</v>
      </c>
      <c r="O4367" s="2">
        <f ca="1"/>
        <v>-1.0695724054469118</v>
      </c>
      <c r="X4367" s="2">
        <f ca="1"/>
        <v>56.922948228567464</v>
      </c>
      <c r="AG4367" s="2">
        <f ca="1"/>
        <v>0.30277866722667834</v>
      </c>
      <c r="AH4367" s="2" t="str">
        <f ca="1"/>
        <v>OK</v>
      </c>
    </row>
    <row r="4368" spans="2:34">
      <c r="B4368" s="2">
        <f ca="1"/>
        <v>0.81101095776410959</v>
      </c>
      <c r="O4368" s="2">
        <f ca="1"/>
        <v>1.1042416862148541</v>
      </c>
      <c r="X4368" s="2">
        <f ca="1"/>
        <v>31.228634811768043</v>
      </c>
      <c r="AG4368" s="2">
        <f ca="1"/>
        <v>0.6496826172471073</v>
      </c>
      <c r="AH4368" s="2" t="str">
        <f ca="1"/>
        <v>Bad</v>
      </c>
    </row>
    <row r="4369" spans="2:34">
      <c r="B4369" s="2">
        <f ca="1"/>
        <v>0.50168892429058864</v>
      </c>
      <c r="O4369" s="2">
        <f ca="1"/>
        <v>0.82836559889268568</v>
      </c>
      <c r="X4369" s="2">
        <f ca="1"/>
        <v>49.174075028888289</v>
      </c>
      <c r="AG4369" s="2">
        <f ca="1"/>
        <v>0.30694717175895692</v>
      </c>
      <c r="AH4369" s="2" t="str">
        <f ca="1"/>
        <v>OK</v>
      </c>
    </row>
    <row r="4370" spans="2:34">
      <c r="B4370" s="2">
        <f ca="1"/>
        <v>0.58489412199142743</v>
      </c>
      <c r="O4370" s="2">
        <f ca="1"/>
        <v>-1.3020630605432282</v>
      </c>
      <c r="X4370" s="2">
        <f ca="1"/>
        <v>66.328347174055807</v>
      </c>
      <c r="AG4370" s="2">
        <f ca="1"/>
        <v>0.54517600234776875</v>
      </c>
      <c r="AH4370" s="2" t="str">
        <f ca="1"/>
        <v>Bad</v>
      </c>
    </row>
    <row r="4371" spans="2:34">
      <c r="B4371" s="2">
        <f ca="1"/>
        <v>9.5081771277873761E-2</v>
      </c>
      <c r="O4371" s="2">
        <f ca="1"/>
        <v>-1.3469265552307346</v>
      </c>
      <c r="X4371" s="2">
        <f ca="1"/>
        <v>53.565676298749175</v>
      </c>
      <c r="AG4371" s="2">
        <f ca="1"/>
        <v>0.14954404541313471</v>
      </c>
      <c r="AH4371" s="2" t="str">
        <f ca="1"/>
        <v>OK</v>
      </c>
    </row>
    <row r="4372" spans="2:34">
      <c r="B4372" s="2">
        <f ca="1"/>
        <v>0.52635404086050097</v>
      </c>
      <c r="O4372" s="2">
        <f ca="1"/>
        <v>0.21011054457768194</v>
      </c>
      <c r="X4372" s="2">
        <f ca="1"/>
        <v>29.888239501979541</v>
      </c>
      <c r="AG4372" s="2">
        <f ca="1"/>
        <v>0.19557394798866312</v>
      </c>
      <c r="AH4372" s="2" t="str">
        <f ca="1"/>
        <v>OK</v>
      </c>
    </row>
    <row r="4373" spans="2:34">
      <c r="B4373" s="2">
        <f ca="1"/>
        <v>0.1801573960299605</v>
      </c>
      <c r="O4373" s="2">
        <f ca="1"/>
        <v>0.31048727815379218</v>
      </c>
      <c r="X4373" s="2">
        <f ca="1"/>
        <v>22.774277393380672</v>
      </c>
      <c r="AG4373" s="2">
        <f ca="1"/>
        <v>0.90108486818231404</v>
      </c>
      <c r="AH4373" s="2" t="str">
        <f ca="1"/>
        <v>Bad</v>
      </c>
    </row>
    <row r="4374" spans="2:34">
      <c r="B4374" s="2">
        <f ca="1"/>
        <v>0.6278194615844932</v>
      </c>
      <c r="O4374" s="2">
        <f ca="1"/>
        <v>-0.86149394846930072</v>
      </c>
      <c r="X4374" s="2">
        <f ca="1"/>
        <v>46.682655932467554</v>
      </c>
      <c r="AG4374" s="2">
        <f ca="1"/>
        <v>0.85066035578129884</v>
      </c>
      <c r="AH4374" s="2" t="str">
        <f ca="1"/>
        <v>Bad</v>
      </c>
    </row>
    <row r="4375" spans="2:34">
      <c r="B4375" s="2">
        <f ca="1"/>
        <v>0.81693369611045008</v>
      </c>
      <c r="O4375" s="2">
        <f ca="1"/>
        <v>-0.64956257877103118</v>
      </c>
      <c r="X4375" s="2">
        <f ca="1"/>
        <v>26.736760446943624</v>
      </c>
      <c r="AG4375" s="2">
        <f ca="1"/>
        <v>0.79806120141329906</v>
      </c>
      <c r="AH4375" s="2" t="str">
        <f ca="1"/>
        <v>Bad</v>
      </c>
    </row>
    <row r="4376" spans="2:34">
      <c r="B4376" s="2">
        <f ca="1"/>
        <v>0.22277470834600854</v>
      </c>
      <c r="O4376" s="2">
        <f ca="1"/>
        <v>1.0312018238683562E-3</v>
      </c>
      <c r="X4376" s="2">
        <f ca="1"/>
        <v>38.128800788455621</v>
      </c>
      <c r="AG4376" s="2">
        <f ca="1"/>
        <v>0.10660047936351269</v>
      </c>
      <c r="AH4376" s="2" t="str">
        <f ca="1"/>
        <v>OK</v>
      </c>
    </row>
    <row r="4377" spans="2:34">
      <c r="B4377" s="2">
        <f ca="1"/>
        <v>0.75445941808853423</v>
      </c>
      <c r="O4377" s="2">
        <f ca="1"/>
        <v>0.57466128144047712</v>
      </c>
      <c r="X4377" s="2">
        <f ca="1"/>
        <v>49.901677212245474</v>
      </c>
      <c r="AG4377" s="2">
        <f ca="1"/>
        <v>0.34374677470008752</v>
      </c>
      <c r="AH4377" s="2" t="str">
        <f ca="1"/>
        <v>OK</v>
      </c>
    </row>
    <row r="4378" spans="2:34">
      <c r="B4378" s="2">
        <f ca="1"/>
        <v>0.50960926143951202</v>
      </c>
      <c r="O4378" s="2">
        <f ca="1"/>
        <v>0.22869158835884992</v>
      </c>
      <c r="X4378" s="2">
        <f ca="1"/>
        <v>66.985545642259467</v>
      </c>
      <c r="AG4378" s="2">
        <f ca="1"/>
        <v>0.91340667398450615</v>
      </c>
      <c r="AH4378" s="2" t="str">
        <f ca="1"/>
        <v>Bad</v>
      </c>
    </row>
    <row r="4379" spans="2:34">
      <c r="B4379" s="2">
        <f ca="1"/>
        <v>0.94371592325351861</v>
      </c>
      <c r="O4379" s="2">
        <f ca="1"/>
        <v>0.1192283997376761</v>
      </c>
      <c r="X4379" s="2">
        <f ca="1"/>
        <v>30.200875583098288</v>
      </c>
      <c r="AG4379" s="2">
        <f ca="1"/>
        <v>0.67053523980701213</v>
      </c>
      <c r="AH4379" s="2" t="str">
        <f ca="1"/>
        <v>Bad</v>
      </c>
    </row>
    <row r="4380" spans="2:34">
      <c r="B4380" s="2">
        <f ca="1"/>
        <v>0.42664539362504739</v>
      </c>
      <c r="O4380" s="2">
        <f ca="1"/>
        <v>1.635303448844734</v>
      </c>
      <c r="X4380" s="2">
        <f ca="1"/>
        <v>50.362017499141693</v>
      </c>
      <c r="AG4380" s="2">
        <f ca="1"/>
        <v>0.67648186460076909</v>
      </c>
      <c r="AH4380" s="2" t="str">
        <f ca="1"/>
        <v>Bad</v>
      </c>
    </row>
    <row r="4381" spans="2:34">
      <c r="B4381" s="2">
        <f ca="1"/>
        <v>0.20258108305015221</v>
      </c>
      <c r="O4381" s="2">
        <f ca="1"/>
        <v>1.2585351145556538</v>
      </c>
      <c r="X4381" s="2">
        <f ca="1"/>
        <v>59.897943780935144</v>
      </c>
      <c r="AG4381" s="2">
        <f ca="1"/>
        <v>0.44801342230829433</v>
      </c>
      <c r="AH4381" s="2" t="str">
        <f ca="1"/>
        <v>Bad</v>
      </c>
    </row>
    <row r="4382" spans="2:34">
      <c r="B4382" s="2">
        <f ca="1"/>
        <v>0.41642379002972474</v>
      </c>
      <c r="O4382" s="2">
        <f ca="1"/>
        <v>-0.98223550935357307</v>
      </c>
      <c r="X4382" s="2">
        <f ca="1"/>
        <v>68.819347985462812</v>
      </c>
      <c r="AG4382" s="2">
        <f ca="1"/>
        <v>0.83161092796714375</v>
      </c>
      <c r="AH4382" s="2" t="str">
        <f ca="1"/>
        <v>Bad</v>
      </c>
    </row>
    <row r="4383" spans="2:34">
      <c r="B4383" s="2">
        <f ca="1"/>
        <v>2.3186847129050836E-2</v>
      </c>
      <c r="O4383" s="2">
        <f ca="1"/>
        <v>-1.4696535253708447</v>
      </c>
      <c r="X4383" s="2">
        <f ca="1"/>
        <v>41.547006765134824</v>
      </c>
      <c r="AG4383" s="2">
        <f ca="1"/>
        <v>0.26564003267401914</v>
      </c>
      <c r="AH4383" s="2" t="str">
        <f ca="1"/>
        <v>OK</v>
      </c>
    </row>
    <row r="4384" spans="2:34">
      <c r="B4384" s="2">
        <f ca="1"/>
        <v>0.12976020067691185</v>
      </c>
      <c r="O4384" s="2">
        <f ca="1"/>
        <v>0.5705742485110965</v>
      </c>
      <c r="X4384" s="2">
        <f ca="1"/>
        <v>48.698406084346466</v>
      </c>
      <c r="AG4384" s="2">
        <f ca="1"/>
        <v>0.94881931948716614</v>
      </c>
      <c r="AH4384" s="2" t="str">
        <f ca="1"/>
        <v>Bad</v>
      </c>
    </row>
    <row r="4385" spans="2:34">
      <c r="B4385" s="2">
        <f ca="1"/>
        <v>0.53247918466964039</v>
      </c>
      <c r="O4385" s="2">
        <f ca="1"/>
        <v>-1.7459139903394509</v>
      </c>
      <c r="X4385" s="2">
        <f ca="1"/>
        <v>63.203620272296973</v>
      </c>
      <c r="AG4385" s="2">
        <f ca="1"/>
        <v>0.21048646470298205</v>
      </c>
      <c r="AH4385" s="2" t="str">
        <f ca="1"/>
        <v>OK</v>
      </c>
    </row>
    <row r="4386" spans="2:34">
      <c r="B4386" s="2">
        <f ca="1"/>
        <v>0.43761365128429253</v>
      </c>
      <c r="O4386" s="2">
        <f ca="1"/>
        <v>-3.4176895402447199E-2</v>
      </c>
      <c r="X4386" s="2">
        <f ca="1"/>
        <v>60.394217501166864</v>
      </c>
      <c r="AG4386" s="2">
        <f ca="1"/>
        <v>0.66984284983008702</v>
      </c>
      <c r="AH4386" s="2" t="str">
        <f ca="1"/>
        <v>Bad</v>
      </c>
    </row>
    <row r="4387" spans="2:34">
      <c r="B4387" s="2">
        <f ca="1"/>
        <v>0.71219849539110847</v>
      </c>
      <c r="O4387" s="2">
        <f ca="1"/>
        <v>-0.28807973601699893</v>
      </c>
      <c r="X4387" s="2">
        <f ca="1"/>
        <v>81.116454787208198</v>
      </c>
      <c r="AG4387" s="2">
        <f ca="1"/>
        <v>0.66945405019908155</v>
      </c>
      <c r="AH4387" s="2" t="str">
        <f ca="1"/>
        <v>Bad</v>
      </c>
    </row>
    <row r="4388" spans="2:34">
      <c r="B4388" s="2">
        <f ca="1"/>
        <v>0.43574498253568339</v>
      </c>
      <c r="O4388" s="2">
        <f ca="1"/>
        <v>0.79212927439529413</v>
      </c>
      <c r="X4388" s="2">
        <f ca="1"/>
        <v>31.794154525479538</v>
      </c>
      <c r="AG4388" s="2">
        <f ca="1"/>
        <v>0.62588113602557538</v>
      </c>
      <c r="AH4388" s="2" t="str">
        <f ca="1"/>
        <v>Bad</v>
      </c>
    </row>
    <row r="4389" spans="2:34">
      <c r="B4389" s="2">
        <f ca="1"/>
        <v>0.90868756648067439</v>
      </c>
      <c r="O4389" s="2">
        <f ca="1"/>
        <v>1.5677740808536857</v>
      </c>
      <c r="X4389" s="2">
        <f ca="1"/>
        <v>47.439857191329871</v>
      </c>
      <c r="AG4389" s="2">
        <f ca="1"/>
        <v>0.71069208457074118</v>
      </c>
      <c r="AH4389" s="2" t="str">
        <f ca="1"/>
        <v>Bad</v>
      </c>
    </row>
    <row r="4390" spans="2:34">
      <c r="B4390" s="2">
        <f ca="1"/>
        <v>0.94753512709838494</v>
      </c>
      <c r="O4390" s="2">
        <f ca="1"/>
        <v>-1.7777998438097848</v>
      </c>
      <c r="X4390" s="2">
        <f ca="1"/>
        <v>36.340677132103096</v>
      </c>
      <c r="AG4390" s="2">
        <f ca="1"/>
        <v>0.96789592630281218</v>
      </c>
      <c r="AH4390" s="2" t="str">
        <f ca="1"/>
        <v>Bad</v>
      </c>
    </row>
    <row r="4391" spans="2:34">
      <c r="B4391" s="2">
        <f ca="1"/>
        <v>4.3928000412478463E-2</v>
      </c>
      <c r="O4391" s="2">
        <f ca="1"/>
        <v>1.0732978892513714</v>
      </c>
      <c r="X4391" s="2">
        <f ca="1"/>
        <v>49.429670905488948</v>
      </c>
      <c r="AG4391" s="2">
        <f ca="1"/>
        <v>0.15910835407069612</v>
      </c>
      <c r="AH4391" s="2" t="str">
        <f ca="1"/>
        <v>OK</v>
      </c>
    </row>
    <row r="4392" spans="2:34">
      <c r="B4392" s="2">
        <f ca="1"/>
        <v>0.53433928053444202</v>
      </c>
      <c r="O4392" s="2">
        <f ca="1"/>
        <v>-0.13743001799298135</v>
      </c>
      <c r="X4392" s="2">
        <f ca="1"/>
        <v>50.731789886470644</v>
      </c>
      <c r="AG4392" s="2">
        <f ca="1"/>
        <v>0.71315881952046789</v>
      </c>
      <c r="AH4392" s="2" t="str">
        <f ca="1"/>
        <v>Bad</v>
      </c>
    </row>
    <row r="4393" spans="2:34">
      <c r="B4393" s="2">
        <f ca="1"/>
        <v>0.17800253465754623</v>
      </c>
      <c r="O4393" s="2">
        <f ca="1"/>
        <v>0.8157872000959473</v>
      </c>
      <c r="X4393" s="2">
        <f ca="1"/>
        <v>66.085195839837723</v>
      </c>
      <c r="AG4393" s="2">
        <f ca="1"/>
        <v>0.13026383266809072</v>
      </c>
      <c r="AH4393" s="2" t="str">
        <f ca="1"/>
        <v>OK</v>
      </c>
    </row>
    <row r="4394" spans="2:34">
      <c r="B4394" s="2">
        <f ca="1"/>
        <v>0.53613590703316838</v>
      </c>
      <c r="O4394" s="2">
        <f ca="1"/>
        <v>1.4063428849386936</v>
      </c>
      <c r="X4394" s="2">
        <f ca="1"/>
        <v>64.929093401118251</v>
      </c>
      <c r="AG4394" s="2">
        <f ca="1"/>
        <v>0.75721616994563368</v>
      </c>
      <c r="AH4394" s="2" t="str">
        <f ca="1"/>
        <v>Bad</v>
      </c>
    </row>
    <row r="4395" spans="2:34">
      <c r="B4395" s="2">
        <f ca="1"/>
        <v>0.35986237603294824</v>
      </c>
      <c r="O4395" s="2">
        <f ca="1"/>
        <v>0.72992928834017168</v>
      </c>
      <c r="X4395" s="2">
        <f ca="1"/>
        <v>43.34000721777376</v>
      </c>
      <c r="AG4395" s="2">
        <f ca="1"/>
        <v>0.72128153094538994</v>
      </c>
      <c r="AH4395" s="2" t="str">
        <f ca="1"/>
        <v>Bad</v>
      </c>
    </row>
    <row r="4396" spans="2:34">
      <c r="B4396" s="2">
        <f ca="1"/>
        <v>0.68271596657157385</v>
      </c>
      <c r="O4396" s="2">
        <f ca="1"/>
        <v>0.57855650780503831</v>
      </c>
      <c r="X4396" s="2">
        <f ca="1"/>
        <v>49.590917953635774</v>
      </c>
      <c r="AG4396" s="2">
        <f ca="1"/>
        <v>0.96931925993876011</v>
      </c>
      <c r="AH4396" s="2" t="str">
        <f ca="1"/>
        <v>Bad</v>
      </c>
    </row>
    <row r="4397" spans="2:34">
      <c r="B4397" s="2">
        <f ca="1"/>
        <v>0.75457877003607954</v>
      </c>
      <c r="O4397" s="2">
        <f ca="1"/>
        <v>0.43567500066221659</v>
      </c>
      <c r="X4397" s="2">
        <f ca="1"/>
        <v>46.347256425694006</v>
      </c>
      <c r="AG4397" s="2">
        <f ca="1"/>
        <v>0.54375004196818644</v>
      </c>
      <c r="AH4397" s="2" t="str">
        <f ca="1"/>
        <v>Bad</v>
      </c>
    </row>
    <row r="4398" spans="2:34">
      <c r="B4398" s="2">
        <f ca="1"/>
        <v>7.0534392950187152E-2</v>
      </c>
      <c r="O4398" s="2">
        <f ca="1"/>
        <v>-0.63265736525061878</v>
      </c>
      <c r="X4398" s="2">
        <f ca="1"/>
        <v>101.17938988238437</v>
      </c>
      <c r="AG4398" s="2">
        <f ca="1"/>
        <v>0.47379019980165804</v>
      </c>
      <c r="AH4398" s="2" t="str">
        <f ca="1"/>
        <v>Bad</v>
      </c>
    </row>
    <row r="4399" spans="2:34">
      <c r="B4399" s="2">
        <f ca="1"/>
        <v>0.66963274820408447</v>
      </c>
      <c r="O4399" s="2">
        <f ca="1"/>
        <v>0.66414367132921448</v>
      </c>
      <c r="X4399" s="2">
        <f ca="1"/>
        <v>30.920550257440397</v>
      </c>
      <c r="AG4399" s="2">
        <f ca="1"/>
        <v>0.11077076836875999</v>
      </c>
      <c r="AH4399" s="2" t="str">
        <f ca="1"/>
        <v>OK</v>
      </c>
    </row>
    <row r="4400" spans="2:34">
      <c r="B4400" s="2">
        <f ca="1"/>
        <v>0.43186964307913134</v>
      </c>
      <c r="O4400" s="2">
        <f ca="1"/>
        <v>-1.4276452928393248</v>
      </c>
      <c r="X4400" s="2">
        <f ca="1"/>
        <v>54.327867547861153</v>
      </c>
      <c r="AG4400" s="2">
        <f ca="1"/>
        <v>0.30960932168229927</v>
      </c>
      <c r="AH4400" s="2" t="str">
        <f ca="1"/>
        <v>OK</v>
      </c>
    </row>
    <row r="4401" spans="2:34">
      <c r="B4401" s="2">
        <f ca="1"/>
        <v>0.39752398222025187</v>
      </c>
      <c r="O4401" s="2">
        <f ca="1"/>
        <v>9.5218307023437601E-2</v>
      </c>
      <c r="X4401" s="2">
        <f ca="1"/>
        <v>38.432138738893052</v>
      </c>
      <c r="AG4401" s="2">
        <f ca="1"/>
        <v>0.48694116490825645</v>
      </c>
      <c r="AH4401" s="2" t="str">
        <f ca="1"/>
        <v>Bad</v>
      </c>
    </row>
    <row r="4402" spans="2:34">
      <c r="B4402" s="2">
        <f ca="1"/>
        <v>0.63562656351191293</v>
      </c>
      <c r="O4402" s="2">
        <f ca="1"/>
        <v>-0.20803919104760565</v>
      </c>
      <c r="X4402" s="2">
        <f ca="1"/>
        <v>77.262364001874658</v>
      </c>
      <c r="AG4402" s="2">
        <f ca="1"/>
        <v>0.16346194604559861</v>
      </c>
      <c r="AH4402" s="2" t="str">
        <f ca="1"/>
        <v>OK</v>
      </c>
    </row>
    <row r="4403" spans="2:34">
      <c r="B4403" s="2">
        <f ca="1"/>
        <v>0.35028017052326876</v>
      </c>
      <c r="O4403" s="2">
        <f ca="1"/>
        <v>0.804455790094048</v>
      </c>
      <c r="X4403" s="2">
        <f ca="1"/>
        <v>58.444689268446211</v>
      </c>
      <c r="AG4403" s="2">
        <f ca="1"/>
        <v>0.82318066902258624</v>
      </c>
      <c r="AH4403" s="2" t="str">
        <f ca="1"/>
        <v>Bad</v>
      </c>
    </row>
    <row r="4404" spans="2:34">
      <c r="B4404" s="2">
        <f ca="1"/>
        <v>0.17915943149181723</v>
      </c>
      <c r="O4404" s="2">
        <f ca="1"/>
        <v>0.71773140742687458</v>
      </c>
      <c r="X4404" s="2">
        <f ca="1"/>
        <v>48.72359543179055</v>
      </c>
      <c r="AG4404" s="2">
        <f ca="1"/>
        <v>0.41620684477129655</v>
      </c>
      <c r="AH4404" s="2" t="str">
        <f ca="1"/>
        <v>Bad</v>
      </c>
    </row>
    <row r="4405" spans="2:34">
      <c r="B4405" s="2">
        <f ca="1"/>
        <v>0.71652958877016726</v>
      </c>
      <c r="O4405" s="2">
        <f ca="1"/>
        <v>0.21833617212796189</v>
      </c>
      <c r="X4405" s="2">
        <f ca="1"/>
        <v>48.317328426512276</v>
      </c>
      <c r="AG4405" s="2">
        <f ca="1"/>
        <v>0.47960957590634412</v>
      </c>
      <c r="AH4405" s="2" t="str">
        <f ca="1"/>
        <v>Bad</v>
      </c>
    </row>
    <row r="4406" spans="2:34">
      <c r="B4406" s="2">
        <f ca="1"/>
        <v>0.24458994965927516</v>
      </c>
      <c r="O4406" s="2">
        <f ca="1"/>
        <v>-2.4284020792121659</v>
      </c>
      <c r="X4406" s="2">
        <f ca="1"/>
        <v>60.930130538468099</v>
      </c>
      <c r="AG4406" s="2">
        <f ca="1"/>
        <v>0.3449090164199744</v>
      </c>
      <c r="AH4406" s="2" t="str">
        <f ca="1"/>
        <v>OK</v>
      </c>
    </row>
    <row r="4407" spans="2:34">
      <c r="B4407" s="2">
        <f ca="1"/>
        <v>0.56217063068554363</v>
      </c>
      <c r="O4407" s="2">
        <f ca="1"/>
        <v>-0.25328630372985461</v>
      </c>
      <c r="X4407" s="2">
        <f ca="1"/>
        <v>60.463154253466485</v>
      </c>
      <c r="AG4407" s="2">
        <f ca="1"/>
        <v>0.61689048977338468</v>
      </c>
      <c r="AH4407" s="2" t="str">
        <f ca="1"/>
        <v>Bad</v>
      </c>
    </row>
    <row r="4408" spans="2:34">
      <c r="B4408" s="2">
        <f ca="1"/>
        <v>0.95512558845332363</v>
      </c>
      <c r="O4408" s="2">
        <f ca="1"/>
        <v>0.91615203640183074</v>
      </c>
      <c r="X4408" s="2">
        <f ca="1"/>
        <v>41.340532754194975</v>
      </c>
      <c r="AG4408" s="2">
        <f ca="1"/>
        <v>0.32762324466451864</v>
      </c>
      <c r="AH4408" s="2" t="str">
        <f ca="1"/>
        <v>OK</v>
      </c>
    </row>
    <row r="4409" spans="2:34">
      <c r="B4409" s="2">
        <f ca="1"/>
        <v>0.3244766929152989</v>
      </c>
      <c r="O4409" s="2">
        <f ca="1"/>
        <v>-0.99116777169200831</v>
      </c>
      <c r="X4409" s="2">
        <f ca="1"/>
        <v>59.341468331484215</v>
      </c>
      <c r="AG4409" s="2">
        <f ca="1"/>
        <v>0.80651913016280163</v>
      </c>
      <c r="AH4409" s="2" t="str">
        <f ca="1"/>
        <v>Bad</v>
      </c>
    </row>
    <row r="4410" spans="2:34">
      <c r="B4410" s="2">
        <f ca="1"/>
        <v>0.39214101635270193</v>
      </c>
      <c r="O4410" s="2">
        <f ca="1"/>
        <v>1.6874528984868202</v>
      </c>
      <c r="X4410" s="2">
        <f ca="1"/>
        <v>38.454748715288076</v>
      </c>
      <c r="AG4410" s="2">
        <f ca="1"/>
        <v>0.53722484922276093</v>
      </c>
      <c r="AH4410" s="2" t="str">
        <f ca="1"/>
        <v>Bad</v>
      </c>
    </row>
    <row r="4411" spans="2:34">
      <c r="B4411" s="2">
        <f ca="1"/>
        <v>0.44198350740851189</v>
      </c>
      <c r="O4411" s="2">
        <f ca="1"/>
        <v>-0.81455113255883793</v>
      </c>
      <c r="X4411" s="2">
        <f ca="1"/>
        <v>58.148653143920754</v>
      </c>
      <c r="AG4411" s="2">
        <f ca="1"/>
        <v>0.54655460280304058</v>
      </c>
      <c r="AH4411" s="2" t="str">
        <f ca="1"/>
        <v>Bad</v>
      </c>
    </row>
    <row r="4412" spans="2:34">
      <c r="B4412" s="2">
        <f ca="1"/>
        <v>0.23363215490740386</v>
      </c>
      <c r="O4412" s="2">
        <f ca="1"/>
        <v>1.0594865113678338</v>
      </c>
      <c r="X4412" s="2">
        <f ca="1"/>
        <v>52.35049928339464</v>
      </c>
      <c r="AG4412" s="2">
        <f ca="1"/>
        <v>0.49815612011574473</v>
      </c>
      <c r="AH4412" s="2" t="str">
        <f ca="1"/>
        <v>Bad</v>
      </c>
    </row>
    <row r="4413" spans="2:34">
      <c r="B4413" s="2">
        <f ca="1"/>
        <v>0.23764533703074009</v>
      </c>
      <c r="O4413" s="2">
        <f ca="1"/>
        <v>-0.694347385124649</v>
      </c>
      <c r="X4413" s="2">
        <f ca="1"/>
        <v>31.833428017571158</v>
      </c>
      <c r="AG4413" s="2">
        <f ca="1"/>
        <v>0.14094110589744613</v>
      </c>
      <c r="AH4413" s="2" t="str">
        <f ca="1"/>
        <v>OK</v>
      </c>
    </row>
    <row r="4414" spans="2:34">
      <c r="B4414" s="2">
        <f ca="1"/>
        <v>0.8125641547156095</v>
      </c>
      <c r="O4414" s="2">
        <f ca="1"/>
        <v>1.2300442969574168</v>
      </c>
      <c r="X4414" s="2">
        <f ca="1"/>
        <v>40.045522788842725</v>
      </c>
      <c r="AG4414" s="2">
        <f ca="1"/>
        <v>5.8152420455433118E-2</v>
      </c>
      <c r="AH4414" s="2" t="str">
        <f ca="1"/>
        <v>OK</v>
      </c>
    </row>
    <row r="4415" spans="2:34">
      <c r="B4415" s="2">
        <f ca="1"/>
        <v>5.9924825494097833E-2</v>
      </c>
      <c r="O4415" s="2">
        <f ca="1"/>
        <v>-2.0163621371047564</v>
      </c>
      <c r="X4415" s="2">
        <f ca="1"/>
        <v>68.828492873501276</v>
      </c>
      <c r="AG4415" s="2">
        <f ca="1"/>
        <v>0.24662095025912034</v>
      </c>
      <c r="AH4415" s="2" t="str">
        <f ca="1"/>
        <v>OK</v>
      </c>
    </row>
    <row r="4416" spans="2:34">
      <c r="B4416" s="2">
        <f ca="1"/>
        <v>0.72263213225905898</v>
      </c>
      <c r="O4416" s="2">
        <f ca="1"/>
        <v>0.95531636727262204</v>
      </c>
      <c r="X4416" s="2">
        <f ca="1"/>
        <v>46.705962967274417</v>
      </c>
      <c r="AG4416" s="2">
        <f ca="1"/>
        <v>8.7054253542522497E-2</v>
      </c>
      <c r="AH4416" s="2" t="str">
        <f ca="1"/>
        <v>OK</v>
      </c>
    </row>
    <row r="4417" spans="2:34">
      <c r="B4417" s="2">
        <f ca="1"/>
        <v>0.88491743800647149</v>
      </c>
      <c r="O4417" s="2">
        <f ca="1"/>
        <v>1.9582474274376642</v>
      </c>
      <c r="X4417" s="2">
        <f ca="1"/>
        <v>66.516569199060996</v>
      </c>
      <c r="AG4417" s="2">
        <f ca="1"/>
        <v>0.86125826093126601</v>
      </c>
      <c r="AH4417" s="2" t="str">
        <f ca="1"/>
        <v>Bad</v>
      </c>
    </row>
    <row r="4418" spans="2:34">
      <c r="B4418" s="2">
        <f ca="1"/>
        <v>0.66141069524675467</v>
      </c>
      <c r="O4418" s="2">
        <f ca="1"/>
        <v>-0.922712270171821</v>
      </c>
      <c r="X4418" s="2">
        <f ca="1"/>
        <v>62.594301386539392</v>
      </c>
      <c r="AG4418" s="2">
        <f ca="1"/>
        <v>2.6636577222584501E-2</v>
      </c>
      <c r="AH4418" s="2" t="str">
        <f ca="1"/>
        <v>Good</v>
      </c>
    </row>
    <row r="4419" spans="2:34">
      <c r="B4419" s="2">
        <f ca="1"/>
        <v>0.20084915400697834</v>
      </c>
      <c r="O4419" s="2">
        <f ca="1"/>
        <v>-0.42996437733737924</v>
      </c>
      <c r="X4419" s="2">
        <f ca="1"/>
        <v>41.363575415583121</v>
      </c>
      <c r="AG4419" s="2">
        <f ca="1"/>
        <v>0.31579553333249688</v>
      </c>
      <c r="AH4419" s="2" t="str">
        <f ca="1"/>
        <v>OK</v>
      </c>
    </row>
    <row r="4420" spans="2:34">
      <c r="B4420" s="2">
        <f ca="1"/>
        <v>0.67359397006364929</v>
      </c>
      <c r="O4420" s="2">
        <f ca="1"/>
        <v>0.19334241207440953</v>
      </c>
      <c r="X4420" s="2">
        <f ca="1"/>
        <v>48.324506253734626</v>
      </c>
      <c r="AG4420" s="2">
        <f ca="1"/>
        <v>0.73253788229614392</v>
      </c>
      <c r="AH4420" s="2" t="str">
        <f ca="1"/>
        <v>Bad</v>
      </c>
    </row>
    <row r="4421" spans="2:34">
      <c r="B4421" s="2">
        <f ca="1"/>
        <v>0.67656326154446877</v>
      </c>
      <c r="O4421" s="2">
        <f ca="1"/>
        <v>-1.2810100724073923</v>
      </c>
      <c r="X4421" s="2">
        <f ca="1"/>
        <v>39.629189700670331</v>
      </c>
      <c r="AG4421" s="2">
        <f ca="1"/>
        <v>0.13052304644800383</v>
      </c>
      <c r="AH4421" s="2" t="str">
        <f ca="1"/>
        <v>OK</v>
      </c>
    </row>
    <row r="4422" spans="2:34">
      <c r="B4422" s="2">
        <f ca="1"/>
        <v>0.83366848786905945</v>
      </c>
      <c r="O4422" s="2">
        <f ca="1"/>
        <v>0.72035274568631469</v>
      </c>
      <c r="X4422" s="2">
        <f ca="1"/>
        <v>28.360869261314875</v>
      </c>
      <c r="AG4422" s="2">
        <f ca="1"/>
        <v>0.48819365276260451</v>
      </c>
      <c r="AH4422" s="2" t="str">
        <f ca="1"/>
        <v>Bad</v>
      </c>
    </row>
    <row r="4423" spans="2:34">
      <c r="B4423" s="2">
        <f ca="1"/>
        <v>0.19502881455183951</v>
      </c>
      <c r="O4423" s="2">
        <f ca="1"/>
        <v>1.7442430851489477</v>
      </c>
      <c r="X4423" s="2">
        <f ca="1"/>
        <v>34.749822787630421</v>
      </c>
      <c r="AG4423" s="2">
        <f ca="1"/>
        <v>0.95975729480131422</v>
      </c>
      <c r="AH4423" s="2" t="str">
        <f ca="1"/>
        <v>Bad</v>
      </c>
    </row>
    <row r="4424" spans="2:34">
      <c r="B4424" s="2">
        <f ca="1"/>
        <v>2.1799331258778532E-2</v>
      </c>
      <c r="O4424" s="2">
        <f ca="1"/>
        <v>1.0527771248953748</v>
      </c>
      <c r="X4424" s="2">
        <f ca="1"/>
        <v>34.702518919323296</v>
      </c>
      <c r="AG4424" s="2">
        <f ca="1"/>
        <v>5.8980508293787537E-2</v>
      </c>
      <c r="AH4424" s="2" t="str">
        <f ca="1"/>
        <v>OK</v>
      </c>
    </row>
    <row r="4425" spans="2:34">
      <c r="B4425" s="2">
        <f ca="1"/>
        <v>0.68715061324810423</v>
      </c>
      <c r="O4425" s="2">
        <f ca="1"/>
        <v>-0.40623637400564394</v>
      </c>
      <c r="X4425" s="2">
        <f ca="1"/>
        <v>67.110369881133465</v>
      </c>
      <c r="AG4425" s="2">
        <f ca="1"/>
        <v>0.3838281706793325</v>
      </c>
      <c r="AH4425" s="2" t="str">
        <f ca="1"/>
        <v>OK</v>
      </c>
    </row>
    <row r="4426" spans="2:34">
      <c r="B4426" s="2">
        <f ca="1"/>
        <v>0.24863552536078526</v>
      </c>
      <c r="O4426" s="2">
        <f ca="1"/>
        <v>1.1869778468211205</v>
      </c>
      <c r="X4426" s="2">
        <f ca="1"/>
        <v>21.270517881267068</v>
      </c>
      <c r="AG4426" s="2">
        <f ca="1"/>
        <v>2.8357773334338088E-2</v>
      </c>
      <c r="AH4426" s="2" t="str">
        <f ca="1"/>
        <v>Good</v>
      </c>
    </row>
    <row r="4427" spans="2:34">
      <c r="B4427" s="2">
        <f ca="1"/>
        <v>0.42960726049057474</v>
      </c>
      <c r="O4427" s="2">
        <f ca="1"/>
        <v>-0.99344180677515581</v>
      </c>
      <c r="X4427" s="2">
        <f ca="1"/>
        <v>34.948445770357587</v>
      </c>
      <c r="AG4427" s="2">
        <f ca="1"/>
        <v>6.1676320973416132E-2</v>
      </c>
      <c r="AH4427" s="2" t="str">
        <f ca="1"/>
        <v>OK</v>
      </c>
    </row>
    <row r="4428" spans="2:34">
      <c r="B4428" s="2">
        <f ca="1"/>
        <v>0.57914585984000722</v>
      </c>
      <c r="O4428" s="2">
        <f ca="1"/>
        <v>0.34059083043251254</v>
      </c>
      <c r="X4428" s="2">
        <f ca="1"/>
        <v>23.101816330885189</v>
      </c>
      <c r="AG4428" s="2">
        <f ca="1"/>
        <v>0.54302941902207102</v>
      </c>
      <c r="AH4428" s="2" t="str">
        <f ca="1"/>
        <v>Bad</v>
      </c>
    </row>
    <row r="4429" spans="2:34">
      <c r="B4429" s="2">
        <f ca="1"/>
        <v>0.1647679801244295</v>
      </c>
      <c r="O4429" s="2">
        <f ca="1"/>
        <v>-0.44892834124666914</v>
      </c>
      <c r="X4429" s="2">
        <f ca="1"/>
        <v>36.337739217906943</v>
      </c>
      <c r="AG4429" s="2">
        <f ca="1"/>
        <v>0.8104365083115137</v>
      </c>
      <c r="AH4429" s="2" t="str">
        <f ca="1"/>
        <v>Bad</v>
      </c>
    </row>
    <row r="4430" spans="2:34">
      <c r="B4430" s="2">
        <f ca="1"/>
        <v>0.71459868985789954</v>
      </c>
      <c r="O4430" s="2">
        <f ca="1"/>
        <v>-1.0018185651850497</v>
      </c>
      <c r="X4430" s="2">
        <f ca="1"/>
        <v>66.696746992157699</v>
      </c>
      <c r="AG4430" s="2">
        <f ca="1"/>
        <v>0.66024478804119258</v>
      </c>
      <c r="AH4430" s="2" t="str">
        <f ca="1"/>
        <v>Bad</v>
      </c>
    </row>
    <row r="4431" spans="2:34">
      <c r="B4431" s="2">
        <f ca="1"/>
        <v>0.16214100122504171</v>
      </c>
      <c r="O4431" s="2">
        <f ca="1"/>
        <v>0.70683525932606317</v>
      </c>
      <c r="X4431" s="2">
        <f ca="1"/>
        <v>67.606273626262237</v>
      </c>
      <c r="AG4431" s="2">
        <f ca="1"/>
        <v>6.6407846157199968E-2</v>
      </c>
      <c r="AH4431" s="2" t="str">
        <f ca="1"/>
        <v>OK</v>
      </c>
    </row>
    <row r="4432" spans="2:34">
      <c r="B4432" s="2">
        <f ca="1"/>
        <v>0.81618251517819163</v>
      </c>
      <c r="O4432" s="2">
        <f ca="1"/>
        <v>-0.70508486888025523</v>
      </c>
      <c r="X4432" s="2">
        <f ca="1"/>
        <v>45.05235892947664</v>
      </c>
      <c r="AG4432" s="2">
        <f ca="1"/>
        <v>0.52003556574639376</v>
      </c>
      <c r="AH4432" s="2" t="str">
        <f ca="1"/>
        <v>Bad</v>
      </c>
    </row>
    <row r="4433" spans="2:34">
      <c r="B4433" s="2">
        <f ca="1"/>
        <v>9.3926790360808088E-2</v>
      </c>
      <c r="O4433" s="2">
        <f ca="1"/>
        <v>-0.84095098168102245</v>
      </c>
      <c r="X4433" s="2">
        <f ca="1"/>
        <v>43.011381414594361</v>
      </c>
      <c r="AG4433" s="2">
        <f ca="1"/>
        <v>6.225604007073815E-2</v>
      </c>
      <c r="AH4433" s="2" t="str">
        <f ca="1"/>
        <v>OK</v>
      </c>
    </row>
    <row r="4434" spans="2:34">
      <c r="B4434" s="2">
        <f ca="1"/>
        <v>0.10699202304352373</v>
      </c>
      <c r="O4434" s="2">
        <f ca="1"/>
        <v>0.89857429920628651</v>
      </c>
      <c r="X4434" s="2">
        <f ca="1"/>
        <v>28.204531270625502</v>
      </c>
      <c r="AG4434" s="2">
        <f ca="1"/>
        <v>7.2988121794804961E-2</v>
      </c>
      <c r="AH4434" s="2" t="str">
        <f ca="1"/>
        <v>OK</v>
      </c>
    </row>
    <row r="4435" spans="2:34">
      <c r="B4435" s="2">
        <f ca="1"/>
        <v>0.85903803131922984</v>
      </c>
      <c r="O4435" s="2">
        <f ca="1"/>
        <v>-0.74181798031977508</v>
      </c>
      <c r="X4435" s="2">
        <f ca="1"/>
        <v>56.573558030505311</v>
      </c>
      <c r="AG4435" s="2">
        <f ca="1"/>
        <v>0.66167143519886262</v>
      </c>
      <c r="AH4435" s="2" t="str">
        <f ca="1"/>
        <v>Bad</v>
      </c>
    </row>
    <row r="4436" spans="2:34">
      <c r="B4436" s="2">
        <f ca="1"/>
        <v>0.95126281023621395</v>
      </c>
      <c r="O4436" s="2">
        <f ca="1"/>
        <v>1.6177565232464015</v>
      </c>
      <c r="X4436" s="2">
        <f ca="1"/>
        <v>69.109255071079701</v>
      </c>
      <c r="AG4436" s="2">
        <f ca="1"/>
        <v>0.69138389978026371</v>
      </c>
      <c r="AH4436" s="2" t="str">
        <f ca="1"/>
        <v>Bad</v>
      </c>
    </row>
    <row r="4437" spans="2:34">
      <c r="B4437" s="2">
        <f ca="1"/>
        <v>0.18092585191826127</v>
      </c>
      <c r="O4437" s="2">
        <f ca="1"/>
        <v>-0.51005577602926022</v>
      </c>
      <c r="X4437" s="2">
        <f ca="1"/>
        <v>45.651795429873808</v>
      </c>
      <c r="AG4437" s="2">
        <f ca="1"/>
        <v>1.8526351783905382E-2</v>
      </c>
      <c r="AH4437" s="2" t="str">
        <f ca="1"/>
        <v>Good</v>
      </c>
    </row>
    <row r="4438" spans="2:34">
      <c r="B4438" s="2">
        <f ca="1"/>
        <v>5.3737440065859232E-2</v>
      </c>
      <c r="O4438" s="2">
        <f ca="1"/>
        <v>0.10981515988339879</v>
      </c>
      <c r="X4438" s="2">
        <f ca="1"/>
        <v>54.96627657571355</v>
      </c>
      <c r="AG4438" s="2">
        <f ca="1"/>
        <v>7.1748990267170853E-3</v>
      </c>
      <c r="AH4438" s="2" t="str">
        <f ca="1"/>
        <v>Good</v>
      </c>
    </row>
    <row r="4439" spans="2:34">
      <c r="B4439" s="2">
        <f ca="1"/>
        <v>0.54402880420345867</v>
      </c>
      <c r="O4439" s="2">
        <f ca="1"/>
        <v>1.890072826847722</v>
      </c>
      <c r="X4439" s="2">
        <f ca="1"/>
        <v>50.942118821497203</v>
      </c>
      <c r="AG4439" s="2">
        <f ca="1"/>
        <v>0.54061552578642935</v>
      </c>
      <c r="AH4439" s="2" t="str">
        <f ca="1"/>
        <v>Bad</v>
      </c>
    </row>
    <row r="4440" spans="2:34">
      <c r="B4440" s="2">
        <f ca="1"/>
        <v>0.17367908379459807</v>
      </c>
      <c r="O4440" s="2">
        <f ca="1"/>
        <v>-0.39544442827007259</v>
      </c>
      <c r="X4440" s="2">
        <f ca="1"/>
        <v>29.232101147211438</v>
      </c>
      <c r="AG4440" s="2">
        <f ca="1"/>
        <v>0.23413428170764972</v>
      </c>
      <c r="AH4440" s="2" t="str">
        <f ca="1"/>
        <v>OK</v>
      </c>
    </row>
    <row r="4441" spans="2:34">
      <c r="B4441" s="2">
        <f ca="1"/>
        <v>0.342031262480186</v>
      </c>
      <c r="O4441" s="2">
        <f ca="1"/>
        <v>-7.3233802115757932E-2</v>
      </c>
      <c r="X4441" s="2">
        <f ca="1"/>
        <v>41.984961215644134</v>
      </c>
      <c r="AG4441" s="2">
        <f ca="1"/>
        <v>0.5287052926677982</v>
      </c>
      <c r="AH4441" s="2" t="str">
        <f ca="1"/>
        <v>Bad</v>
      </c>
    </row>
    <row r="4442" spans="2:34">
      <c r="B4442" s="2">
        <f ca="1"/>
        <v>0.833695401544986</v>
      </c>
      <c r="O4442" s="2">
        <f ca="1"/>
        <v>-1.0482549604624423</v>
      </c>
      <c r="X4442" s="2">
        <f ca="1"/>
        <v>40.008273679611683</v>
      </c>
      <c r="AG4442" s="2">
        <f ca="1"/>
        <v>0.4046837619379966</v>
      </c>
      <c r="AH4442" s="2" t="str">
        <f ca="1"/>
        <v>Bad</v>
      </c>
    </row>
    <row r="4443" spans="2:34">
      <c r="B4443" s="2">
        <f ca="1"/>
        <v>0.72137167617624676</v>
      </c>
      <c r="O4443" s="2">
        <f ca="1"/>
        <v>-0.64892247309886231</v>
      </c>
      <c r="X4443" s="2">
        <f ca="1"/>
        <v>52.345365353234861</v>
      </c>
      <c r="AG4443" s="2">
        <f ca="1"/>
        <v>0.61190965926193019</v>
      </c>
      <c r="AH4443" s="2" t="str">
        <f ca="1"/>
        <v>Bad</v>
      </c>
    </row>
    <row r="4444" spans="2:34">
      <c r="B4444" s="2">
        <f ca="1"/>
        <v>0.23439778901754615</v>
      </c>
      <c r="O4444" s="2">
        <f ca="1"/>
        <v>0.66901254167734769</v>
      </c>
      <c r="X4444" s="2">
        <f ca="1"/>
        <v>51.604959086431734</v>
      </c>
      <c r="AG4444" s="2">
        <f ca="1"/>
        <v>0.1943546541010468</v>
      </c>
      <c r="AH4444" s="2" t="str">
        <f ca="1"/>
        <v>OK</v>
      </c>
    </row>
    <row r="4445" spans="2:34">
      <c r="B4445" s="2">
        <f ca="1"/>
        <v>0.55149250346878542</v>
      </c>
      <c r="O4445" s="2">
        <f ca="1"/>
        <v>-4.3817428622438433E-2</v>
      </c>
      <c r="X4445" s="2">
        <f ca="1"/>
        <v>37.56462918529148</v>
      </c>
      <c r="AG4445" s="2">
        <f ca="1"/>
        <v>0.48422358353595496</v>
      </c>
      <c r="AH4445" s="2" t="str">
        <f ca="1"/>
        <v>Bad</v>
      </c>
    </row>
    <row r="4446" spans="2:34">
      <c r="B4446" s="2">
        <f ca="1"/>
        <v>0.80387025871834017</v>
      </c>
      <c r="O4446" s="2">
        <f ca="1"/>
        <v>-0.41517521176878269</v>
      </c>
      <c r="X4446" s="2">
        <f ca="1"/>
        <v>35.850816933221239</v>
      </c>
      <c r="AG4446" s="2">
        <f ca="1"/>
        <v>0.6703815566873399</v>
      </c>
      <c r="AH4446" s="2" t="str">
        <f ca="1"/>
        <v>Bad</v>
      </c>
    </row>
    <row r="4447" spans="2:34">
      <c r="B4447" s="2">
        <f ca="1"/>
        <v>0.17476268122494365</v>
      </c>
      <c r="O4447" s="2">
        <f ca="1"/>
        <v>0.76919831788103921</v>
      </c>
      <c r="X4447" s="2">
        <f ca="1"/>
        <v>48.846176791429968</v>
      </c>
      <c r="AG4447" s="2">
        <f ca="1"/>
        <v>7.0029918353887277E-2</v>
      </c>
      <c r="AH4447" s="2" t="str">
        <f ca="1"/>
        <v>OK</v>
      </c>
    </row>
    <row r="4448" spans="2:34">
      <c r="B4448" s="2">
        <f ca="1"/>
        <v>0.98824710426669538</v>
      </c>
      <c r="O4448" s="2">
        <f ca="1"/>
        <v>0.65838451804480225</v>
      </c>
      <c r="X4448" s="2">
        <f ca="1"/>
        <v>25.494591651539679</v>
      </c>
      <c r="AG4448" s="2">
        <f ca="1"/>
        <v>0.97916967560327217</v>
      </c>
      <c r="AH4448" s="2" t="str">
        <f ca="1"/>
        <v>Bad</v>
      </c>
    </row>
    <row r="4449" spans="2:34">
      <c r="B4449" s="2">
        <f ca="1"/>
        <v>0.15198711573096357</v>
      </c>
      <c r="O4449" s="2">
        <f ca="1"/>
        <v>-0.13137359063936419</v>
      </c>
      <c r="X4449" s="2">
        <f ca="1"/>
        <v>54.740935893371166</v>
      </c>
      <c r="AG4449" s="2">
        <f ca="1"/>
        <v>7.1498128791561921E-2</v>
      </c>
      <c r="AH4449" s="2" t="str">
        <f ca="1"/>
        <v>OK</v>
      </c>
    </row>
    <row r="4450" spans="2:34">
      <c r="B4450" s="2">
        <f ca="1"/>
        <v>0.6362975112492717</v>
      </c>
      <c r="O4450" s="2">
        <f ca="1"/>
        <v>0.25031887266644426</v>
      </c>
      <c r="X4450" s="2">
        <f ca="1"/>
        <v>44.429420278756375</v>
      </c>
      <c r="AG4450" s="2">
        <f ca="1"/>
        <v>0.43000978835576453</v>
      </c>
      <c r="AH4450" s="2" t="str">
        <f ca="1"/>
        <v>Bad</v>
      </c>
    </row>
    <row r="4451" spans="2:34">
      <c r="B4451" s="2">
        <f ca="1"/>
        <v>0.83220302573275506</v>
      </c>
      <c r="O4451" s="2">
        <f ca="1"/>
        <v>0.34835091206067625</v>
      </c>
      <c r="X4451" s="2">
        <f ca="1"/>
        <v>44.483447215530639</v>
      </c>
      <c r="AG4451" s="2">
        <f ca="1"/>
        <v>0.29485868086719091</v>
      </c>
      <c r="AH4451" s="2" t="str">
        <f ca="1"/>
        <v>OK</v>
      </c>
    </row>
    <row r="4452" spans="2:34">
      <c r="B4452" s="2">
        <f ca="1"/>
        <v>0.55476022789720236</v>
      </c>
      <c r="O4452" s="2">
        <f ca="1"/>
        <v>0.56602435653066874</v>
      </c>
      <c r="X4452" s="2">
        <f ca="1"/>
        <v>57.547647301206659</v>
      </c>
      <c r="AG4452" s="2">
        <f ca="1"/>
        <v>0.52099502118736463</v>
      </c>
      <c r="AH4452" s="2" t="str">
        <f ca="1"/>
        <v>Bad</v>
      </c>
    </row>
    <row r="4453" spans="2:34">
      <c r="B4453" s="2">
        <f ca="1"/>
        <v>0.16650380068550952</v>
      </c>
      <c r="O4453" s="2">
        <f ca="1"/>
        <v>-0.16722138886134968</v>
      </c>
      <c r="X4453" s="2">
        <f ca="1"/>
        <v>41.734883019181154</v>
      </c>
      <c r="AG4453" s="2">
        <f ca="1"/>
        <v>0.31963353860265964</v>
      </c>
      <c r="AH4453" s="2" t="str">
        <f ca="1"/>
        <v>OK</v>
      </c>
    </row>
    <row r="4454" spans="2:34">
      <c r="B4454" s="2">
        <f ca="1"/>
        <v>0.17839374860306867</v>
      </c>
      <c r="O4454" s="2">
        <f ca="1"/>
        <v>0.79184102835752457</v>
      </c>
      <c r="X4454" s="2">
        <f ca="1"/>
        <v>56.035077925152727</v>
      </c>
      <c r="AG4454" s="2">
        <f ca="1"/>
        <v>4.3481142601188294E-2</v>
      </c>
      <c r="AH4454" s="2" t="str">
        <f ca="1"/>
        <v>Good</v>
      </c>
    </row>
    <row r="4455" spans="2:34">
      <c r="B4455" s="2">
        <f ca="1"/>
        <v>0.8887681968928407</v>
      </c>
      <c r="O4455" s="2">
        <f ca="1"/>
        <v>-1.0169605640963681</v>
      </c>
      <c r="X4455" s="2">
        <f ca="1"/>
        <v>88.034328487368015</v>
      </c>
      <c r="AG4455" s="2">
        <f ca="1"/>
        <v>0.13354196286714992</v>
      </c>
      <c r="AH4455" s="2" t="str">
        <f ca="1"/>
        <v>OK</v>
      </c>
    </row>
    <row r="4456" spans="2:34">
      <c r="B4456" s="2">
        <f ca="1"/>
        <v>0.29768253113029042</v>
      </c>
      <c r="O4456" s="2">
        <f ca="1"/>
        <v>-1.0548091131078523</v>
      </c>
      <c r="X4456" s="2">
        <f ca="1"/>
        <v>54.236632277043746</v>
      </c>
      <c r="AG4456" s="2">
        <f ca="1"/>
        <v>0.3674449259948851</v>
      </c>
      <c r="AH4456" s="2" t="str">
        <f ca="1"/>
        <v>OK</v>
      </c>
    </row>
    <row r="4457" spans="2:34">
      <c r="B4457" s="2">
        <f ca="1"/>
        <v>0.45745041686544119</v>
      </c>
      <c r="O4457" s="2">
        <f ca="1"/>
        <v>1.1510889016306143</v>
      </c>
      <c r="X4457" s="2">
        <f ca="1"/>
        <v>48.20763218197358</v>
      </c>
      <c r="AG4457" s="2">
        <f ca="1"/>
        <v>0.13135435505232285</v>
      </c>
      <c r="AH4457" s="2" t="str">
        <f ca="1"/>
        <v>OK</v>
      </c>
    </row>
    <row r="4458" spans="2:34">
      <c r="B4458" s="2">
        <f ca="1"/>
        <v>0.49046055998797367</v>
      </c>
      <c r="O4458" s="2">
        <f ca="1"/>
        <v>0.52531290271634712</v>
      </c>
      <c r="X4458" s="2">
        <f ca="1"/>
        <v>71.963398338703001</v>
      </c>
      <c r="AG4458" s="2">
        <f ca="1"/>
        <v>0.62508797154621765</v>
      </c>
      <c r="AH4458" s="2" t="str">
        <f ca="1"/>
        <v>Bad</v>
      </c>
    </row>
    <row r="4459" spans="2:34">
      <c r="B4459" s="2">
        <f ca="1"/>
        <v>0.9228147636978028</v>
      </c>
      <c r="O4459" s="2">
        <f ca="1"/>
        <v>-1.0971188933259657</v>
      </c>
      <c r="X4459" s="2">
        <f ca="1"/>
        <v>75.133659643896792</v>
      </c>
      <c r="AG4459" s="2">
        <f ca="1"/>
        <v>0.28389459864280675</v>
      </c>
      <c r="AH4459" s="2" t="str">
        <f ca="1"/>
        <v>OK</v>
      </c>
    </row>
    <row r="4460" spans="2:34">
      <c r="B4460" s="2">
        <f ca="1"/>
        <v>0.95216128338601091</v>
      </c>
      <c r="O4460" s="2">
        <f ca="1"/>
        <v>0.35718775897117416</v>
      </c>
      <c r="X4460" s="2">
        <f ca="1"/>
        <v>31.967769142776362</v>
      </c>
      <c r="AG4460" s="2">
        <f ca="1"/>
        <v>0.65389473048043123</v>
      </c>
      <c r="AH4460" s="2" t="str">
        <f ca="1"/>
        <v>Bad</v>
      </c>
    </row>
    <row r="4461" spans="2:34">
      <c r="B4461" s="2">
        <f ca="1"/>
        <v>0.10718011977028308</v>
      </c>
      <c r="O4461" s="2">
        <f ca="1"/>
        <v>0.98878369442120084</v>
      </c>
      <c r="X4461" s="2">
        <f ca="1"/>
        <v>56.764356096681979</v>
      </c>
      <c r="AG4461" s="2">
        <f ca="1"/>
        <v>0.62868788514185914</v>
      </c>
      <c r="AH4461" s="2" t="str">
        <f ca="1"/>
        <v>Bad</v>
      </c>
    </row>
    <row r="4462" spans="2:34">
      <c r="B4462" s="2">
        <f ca="1"/>
        <v>0.1751285799885649</v>
      </c>
      <c r="O4462" s="2">
        <f ca="1"/>
        <v>0.61995183823234068</v>
      </c>
      <c r="X4462" s="2">
        <f ca="1"/>
        <v>56.212483248141297</v>
      </c>
      <c r="AG4462" s="2">
        <f ca="1"/>
        <v>0.18493442705273155</v>
      </c>
      <c r="AH4462" s="2" t="str">
        <f ca="1"/>
        <v>OK</v>
      </c>
    </row>
    <row r="4463" spans="2:34">
      <c r="B4463" s="2">
        <f ca="1"/>
        <v>0.57083175021659271</v>
      </c>
      <c r="O4463" s="2">
        <f ca="1"/>
        <v>4.7550073957224756E-2</v>
      </c>
      <c r="X4463" s="2">
        <f ca="1"/>
        <v>41.045981614095354</v>
      </c>
      <c r="AG4463" s="2">
        <f ca="1"/>
        <v>0.47951692152191439</v>
      </c>
      <c r="AH4463" s="2" t="str">
        <f ca="1"/>
        <v>Bad</v>
      </c>
    </row>
    <row r="4464" spans="2:34">
      <c r="B4464" s="2">
        <f ca="1"/>
        <v>0.94035183350510443</v>
      </c>
      <c r="O4464" s="2">
        <f ca="1"/>
        <v>1.5414904534209481</v>
      </c>
      <c r="X4464" s="2">
        <f ca="1"/>
        <v>68.059900859976267</v>
      </c>
      <c r="AG4464" s="2">
        <f ca="1"/>
        <v>0.18497472983768404</v>
      </c>
      <c r="AH4464" s="2" t="str">
        <f ca="1"/>
        <v>OK</v>
      </c>
    </row>
    <row r="4465" spans="2:34">
      <c r="B4465" s="2">
        <f ca="1"/>
        <v>6.630964296529096E-2</v>
      </c>
      <c r="O4465" s="2">
        <f ca="1"/>
        <v>-0.13821258125926197</v>
      </c>
      <c r="X4465" s="2">
        <f ca="1"/>
        <v>68.41664248419778</v>
      </c>
      <c r="AG4465" s="2">
        <f ca="1"/>
        <v>0.38462506512058336</v>
      </c>
      <c r="AH4465" s="2" t="str">
        <f ca="1"/>
        <v>OK</v>
      </c>
    </row>
    <row r="4466" spans="2:34">
      <c r="B4466" s="2">
        <f ca="1"/>
        <v>0.88813321612387419</v>
      </c>
      <c r="O4466" s="2">
        <f ca="1"/>
        <v>0.15395951369880481</v>
      </c>
      <c r="X4466" s="2">
        <f ca="1"/>
        <v>30.031282312606081</v>
      </c>
      <c r="AG4466" s="2">
        <f ca="1"/>
        <v>0.69512898663937683</v>
      </c>
      <c r="AH4466" s="2" t="str">
        <f ca="1"/>
        <v>Bad</v>
      </c>
    </row>
    <row r="4467" spans="2:34">
      <c r="B4467" s="2">
        <f ca="1"/>
        <v>0.40267154133385796</v>
      </c>
      <c r="O4467" s="2">
        <f ca="1"/>
        <v>-0.10978728457959487</v>
      </c>
      <c r="X4467" s="2">
        <f ca="1"/>
        <v>43.355042309398826</v>
      </c>
      <c r="AG4467" s="2">
        <f ca="1"/>
        <v>0.25041210628713451</v>
      </c>
      <c r="AH4467" s="2" t="str">
        <f ca="1"/>
        <v>OK</v>
      </c>
    </row>
    <row r="4468" spans="2:34">
      <c r="B4468" s="2">
        <f ca="1"/>
        <v>0.46651526907562046</v>
      </c>
      <c r="O4468" s="2">
        <f ca="1"/>
        <v>-0.26031022017658828</v>
      </c>
      <c r="X4468" s="2">
        <f ca="1"/>
        <v>77.046010935869745</v>
      </c>
      <c r="AG4468" s="2">
        <f ca="1"/>
        <v>0.9884732096009714</v>
      </c>
      <c r="AH4468" s="2" t="str">
        <f ca="1"/>
        <v>Bad</v>
      </c>
    </row>
    <row r="4469" spans="2:34">
      <c r="B4469" s="2">
        <f ca="1"/>
        <v>0.28848626444770442</v>
      </c>
      <c r="O4469" s="2">
        <f ca="1"/>
        <v>-1.4445830325442111</v>
      </c>
      <c r="X4469" s="2">
        <f ca="1"/>
        <v>43.126574632775657</v>
      </c>
      <c r="AG4469" s="2">
        <f ca="1"/>
        <v>0.34219785659296931</v>
      </c>
      <c r="AH4469" s="2" t="str">
        <f ca="1"/>
        <v>OK</v>
      </c>
    </row>
    <row r="4470" spans="2:34">
      <c r="B4470" s="2">
        <f ca="1"/>
        <v>0.7913050510070867</v>
      </c>
      <c r="O4470" s="2">
        <f ca="1"/>
        <v>0.78358496193730154</v>
      </c>
      <c r="X4470" s="2">
        <f ca="1"/>
        <v>33.968814158452147</v>
      </c>
      <c r="AG4470" s="2">
        <f ca="1"/>
        <v>0.42671061852781134</v>
      </c>
      <c r="AH4470" s="2" t="str">
        <f ca="1"/>
        <v>Bad</v>
      </c>
    </row>
    <row r="4471" spans="2:34">
      <c r="B4471" s="2">
        <f ca="1"/>
        <v>0.3557734504946779</v>
      </c>
      <c r="O4471" s="2">
        <f ca="1"/>
        <v>1.2254889528926212</v>
      </c>
      <c r="X4471" s="2">
        <f ca="1"/>
        <v>70.316412863981014</v>
      </c>
      <c r="AG4471" s="2">
        <f ca="1"/>
        <v>0.74158708163036158</v>
      </c>
      <c r="AH4471" s="2" t="str">
        <f ca="1"/>
        <v>Bad</v>
      </c>
    </row>
    <row r="4472" spans="2:34">
      <c r="B4472" s="2">
        <f ca="1"/>
        <v>0.46291480024734133</v>
      </c>
      <c r="O4472" s="2">
        <f ca="1"/>
        <v>-1.3304316271751855</v>
      </c>
      <c r="X4472" s="2">
        <f ca="1"/>
        <v>23.909484102473911</v>
      </c>
      <c r="AG4472" s="2">
        <f ca="1"/>
        <v>0.22849404215338254</v>
      </c>
      <c r="AH4472" s="2" t="str">
        <f ca="1"/>
        <v>OK</v>
      </c>
    </row>
    <row r="4473" spans="2:34">
      <c r="B4473" s="2">
        <f ca="1"/>
        <v>0.82446375933004679</v>
      </c>
      <c r="O4473" s="2">
        <f ca="1"/>
        <v>0.31131908987252038</v>
      </c>
      <c r="X4473" s="2">
        <f ca="1"/>
        <v>44.904930193831795</v>
      </c>
      <c r="AG4473" s="2">
        <f ca="1"/>
        <v>0.71153157923256605</v>
      </c>
      <c r="AH4473" s="2" t="str">
        <f ca="1"/>
        <v>Bad</v>
      </c>
    </row>
    <row r="4474" spans="2:34">
      <c r="B4474" s="2">
        <f ca="1"/>
        <v>0.94567451622811549</v>
      </c>
      <c r="O4474" s="2">
        <f ca="1"/>
        <v>-0.23463342857180616</v>
      </c>
      <c r="X4474" s="2">
        <f ca="1"/>
        <v>56.366703549819775</v>
      </c>
      <c r="AG4474" s="2">
        <f ca="1"/>
        <v>0.92260263772827389</v>
      </c>
      <c r="AH4474" s="2" t="str">
        <f ca="1"/>
        <v>Bad</v>
      </c>
    </row>
    <row r="4475" spans="2:34">
      <c r="B4475" s="2">
        <f ca="1"/>
        <v>0.84935506784341297</v>
      </c>
      <c r="O4475" s="2">
        <f ca="1"/>
        <v>0.30323739005106221</v>
      </c>
      <c r="X4475" s="2">
        <f ca="1"/>
        <v>51.231419592554246</v>
      </c>
      <c r="AG4475" s="2">
        <f ca="1"/>
        <v>0.5108512148315616</v>
      </c>
      <c r="AH4475" s="2" t="str">
        <f ca="1"/>
        <v>Bad</v>
      </c>
    </row>
    <row r="4476" spans="2:34">
      <c r="B4476" s="2">
        <f ca="1"/>
        <v>0.42613761146548512</v>
      </c>
      <c r="O4476" s="2">
        <f ca="1"/>
        <v>0.41418911999525271</v>
      </c>
      <c r="X4476" s="2">
        <f ca="1"/>
        <v>69.90138234636828</v>
      </c>
      <c r="AG4476" s="2">
        <f ca="1"/>
        <v>0.44532757433511838</v>
      </c>
      <c r="AH4476" s="2" t="str">
        <f ca="1"/>
        <v>Bad</v>
      </c>
    </row>
    <row r="4477" spans="2:34">
      <c r="B4477" s="2">
        <f ca="1"/>
        <v>6.897247545648244E-2</v>
      </c>
      <c r="O4477" s="2">
        <f ca="1"/>
        <v>-0.83058533155772651</v>
      </c>
      <c r="X4477" s="2">
        <f ca="1"/>
        <v>48.451908621729984</v>
      </c>
      <c r="AG4477" s="2">
        <f ca="1"/>
        <v>6.7746874604721841E-2</v>
      </c>
      <c r="AH4477" s="2" t="str">
        <f ca="1"/>
        <v>OK</v>
      </c>
    </row>
    <row r="4478" spans="2:34">
      <c r="B4478" s="2">
        <f ca="1"/>
        <v>0.89785568204084476</v>
      </c>
      <c r="O4478" s="2">
        <f ca="1"/>
        <v>0.7687565262385091</v>
      </c>
      <c r="X4478" s="2">
        <f ca="1"/>
        <v>35.776720916996986</v>
      </c>
      <c r="AG4478" s="2">
        <f ca="1"/>
        <v>0.40229756055005828</v>
      </c>
      <c r="AH4478" s="2" t="str">
        <f ca="1"/>
        <v>Bad</v>
      </c>
    </row>
    <row r="4479" spans="2:34">
      <c r="B4479" s="2">
        <f ca="1"/>
        <v>0.75978767380019518</v>
      </c>
      <c r="O4479" s="2">
        <f ca="1"/>
        <v>-0.29675714017059218</v>
      </c>
      <c r="X4479" s="2">
        <f ca="1"/>
        <v>51.958784137706253</v>
      </c>
      <c r="AG4479" s="2">
        <f ca="1"/>
        <v>0.47417468029305598</v>
      </c>
      <c r="AH4479" s="2" t="str">
        <f ca="1"/>
        <v>Bad</v>
      </c>
    </row>
    <row r="4480" spans="2:34">
      <c r="B4480" s="2">
        <f ca="1"/>
        <v>7.5593539664726039E-2</v>
      </c>
      <c r="O4480" s="2">
        <f ca="1"/>
        <v>-0.30674850405598375</v>
      </c>
      <c r="X4480" s="2">
        <f ca="1"/>
        <v>49.329042009900128</v>
      </c>
      <c r="AG4480" s="2">
        <f ca="1"/>
        <v>0.45408012021202726</v>
      </c>
      <c r="AH4480" s="2" t="str">
        <f ca="1"/>
        <v>Bad</v>
      </c>
    </row>
    <row r="4481" spans="2:34">
      <c r="B4481" s="2">
        <f ca="1"/>
        <v>0.39844377347796667</v>
      </c>
      <c r="O4481" s="2">
        <f ca="1"/>
        <v>-0.71986323987444245</v>
      </c>
      <c r="X4481" s="2">
        <f ca="1"/>
        <v>33.383146202764294</v>
      </c>
      <c r="AG4481" s="2">
        <f ca="1"/>
        <v>8.1952153495828739E-2</v>
      </c>
      <c r="AH4481" s="2" t="str">
        <f ca="1"/>
        <v>OK</v>
      </c>
    </row>
    <row r="4482" spans="2:34">
      <c r="B4482" s="2">
        <f ca="1"/>
        <v>0.52860207701098894</v>
      </c>
      <c r="O4482" s="2">
        <f ca="1"/>
        <v>1.5896385210443962</v>
      </c>
      <c r="X4482" s="2">
        <f ca="1"/>
        <v>62.910243912987283</v>
      </c>
      <c r="AG4482" s="2">
        <f ca="1"/>
        <v>0.10554123982739094</v>
      </c>
      <c r="AH4482" s="2" t="str">
        <f ca="1"/>
        <v>OK</v>
      </c>
    </row>
    <row r="4483" spans="2:34">
      <c r="B4483" s="2">
        <f ca="1"/>
        <v>8.9100412071416057E-2</v>
      </c>
      <c r="O4483" s="2">
        <f ca="1"/>
        <v>1.03819443353353</v>
      </c>
      <c r="X4483" s="2">
        <f ca="1"/>
        <v>48.918258431570337</v>
      </c>
      <c r="AG4483" s="2">
        <f ca="1"/>
        <v>0.92302363978345547</v>
      </c>
      <c r="AH4483" s="2" t="str">
        <f ca="1"/>
        <v>Bad</v>
      </c>
    </row>
    <row r="4484" spans="2:34">
      <c r="B4484" s="2">
        <f ca="1"/>
        <v>7.3160245705850002E-3</v>
      </c>
      <c r="O4484" s="2">
        <f ca="1"/>
        <v>0.59061737408183457</v>
      </c>
      <c r="X4484" s="2">
        <f ca="1"/>
        <v>39.349150422553606</v>
      </c>
      <c r="AG4484" s="2">
        <f ca="1"/>
        <v>0.57368133742770944</v>
      </c>
      <c r="AH4484" s="2" t="str">
        <f ca="1"/>
        <v>Bad</v>
      </c>
    </row>
    <row r="4485" spans="2:34">
      <c r="B4485" s="2">
        <f ca="1"/>
        <v>0.18548540711469785</v>
      </c>
      <c r="O4485" s="2">
        <f ca="1"/>
        <v>-0.40165291576272522</v>
      </c>
      <c r="X4485" s="2">
        <f ca="1"/>
        <v>82.275654523081855</v>
      </c>
      <c r="AG4485" s="2">
        <f ca="1"/>
        <v>0.46390880143036872</v>
      </c>
      <c r="AH4485" s="2" t="str">
        <f ca="1"/>
        <v>Bad</v>
      </c>
    </row>
    <row r="4486" spans="2:34">
      <c r="B4486" s="2">
        <f ca="1"/>
        <v>0.73549761545590941</v>
      </c>
      <c r="O4486" s="2">
        <f ca="1"/>
        <v>-1.0315329855502526</v>
      </c>
      <c r="X4486" s="2">
        <f ca="1"/>
        <v>45.781058482663255</v>
      </c>
      <c r="AG4486" s="2">
        <f ca="1"/>
        <v>0.55012818607219893</v>
      </c>
      <c r="AH4486" s="2" t="str">
        <f ca="1"/>
        <v>Bad</v>
      </c>
    </row>
    <row r="4487" spans="2:34">
      <c r="B4487" s="2">
        <f ca="1"/>
        <v>0.18089972074991589</v>
      </c>
      <c r="O4487" s="2">
        <f ca="1"/>
        <v>0.95141341199890395</v>
      </c>
      <c r="X4487" s="2">
        <f ca="1"/>
        <v>49.540500164385151</v>
      </c>
      <c r="AG4487" s="2">
        <f ca="1"/>
        <v>0.23578962710207807</v>
      </c>
      <c r="AH4487" s="2" t="str">
        <f ca="1"/>
        <v>OK</v>
      </c>
    </row>
    <row r="4488" spans="2:34">
      <c r="B4488" s="2">
        <f ca="1"/>
        <v>0.95185279785445309</v>
      </c>
      <c r="O4488" s="2">
        <f ca="1"/>
        <v>0.44526945282956504</v>
      </c>
      <c r="X4488" s="2">
        <f ca="1"/>
        <v>66.316899578548245</v>
      </c>
      <c r="AG4488" s="2">
        <f ca="1"/>
        <v>0.59336228166625138</v>
      </c>
      <c r="AH4488" s="2" t="str">
        <f ca="1"/>
        <v>Bad</v>
      </c>
    </row>
    <row r="4489" spans="2:34">
      <c r="B4489" s="2">
        <f ca="1"/>
        <v>0.97633660363289998</v>
      </c>
      <c r="O4489" s="2">
        <f ca="1"/>
        <v>-0.21428864256987731</v>
      </c>
      <c r="X4489" s="2">
        <f ca="1"/>
        <v>58.944953436311849</v>
      </c>
      <c r="AG4489" s="2">
        <f ca="1"/>
        <v>0.30375051771688266</v>
      </c>
      <c r="AH4489" s="2" t="str">
        <f ca="1"/>
        <v>OK</v>
      </c>
    </row>
    <row r="4490" spans="2:34">
      <c r="B4490" s="2">
        <f ca="1"/>
        <v>5.9869978627800968E-2</v>
      </c>
      <c r="O4490" s="2">
        <f ca="1"/>
        <v>-1.0802992470446202</v>
      </c>
      <c r="X4490" s="2">
        <f ca="1"/>
        <v>87.12049738572</v>
      </c>
      <c r="AG4490" s="2">
        <f ca="1"/>
        <v>0.75819756765286273</v>
      </c>
      <c r="AH4490" s="2" t="str">
        <f ca="1"/>
        <v>Bad</v>
      </c>
    </row>
    <row r="4491" spans="2:34">
      <c r="B4491" s="2">
        <f ca="1"/>
        <v>0.99721440859007826</v>
      </c>
      <c r="O4491" s="2">
        <f ca="1"/>
        <v>1.4798411308594299</v>
      </c>
      <c r="X4491" s="2">
        <f ca="1"/>
        <v>97.779167597429378</v>
      </c>
      <c r="AG4491" s="2">
        <f ca="1"/>
        <v>0.4675453966439147</v>
      </c>
      <c r="AH4491" s="2" t="str">
        <f ca="1"/>
        <v>Bad</v>
      </c>
    </row>
    <row r="4492" spans="2:34">
      <c r="B4492" s="2">
        <f ca="1"/>
        <v>0.81242796214441193</v>
      </c>
      <c r="O4492" s="2">
        <f ca="1"/>
        <v>-0.41537414106708104</v>
      </c>
      <c r="X4492" s="2">
        <f ca="1"/>
        <v>98.106204905038339</v>
      </c>
      <c r="AG4492" s="2">
        <f ca="1"/>
        <v>0.95818875447985152</v>
      </c>
      <c r="AH4492" s="2" t="str">
        <f ca="1"/>
        <v>Bad</v>
      </c>
    </row>
    <row r="4493" spans="2:34">
      <c r="B4493" s="2">
        <f ca="1"/>
        <v>0.87826036015689635</v>
      </c>
      <c r="O4493" s="2">
        <f ca="1"/>
        <v>-0.39957100938786749</v>
      </c>
      <c r="X4493" s="2">
        <f ca="1"/>
        <v>60.867110901393943</v>
      </c>
      <c r="AG4493" s="2">
        <f ca="1"/>
        <v>2.5931423034031065E-2</v>
      </c>
      <c r="AH4493" s="2" t="str">
        <f ca="1"/>
        <v>Good</v>
      </c>
    </row>
    <row r="4494" spans="2:34">
      <c r="B4494" s="2">
        <f ca="1"/>
        <v>0.9594577227537775</v>
      </c>
      <c r="O4494" s="2">
        <f ca="1"/>
        <v>0.41509417937858489</v>
      </c>
      <c r="X4494" s="2">
        <f ca="1"/>
        <v>66.13987120882895</v>
      </c>
      <c r="AG4494" s="2">
        <f ca="1"/>
        <v>0.5544347974000523</v>
      </c>
      <c r="AH4494" s="2" t="str">
        <f ca="1"/>
        <v>Bad</v>
      </c>
    </row>
    <row r="4495" spans="2:34">
      <c r="B4495" s="2">
        <f ca="1"/>
        <v>0.87398211110243795</v>
      </c>
      <c r="O4495" s="2">
        <f ca="1"/>
        <v>-9.3173371820631679E-2</v>
      </c>
      <c r="X4495" s="2">
        <f ca="1"/>
        <v>70.126970481661687</v>
      </c>
      <c r="AG4495" s="2">
        <f ca="1"/>
        <v>0.78987490334492549</v>
      </c>
      <c r="AH4495" s="2" t="str">
        <f ca="1"/>
        <v>Bad</v>
      </c>
    </row>
    <row r="4496" spans="2:34">
      <c r="B4496" s="2">
        <f ca="1"/>
        <v>0.62759548798059228</v>
      </c>
      <c r="O4496" s="2">
        <f ca="1"/>
        <v>0.97737316821190512</v>
      </c>
      <c r="X4496" s="2">
        <f ca="1"/>
        <v>78.665651240720521</v>
      </c>
      <c r="AG4496" s="2">
        <f ca="1"/>
        <v>5.9328339581192768E-2</v>
      </c>
      <c r="AH4496" s="2" t="str">
        <f ca="1"/>
        <v>OK</v>
      </c>
    </row>
    <row r="4497" spans="2:34">
      <c r="B4497" s="2">
        <f ca="1"/>
        <v>0.50865982172711788</v>
      </c>
      <c r="O4497" s="2">
        <f ca="1"/>
        <v>1.1603064471893443</v>
      </c>
      <c r="X4497" s="2">
        <f ca="1"/>
        <v>81.634297719722824</v>
      </c>
      <c r="AG4497" s="2">
        <f ca="1"/>
        <v>0.27895653393463826</v>
      </c>
      <c r="AH4497" s="2" t="str">
        <f ca="1"/>
        <v>OK</v>
      </c>
    </row>
    <row r="4498" spans="2:34">
      <c r="B4498" s="2">
        <f ca="1"/>
        <v>0.67125706240684724</v>
      </c>
      <c r="O4498" s="2">
        <f ca="1"/>
        <v>2.2293728659707601</v>
      </c>
      <c r="X4498" s="2">
        <f ca="1"/>
        <v>60.550855874121162</v>
      </c>
      <c r="AG4498" s="2">
        <f ca="1"/>
        <v>0.33323134795689291</v>
      </c>
      <c r="AH4498" s="2" t="str">
        <f ca="1"/>
        <v>OK</v>
      </c>
    </row>
    <row r="4499" spans="2:34">
      <c r="B4499" s="2">
        <f ca="1"/>
        <v>0.67201161114375729</v>
      </c>
      <c r="O4499" s="2">
        <f ca="1"/>
        <v>1.1962164053081457</v>
      </c>
      <c r="X4499" s="2">
        <f ca="1"/>
        <v>52.421816543412362</v>
      </c>
      <c r="AG4499" s="2">
        <f ca="1"/>
        <v>0.75240327757915293</v>
      </c>
      <c r="AH4499" s="2" t="str">
        <f ca="1"/>
        <v>Bad</v>
      </c>
    </row>
    <row r="4500" spans="2:34">
      <c r="B4500" s="2">
        <f ca="1"/>
        <v>0.68223581237346709</v>
      </c>
      <c r="O4500" s="2">
        <f ca="1"/>
        <v>0.75317441775023686</v>
      </c>
      <c r="X4500" s="2">
        <f ca="1"/>
        <v>52.496543460211591</v>
      </c>
      <c r="AG4500" s="2">
        <f ca="1"/>
        <v>0.62069631421410887</v>
      </c>
      <c r="AH4500" s="2" t="str">
        <f ca="1"/>
        <v>Bad</v>
      </c>
    </row>
    <row r="4501" spans="2:34">
      <c r="B4501" s="2">
        <f ca="1"/>
        <v>5.7593104314773491E-2</v>
      </c>
      <c r="O4501" s="2">
        <f ca="1"/>
        <v>0.39796806582625216</v>
      </c>
      <c r="X4501" s="2">
        <f ca="1"/>
        <v>57.66490279081264</v>
      </c>
      <c r="AG4501" s="2">
        <f ca="1"/>
        <v>0.93248738156649313</v>
      </c>
      <c r="AH4501" s="2" t="str">
        <f ca="1"/>
        <v>Bad</v>
      </c>
    </row>
    <row r="4502" spans="2:34">
      <c r="B4502" s="2">
        <f ca="1"/>
        <v>0.82307975393758648</v>
      </c>
      <c r="O4502" s="2">
        <f ca="1"/>
        <v>0.35814600061634677</v>
      </c>
      <c r="X4502" s="2">
        <f ca="1"/>
        <v>65.551693478755425</v>
      </c>
      <c r="AG4502" s="2">
        <f ca="1"/>
        <v>0.36114081285866728</v>
      </c>
      <c r="AH4502" s="2" t="str">
        <f ca="1"/>
        <v>OK</v>
      </c>
    </row>
    <row r="4503" spans="2:34">
      <c r="B4503" s="2">
        <f ca="1"/>
        <v>0.97399168357719779</v>
      </c>
      <c r="O4503" s="2">
        <f ca="1"/>
        <v>-0.56787616188833256</v>
      </c>
      <c r="X4503" s="2">
        <f ca="1"/>
        <v>51.276015014103393</v>
      </c>
      <c r="AG4503" s="2">
        <f ca="1"/>
        <v>0.86398865414585635</v>
      </c>
      <c r="AH4503" s="2" t="str">
        <f ca="1"/>
        <v>Bad</v>
      </c>
    </row>
    <row r="4504" spans="2:34">
      <c r="B4504" s="2">
        <f ca="1"/>
        <v>0.23414183419989265</v>
      </c>
      <c r="O4504" s="2">
        <f ca="1"/>
        <v>-0.9131640604801381</v>
      </c>
      <c r="X4504" s="2">
        <f ca="1"/>
        <v>30.508714591539722</v>
      </c>
      <c r="AG4504" s="2">
        <f ca="1"/>
        <v>0.57254466661581649</v>
      </c>
      <c r="AH4504" s="2" t="str">
        <f ca="1"/>
        <v>Bad</v>
      </c>
    </row>
    <row r="4505" spans="2:34">
      <c r="B4505" s="2">
        <f ca="1"/>
        <v>0.66967712558935655</v>
      </c>
      <c r="O4505" s="2">
        <f ca="1"/>
        <v>-1.7427195603444159</v>
      </c>
      <c r="X4505" s="2">
        <f ca="1"/>
        <v>27.789042984906601</v>
      </c>
      <c r="AG4505" s="2">
        <f ca="1"/>
        <v>0.75055676774653879</v>
      </c>
      <c r="AH4505" s="2" t="str">
        <f ca="1"/>
        <v>Bad</v>
      </c>
    </row>
    <row r="4506" spans="2:34">
      <c r="B4506" s="2">
        <f ca="1"/>
        <v>0.72676647311601061</v>
      </c>
      <c r="O4506" s="2">
        <f ca="1"/>
        <v>-2.1560275945382843</v>
      </c>
      <c r="X4506" s="2">
        <f ca="1"/>
        <v>71.532357358461155</v>
      </c>
      <c r="AG4506" s="2">
        <f ca="1"/>
        <v>0.19818981650640222</v>
      </c>
      <c r="AH4506" s="2" t="str">
        <f ca="1"/>
        <v>OK</v>
      </c>
    </row>
    <row r="4507" spans="2:34">
      <c r="B4507" s="2">
        <f ca="1"/>
        <v>0.36330255559845814</v>
      </c>
      <c r="O4507" s="2">
        <f ca="1"/>
        <v>0.50120872916335035</v>
      </c>
      <c r="X4507" s="2">
        <f ca="1"/>
        <v>47.485345749791591</v>
      </c>
      <c r="AG4507" s="2">
        <f ca="1"/>
        <v>0.77305453522634848</v>
      </c>
      <c r="AH4507" s="2" t="str">
        <f ca="1"/>
        <v>Bad</v>
      </c>
    </row>
    <row r="4508" spans="2:34">
      <c r="B4508" s="2">
        <f ca="1"/>
        <v>0.43146819957134874</v>
      </c>
      <c r="O4508" s="2">
        <f ca="1"/>
        <v>1.504593932169924</v>
      </c>
      <c r="X4508" s="2">
        <f ca="1"/>
        <v>49.950522384308655</v>
      </c>
      <c r="AG4508" s="2">
        <f ca="1"/>
        <v>0.4981970476684523</v>
      </c>
      <c r="AH4508" s="2" t="str">
        <f ca="1"/>
        <v>Bad</v>
      </c>
    </row>
    <row r="4509" spans="2:34">
      <c r="B4509" s="2">
        <f ca="1"/>
        <v>4.9364695397539737E-2</v>
      </c>
      <c r="O4509" s="2">
        <f ca="1"/>
        <v>-1.4166864012352176</v>
      </c>
      <c r="X4509" s="2">
        <f ca="1"/>
        <v>35.080206217696102</v>
      </c>
      <c r="AG4509" s="2">
        <f ca="1"/>
        <v>0.22118373851914841</v>
      </c>
      <c r="AH4509" s="2" t="str">
        <f ca="1"/>
        <v>OK</v>
      </c>
    </row>
    <row r="4510" spans="2:34">
      <c r="B4510" s="2">
        <f ca="1"/>
        <v>0.81722015175839546</v>
      </c>
      <c r="O4510" s="2">
        <f ca="1"/>
        <v>1.6859510895957988</v>
      </c>
      <c r="X4510" s="2">
        <f ca="1"/>
        <v>64.069113415007578</v>
      </c>
      <c r="AG4510" s="2">
        <f ca="1"/>
        <v>0.22437865625983644</v>
      </c>
      <c r="AH4510" s="2" t="str">
        <f ca="1"/>
        <v>OK</v>
      </c>
    </row>
    <row r="4511" spans="2:34">
      <c r="B4511" s="2">
        <f ca="1"/>
        <v>0.88289606192393499</v>
      </c>
      <c r="O4511" s="2">
        <f ca="1"/>
        <v>-1.1407760532849311</v>
      </c>
      <c r="X4511" s="2">
        <f ca="1"/>
        <v>50.055417427567576</v>
      </c>
      <c r="AG4511" s="2">
        <f ca="1"/>
        <v>0.64739037756245432</v>
      </c>
      <c r="AH4511" s="2" t="str">
        <f ca="1"/>
        <v>Bad</v>
      </c>
    </row>
    <row r="4512" spans="2:34">
      <c r="B4512" s="2">
        <f ca="1"/>
        <v>0.75906605973896735</v>
      </c>
      <c r="O4512" s="2">
        <f ca="1"/>
        <v>2.1127407570743149</v>
      </c>
      <c r="X4512" s="2">
        <f ca="1"/>
        <v>34.550628446894059</v>
      </c>
      <c r="AG4512" s="2">
        <f ca="1"/>
        <v>9.974580341159478E-2</v>
      </c>
      <c r="AH4512" s="2" t="str">
        <f ca="1"/>
        <v>OK</v>
      </c>
    </row>
    <row r="4513" spans="2:34">
      <c r="B4513" s="2">
        <f ca="1"/>
        <v>0.39717288531784312</v>
      </c>
      <c r="O4513" s="2">
        <f ca="1"/>
        <v>0.54310115251805546</v>
      </c>
      <c r="X4513" s="2">
        <f ca="1"/>
        <v>62.979735242061906</v>
      </c>
      <c r="AG4513" s="2">
        <f ca="1"/>
        <v>0.80498983727565254</v>
      </c>
      <c r="AH4513" s="2" t="str">
        <f ca="1"/>
        <v>Bad</v>
      </c>
    </row>
    <row r="4514" spans="2:34">
      <c r="B4514" s="2">
        <f ca="1"/>
        <v>0.27581307984507131</v>
      </c>
      <c r="O4514" s="2">
        <f ca="1"/>
        <v>0.94656159667420436</v>
      </c>
      <c r="X4514" s="2">
        <f ca="1"/>
        <v>72.288480921258653</v>
      </c>
      <c r="AG4514" s="2">
        <f ca="1"/>
        <v>0.33438616076108341</v>
      </c>
      <c r="AH4514" s="2" t="str">
        <f ca="1"/>
        <v>OK</v>
      </c>
    </row>
    <row r="4515" spans="2:34">
      <c r="B4515" s="2">
        <f ca="1"/>
        <v>0.51256295346526048</v>
      </c>
      <c r="O4515" s="2">
        <f ca="1"/>
        <v>1.0515536238435617</v>
      </c>
      <c r="X4515" s="2">
        <f ca="1"/>
        <v>44.883094139844971</v>
      </c>
      <c r="AG4515" s="2">
        <f ca="1"/>
        <v>0.77395859338813144</v>
      </c>
      <c r="AH4515" s="2" t="str">
        <f ca="1"/>
        <v>Bad</v>
      </c>
    </row>
    <row r="4516" spans="2:34">
      <c r="B4516" s="2">
        <f ca="1"/>
        <v>0.60237399499533861</v>
      </c>
      <c r="O4516" s="2">
        <f ca="1"/>
        <v>1.0140434761845625</v>
      </c>
      <c r="X4516" s="2">
        <f ca="1"/>
        <v>72.08096164293471</v>
      </c>
      <c r="AG4516" s="2">
        <f ca="1"/>
        <v>0.29043837249654558</v>
      </c>
      <c r="AH4516" s="2" t="str">
        <f ca="1"/>
        <v>OK</v>
      </c>
    </row>
    <row r="4517" spans="2:34">
      <c r="B4517" s="2">
        <f ca="1"/>
        <v>3.0057466341837147E-2</v>
      </c>
      <c r="O4517" s="2">
        <f ca="1"/>
        <v>-1.1994203476335559</v>
      </c>
      <c r="X4517" s="2">
        <f ca="1"/>
        <v>54.987685515569794</v>
      </c>
      <c r="AG4517" s="2">
        <f ca="1"/>
        <v>3.4307921719119339E-2</v>
      </c>
      <c r="AH4517" s="2" t="str">
        <f ca="1"/>
        <v>Good</v>
      </c>
    </row>
    <row r="4518" spans="2:34">
      <c r="B4518" s="2">
        <f ca="1"/>
        <v>0.92706589398482131</v>
      </c>
      <c r="O4518" s="2">
        <f ca="1"/>
        <v>0.4781940243190605</v>
      </c>
      <c r="X4518" s="2">
        <f ca="1"/>
        <v>24.158320255841829</v>
      </c>
      <c r="AG4518" s="2">
        <f ca="1"/>
        <v>0.23574584046979097</v>
      </c>
      <c r="AH4518" s="2" t="str">
        <f ca="1"/>
        <v>OK</v>
      </c>
    </row>
    <row r="4519" spans="2:34">
      <c r="B4519" s="2">
        <f ca="1"/>
        <v>0.10467786885669783</v>
      </c>
      <c r="O4519" s="2">
        <f ca="1"/>
        <v>-0.10045673560504394</v>
      </c>
      <c r="X4519" s="2">
        <f ca="1"/>
        <v>76.333832347506572</v>
      </c>
      <c r="AG4519" s="2">
        <f ca="1"/>
        <v>0.51733646979372572</v>
      </c>
      <c r="AH4519" s="2" t="str">
        <f ca="1"/>
        <v>Bad</v>
      </c>
    </row>
    <row r="4520" spans="2:34">
      <c r="B4520" s="2">
        <f ca="1"/>
        <v>2.7531597477838954E-3</v>
      </c>
      <c r="O4520" s="2">
        <f ca="1"/>
        <v>0.51249810091633086</v>
      </c>
      <c r="X4520" s="2">
        <f ca="1"/>
        <v>54.075762323594674</v>
      </c>
      <c r="AG4520" s="2">
        <f ca="1"/>
        <v>0.13931163157701354</v>
      </c>
      <c r="AH4520" s="2" t="str">
        <f ca="1"/>
        <v>OK</v>
      </c>
    </row>
    <row r="4521" spans="2:34">
      <c r="B4521" s="2">
        <f ca="1"/>
        <v>9.0082608867207536E-2</v>
      </c>
      <c r="O4521" s="2">
        <f ca="1"/>
        <v>-0.1579220208433301</v>
      </c>
      <c r="X4521" s="2">
        <f ca="1"/>
        <v>41.927325057883351</v>
      </c>
      <c r="AG4521" s="2">
        <f ca="1"/>
        <v>0.58730643742644362</v>
      </c>
      <c r="AH4521" s="2" t="str">
        <f ca="1"/>
        <v>Bad</v>
      </c>
    </row>
    <row r="4522" spans="2:34">
      <c r="B4522" s="2">
        <f ca="1"/>
        <v>0.49160905883156536</v>
      </c>
      <c r="O4522" s="2">
        <f ca="1"/>
        <v>0.49447264214500286</v>
      </c>
      <c r="X4522" s="2">
        <f ca="1"/>
        <v>30.384237507371598</v>
      </c>
      <c r="AG4522" s="2">
        <f ca="1"/>
        <v>0.40692633757039953</v>
      </c>
      <c r="AH4522" s="2" t="str">
        <f ca="1"/>
        <v>Bad</v>
      </c>
    </row>
    <row r="4523" spans="2:34">
      <c r="B4523" s="2">
        <f ca="1"/>
        <v>0.11224188414611658</v>
      </c>
      <c r="O4523" s="2">
        <f ca="1"/>
        <v>2.4137751236621172</v>
      </c>
      <c r="X4523" s="2">
        <f ca="1"/>
        <v>47.201726583792023</v>
      </c>
      <c r="AG4523" s="2">
        <f ca="1"/>
        <v>0.27865234144022111</v>
      </c>
      <c r="AH4523" s="2" t="str">
        <f ca="1"/>
        <v>OK</v>
      </c>
    </row>
    <row r="4524" spans="2:34">
      <c r="B4524" s="2">
        <f ca="1"/>
        <v>0.27159071756428288</v>
      </c>
      <c r="O4524" s="2">
        <f ca="1"/>
        <v>0.14336594847976669</v>
      </c>
      <c r="X4524" s="2">
        <f ca="1"/>
        <v>48.020627495454434</v>
      </c>
      <c r="AG4524" s="2">
        <f ca="1"/>
        <v>0.47810177527979913</v>
      </c>
      <c r="AH4524" s="2" t="str">
        <f ca="1"/>
        <v>Bad</v>
      </c>
    </row>
    <row r="4525" spans="2:34">
      <c r="B4525" s="2">
        <f ca="1"/>
        <v>4.9545000870655276E-2</v>
      </c>
      <c r="O4525" s="2">
        <f ca="1"/>
        <v>0.26002676041941769</v>
      </c>
      <c r="X4525" s="2">
        <f ca="1"/>
        <v>38.759335085980439</v>
      </c>
      <c r="AG4525" s="2">
        <f ca="1"/>
        <v>0.48220803913120203</v>
      </c>
      <c r="AH4525" s="2" t="str">
        <f ca="1"/>
        <v>Bad</v>
      </c>
    </row>
    <row r="4526" spans="2:34">
      <c r="B4526" s="2">
        <f ca="1"/>
        <v>0.49834952745336913</v>
      </c>
      <c r="O4526" s="2">
        <f ca="1"/>
        <v>-0.98815988857829096</v>
      </c>
      <c r="X4526" s="2">
        <f ca="1"/>
        <v>74.107245529221046</v>
      </c>
      <c r="AG4526" s="2">
        <f ca="1"/>
        <v>0.46354802463194389</v>
      </c>
      <c r="AH4526" s="2" t="str">
        <f ca="1"/>
        <v>Bad</v>
      </c>
    </row>
    <row r="4527" spans="2:34">
      <c r="B4527" s="2">
        <f ca="1"/>
        <v>0.2610316160223134</v>
      </c>
      <c r="O4527" s="2">
        <f ca="1"/>
        <v>-2.4408404314902086</v>
      </c>
      <c r="X4527" s="2">
        <f ca="1"/>
        <v>20.879059419800502</v>
      </c>
      <c r="AG4527" s="2">
        <f ca="1"/>
        <v>0.33366577822088384</v>
      </c>
      <c r="AH4527" s="2" t="str">
        <f ca="1"/>
        <v>OK</v>
      </c>
    </row>
    <row r="4528" spans="2:34">
      <c r="B4528" s="2">
        <f ca="1"/>
        <v>0.2956622805900333</v>
      </c>
      <c r="O4528" s="2">
        <f ca="1"/>
        <v>2.3616498687958638E-2</v>
      </c>
      <c r="X4528" s="2">
        <f ca="1"/>
        <v>74.905100786151294</v>
      </c>
      <c r="AG4528" s="2">
        <f ca="1"/>
        <v>0.61641267881336703</v>
      </c>
      <c r="AH4528" s="2" t="str">
        <f ca="1"/>
        <v>Bad</v>
      </c>
    </row>
    <row r="4529" spans="2:34">
      <c r="B4529" s="2">
        <f ca="1"/>
        <v>0.84927217392698484</v>
      </c>
      <c r="O4529" s="2">
        <f ca="1"/>
        <v>1.5370231341163418</v>
      </c>
      <c r="X4529" s="2">
        <f ca="1"/>
        <v>65.533821161421713</v>
      </c>
      <c r="AG4529" s="2">
        <f ca="1"/>
        <v>1.4905581378085397E-2</v>
      </c>
      <c r="AH4529" s="2" t="str">
        <f ca="1"/>
        <v>Good</v>
      </c>
    </row>
    <row r="4530" spans="2:34">
      <c r="B4530" s="2">
        <f ca="1"/>
        <v>0.92392750738817386</v>
      </c>
      <c r="O4530" s="2">
        <f ca="1"/>
        <v>-0.85368994972776879</v>
      </c>
      <c r="X4530" s="2">
        <f ca="1"/>
        <v>65.443554394043147</v>
      </c>
      <c r="AG4530" s="2">
        <f ca="1"/>
        <v>0.57976519043135122</v>
      </c>
      <c r="AH4530" s="2" t="str">
        <f ca="1"/>
        <v>Bad</v>
      </c>
    </row>
    <row r="4531" spans="2:34">
      <c r="B4531" s="2">
        <f ca="1"/>
        <v>0.88349647864451941</v>
      </c>
      <c r="O4531" s="2">
        <f ca="1"/>
        <v>0.28185931455402641</v>
      </c>
      <c r="X4531" s="2">
        <f ca="1"/>
        <v>44.669702970501206</v>
      </c>
      <c r="AG4531" s="2">
        <f ca="1"/>
        <v>5.1553356529370875E-2</v>
      </c>
      <c r="AH4531" s="2" t="str">
        <f ca="1"/>
        <v>OK</v>
      </c>
    </row>
    <row r="4532" spans="2:34">
      <c r="B4532" s="2">
        <f ca="1"/>
        <v>0.71039776915992792</v>
      </c>
      <c r="O4532" s="2">
        <f ca="1"/>
        <v>-0.31781713153371655</v>
      </c>
      <c r="X4532" s="2">
        <f ca="1"/>
        <v>42.016546500336148</v>
      </c>
      <c r="AG4532" s="2">
        <f ca="1"/>
        <v>3.2798084902853741E-2</v>
      </c>
      <c r="AH4532" s="2" t="str">
        <f ca="1"/>
        <v>Good</v>
      </c>
    </row>
    <row r="4533" spans="2:34">
      <c r="B4533" s="2">
        <f ca="1"/>
        <v>0.33746813609853787</v>
      </c>
      <c r="O4533" s="2">
        <f ca="1"/>
        <v>0.27321374863376402</v>
      </c>
      <c r="X4533" s="2">
        <f ca="1"/>
        <v>63.125733051929927</v>
      </c>
      <c r="AG4533" s="2">
        <f ca="1"/>
        <v>2.5239447010969585E-2</v>
      </c>
      <c r="AH4533" s="2" t="str">
        <f ca="1"/>
        <v>Good</v>
      </c>
    </row>
    <row r="4534" spans="2:34">
      <c r="B4534" s="2">
        <f ca="1"/>
        <v>0.96052259179055888</v>
      </c>
      <c r="O4534" s="2">
        <f ca="1"/>
        <v>-1.0271545660415917</v>
      </c>
      <c r="X4534" s="2">
        <f ca="1"/>
        <v>53.042363212470661</v>
      </c>
      <c r="AG4534" s="2">
        <f ca="1"/>
        <v>0.97012805394532009</v>
      </c>
      <c r="AH4534" s="2" t="str">
        <f ca="1"/>
        <v>Bad</v>
      </c>
    </row>
    <row r="4535" spans="2:34">
      <c r="B4535" s="2">
        <f ca="1"/>
        <v>0.13641320372190857</v>
      </c>
      <c r="O4535" s="2">
        <f ca="1"/>
        <v>-9.1513729237371916E-2</v>
      </c>
      <c r="X4535" s="2">
        <f ca="1"/>
        <v>79.792273624912767</v>
      </c>
      <c r="AG4535" s="2">
        <f ca="1"/>
        <v>0.65968330108262663</v>
      </c>
      <c r="AH4535" s="2" t="str">
        <f ca="1"/>
        <v>Bad</v>
      </c>
    </row>
    <row r="4536" spans="2:34">
      <c r="B4536" s="2">
        <f ca="1"/>
        <v>2.2446390145445916E-2</v>
      </c>
      <c r="O4536" s="2">
        <f ca="1"/>
        <v>1.8705270616944523</v>
      </c>
      <c r="X4536" s="2">
        <f ca="1"/>
        <v>60.576850290240586</v>
      </c>
      <c r="AG4536" s="2">
        <f ca="1"/>
        <v>0.60064060936650843</v>
      </c>
      <c r="AH4536" s="2" t="str">
        <f ca="1"/>
        <v>Bad</v>
      </c>
    </row>
    <row r="4537" spans="2:34">
      <c r="B4537" s="2">
        <f ca="1"/>
        <v>0.12957784431643482</v>
      </c>
      <c r="O4537" s="2">
        <f ca="1"/>
        <v>0.76509239897668579</v>
      </c>
      <c r="X4537" s="2">
        <f ca="1"/>
        <v>83.160536477952448</v>
      </c>
      <c r="AG4537" s="2">
        <f ca="1"/>
        <v>0.40257023249178836</v>
      </c>
      <c r="AH4537" s="2" t="str">
        <f ca="1"/>
        <v>Bad</v>
      </c>
    </row>
    <row r="4538" spans="2:34">
      <c r="B4538" s="2">
        <f ca="1"/>
        <v>0.91610303846202545</v>
      </c>
      <c r="O4538" s="2">
        <f ca="1"/>
        <v>-0.51252898194837038</v>
      </c>
      <c r="X4538" s="2">
        <f ca="1"/>
        <v>30.414570653673639</v>
      </c>
      <c r="AG4538" s="2">
        <f ca="1"/>
        <v>0.89652650320560801</v>
      </c>
      <c r="AH4538" s="2" t="str">
        <f ca="1"/>
        <v>Bad</v>
      </c>
    </row>
    <row r="4539" spans="2:34">
      <c r="B4539" s="2">
        <f ca="1"/>
        <v>0.35930839639553991</v>
      </c>
      <c r="O4539" s="2">
        <f ca="1"/>
        <v>-0.71431706597026456</v>
      </c>
      <c r="X4539" s="2">
        <f ca="1"/>
        <v>69.574510624625901</v>
      </c>
      <c r="AG4539" s="2">
        <f ca="1"/>
        <v>0.7046160950700644</v>
      </c>
      <c r="AH4539" s="2" t="str">
        <f ca="1"/>
        <v>Bad</v>
      </c>
    </row>
    <row r="4540" spans="2:34">
      <c r="B4540" s="2">
        <f ca="1"/>
        <v>0.20197784238728889</v>
      </c>
      <c r="O4540" s="2">
        <f ca="1"/>
        <v>4.6013836078410914E-3</v>
      </c>
      <c r="X4540" s="2">
        <f ca="1"/>
        <v>37.753379162906391</v>
      </c>
      <c r="AG4540" s="2">
        <f ca="1"/>
        <v>0.57896175486991353</v>
      </c>
      <c r="AH4540" s="2" t="str">
        <f ca="1"/>
        <v>Bad</v>
      </c>
    </row>
    <row r="4541" spans="2:34">
      <c r="B4541" s="2">
        <f ca="1"/>
        <v>0.63035103525613478</v>
      </c>
      <c r="O4541" s="2">
        <f ca="1"/>
        <v>-0.89902896036787272</v>
      </c>
      <c r="X4541" s="2">
        <f ca="1"/>
        <v>48.493139040663628</v>
      </c>
      <c r="AG4541" s="2">
        <f ca="1"/>
        <v>0.23699319625922777</v>
      </c>
      <c r="AH4541" s="2" t="str">
        <f ca="1"/>
        <v>OK</v>
      </c>
    </row>
    <row r="4542" spans="2:34">
      <c r="B4542" s="2">
        <f ca="1"/>
        <v>0.99655841743354001</v>
      </c>
      <c r="O4542" s="2">
        <f ca="1"/>
        <v>0.69416675339855494</v>
      </c>
      <c r="X4542" s="2">
        <f ca="1"/>
        <v>30.998892987760478</v>
      </c>
      <c r="AG4542" s="2">
        <f ca="1"/>
        <v>0.6222148392283986</v>
      </c>
      <c r="AH4542" s="2" t="str">
        <f ca="1"/>
        <v>Bad</v>
      </c>
    </row>
    <row r="4543" spans="2:34">
      <c r="B4543" s="2">
        <f ca="1"/>
        <v>0.21619141340216985</v>
      </c>
      <c r="O4543" s="2">
        <f ca="1"/>
        <v>0.63654336342370399</v>
      </c>
      <c r="X4543" s="2">
        <f ca="1"/>
        <v>38.397944248094802</v>
      </c>
      <c r="AG4543" s="2">
        <f ca="1"/>
        <v>0.88915787409096647</v>
      </c>
      <c r="AH4543" s="2" t="str">
        <f ca="1"/>
        <v>Bad</v>
      </c>
    </row>
    <row r="4544" spans="2:34">
      <c r="B4544" s="2">
        <f ca="1"/>
        <v>0.20474973204492697</v>
      </c>
      <c r="O4544" s="2">
        <f ca="1"/>
        <v>1.114147101833731</v>
      </c>
      <c r="X4544" s="2">
        <f ca="1"/>
        <v>36.418370829815089</v>
      </c>
      <c r="AG4544" s="2">
        <f ca="1"/>
        <v>0.18508807301284791</v>
      </c>
      <c r="AH4544" s="2" t="str">
        <f ca="1"/>
        <v>OK</v>
      </c>
    </row>
    <row r="4545" spans="2:34">
      <c r="B4545" s="2">
        <f ca="1"/>
        <v>0.35977835618458709</v>
      </c>
      <c r="O4545" s="2">
        <f ca="1"/>
        <v>-0.23104861812371402</v>
      </c>
      <c r="X4545" s="2">
        <f ca="1"/>
        <v>70.981585110738493</v>
      </c>
      <c r="AG4545" s="2">
        <f ca="1"/>
        <v>0.57184791571213522</v>
      </c>
      <c r="AH4545" s="2" t="str">
        <f ca="1"/>
        <v>Bad</v>
      </c>
    </row>
    <row r="4546" spans="2:34">
      <c r="B4546" s="2">
        <f ca="1"/>
        <v>0.39021202606891014</v>
      </c>
      <c r="O4546" s="2">
        <f ca="1"/>
        <v>-0.38377606692170269</v>
      </c>
      <c r="X4546" s="2">
        <f ca="1"/>
        <v>49.525242439607958</v>
      </c>
      <c r="AG4546" s="2">
        <f ca="1"/>
        <v>0.13386412336381914</v>
      </c>
      <c r="AH4546" s="2" t="str">
        <f ca="1"/>
        <v>OK</v>
      </c>
    </row>
    <row r="4547" spans="2:34">
      <c r="B4547" s="2">
        <f ca="1"/>
        <v>0.6793710565843214</v>
      </c>
      <c r="O4547" s="2">
        <f ca="1"/>
        <v>0.33236910983962187</v>
      </c>
      <c r="X4547" s="2">
        <f ca="1"/>
        <v>50.165338201376308</v>
      </c>
      <c r="AG4547" s="2">
        <f ca="1"/>
        <v>0.68395324386247691</v>
      </c>
      <c r="AH4547" s="2" t="str">
        <f ca="1"/>
        <v>Bad</v>
      </c>
    </row>
    <row r="4548" spans="2:34">
      <c r="B4548" s="2">
        <f ca="1"/>
        <v>0.51997260020857006</v>
      </c>
      <c r="O4548" s="2">
        <f ca="1"/>
        <v>-0.89910394511430591</v>
      </c>
      <c r="X4548" s="2">
        <f ca="1"/>
        <v>58.577712668502578</v>
      </c>
      <c r="AG4548" s="2">
        <f ca="1"/>
        <v>0.53094948072038783</v>
      </c>
      <c r="AH4548" s="2" t="str">
        <f ca="1"/>
        <v>Bad</v>
      </c>
    </row>
    <row r="4549" spans="2:34">
      <c r="B4549" s="2">
        <f ca="1"/>
        <v>0.31463863111998713</v>
      </c>
      <c r="O4549" s="2">
        <f ca="1"/>
        <v>-0.88164919773031314</v>
      </c>
      <c r="X4549" s="2">
        <f ca="1"/>
        <v>35.140654343913639</v>
      </c>
      <c r="AG4549" s="2">
        <f ca="1"/>
        <v>0.43410661849981191</v>
      </c>
      <c r="AH4549" s="2" t="str">
        <f ca="1"/>
        <v>Bad</v>
      </c>
    </row>
    <row r="4550" spans="2:34">
      <c r="B4550" s="2">
        <f ca="1"/>
        <v>0.51813151295692972</v>
      </c>
      <c r="O4550" s="2">
        <f ca="1"/>
        <v>0.53509350986892157</v>
      </c>
      <c r="X4550" s="2">
        <f ca="1"/>
        <v>49.401677316509122</v>
      </c>
      <c r="AG4550" s="2">
        <f ca="1"/>
        <v>0.70779411023386096</v>
      </c>
      <c r="AH4550" s="2" t="str">
        <f ca="1"/>
        <v>Bad</v>
      </c>
    </row>
    <row r="4551" spans="2:34">
      <c r="B4551" s="2">
        <f ca="1"/>
        <v>0.32267699505026903</v>
      </c>
      <c r="O4551" s="2">
        <f ca="1"/>
        <v>-0.66632384538380618</v>
      </c>
      <c r="X4551" s="2">
        <f ca="1"/>
        <v>41.472109646204736</v>
      </c>
      <c r="AG4551" s="2">
        <f ca="1"/>
        <v>0.76881701541639003</v>
      </c>
      <c r="AH4551" s="2" t="str">
        <f ca="1"/>
        <v>Bad</v>
      </c>
    </row>
    <row r="4552" spans="2:34">
      <c r="B4552" s="2">
        <f ca="1"/>
        <v>0.92035065536579941</v>
      </c>
      <c r="O4552" s="2">
        <f ca="1"/>
        <v>-2.7562718406833673</v>
      </c>
      <c r="X4552" s="2">
        <f ca="1"/>
        <v>50.336356573358756</v>
      </c>
      <c r="AG4552" s="2">
        <f ca="1"/>
        <v>0.24416747328271304</v>
      </c>
      <c r="AH4552" s="2" t="str">
        <f ca="1"/>
        <v>OK</v>
      </c>
    </row>
    <row r="4553" spans="2:34">
      <c r="B4553" s="2">
        <f ca="1"/>
        <v>5.3846308852451452E-2</v>
      </c>
      <c r="O4553" s="2">
        <f ca="1"/>
        <v>0.61237135434828327</v>
      </c>
      <c r="X4553" s="2">
        <f ca="1"/>
        <v>36.737090249354473</v>
      </c>
      <c r="AG4553" s="2">
        <f ca="1"/>
        <v>0.57588173846305502</v>
      </c>
      <c r="AH4553" s="2" t="str">
        <f ca="1"/>
        <v>Bad</v>
      </c>
    </row>
    <row r="4554" spans="2:34">
      <c r="B4554" s="2">
        <f ca="1"/>
        <v>0.79512572521835145</v>
      </c>
      <c r="O4554" s="2">
        <f ca="1"/>
        <v>0.88357616901144231</v>
      </c>
      <c r="X4554" s="2">
        <f ca="1"/>
        <v>56.385531333879875</v>
      </c>
      <c r="AG4554" s="2">
        <f ca="1"/>
        <v>0.87843074445671587</v>
      </c>
      <c r="AH4554" s="2" t="str">
        <f ca="1"/>
        <v>Bad</v>
      </c>
    </row>
    <row r="4555" spans="2:34">
      <c r="B4555" s="2">
        <f ca="1"/>
        <v>0.93970750829377425</v>
      </c>
      <c r="O4555" s="2">
        <f ca="1"/>
        <v>-0.51588550443442871</v>
      </c>
      <c r="X4555" s="2">
        <f ca="1"/>
        <v>51.908176749154464</v>
      </c>
      <c r="AG4555" s="2">
        <f ca="1"/>
        <v>0.21815983905356817</v>
      </c>
      <c r="AH4555" s="2" t="str">
        <f ca="1"/>
        <v>OK</v>
      </c>
    </row>
    <row r="4556" spans="2:34">
      <c r="B4556" s="2">
        <f ca="1"/>
        <v>0.70973121998987798</v>
      </c>
      <c r="O4556" s="2">
        <f ca="1"/>
        <v>4.8732845193618486E-2</v>
      </c>
      <c r="X4556" s="2">
        <f ca="1"/>
        <v>69.06149938113002</v>
      </c>
      <c r="AG4556" s="2">
        <f ca="1"/>
        <v>0.81603730949471753</v>
      </c>
      <c r="AH4556" s="2" t="str">
        <f ca="1"/>
        <v>Bad</v>
      </c>
    </row>
    <row r="4557" spans="2:34">
      <c r="B4557" s="2">
        <f ca="1"/>
        <v>0.24977538600296989</v>
      </c>
      <c r="O4557" s="2">
        <f ca="1"/>
        <v>0.42116152687268094</v>
      </c>
      <c r="X4557" s="2">
        <f ca="1"/>
        <v>60.108317185205813</v>
      </c>
      <c r="AG4557" s="2">
        <f ca="1"/>
        <v>0.97702370949731754</v>
      </c>
      <c r="AH4557" s="2" t="str">
        <f ca="1"/>
        <v>Bad</v>
      </c>
    </row>
    <row r="4558" spans="2:34">
      <c r="B4558" s="2">
        <f ca="1"/>
        <v>0.84769379083507035</v>
      </c>
      <c r="O4558" s="2">
        <f ca="1"/>
        <v>0.31567841816503867</v>
      </c>
      <c r="X4558" s="2">
        <f ca="1"/>
        <v>47.921908474512243</v>
      </c>
      <c r="AG4558" s="2">
        <f ca="1"/>
        <v>0.2779794567270335</v>
      </c>
      <c r="AH4558" s="2" t="str">
        <f ca="1"/>
        <v>OK</v>
      </c>
    </row>
    <row r="4559" spans="2:34">
      <c r="B4559" s="2">
        <f ca="1"/>
        <v>0.90570889841265667</v>
      </c>
      <c r="O4559" s="2">
        <f ca="1"/>
        <v>1.3070251548422986</v>
      </c>
      <c r="X4559" s="2">
        <f ca="1"/>
        <v>38.096636856173568</v>
      </c>
      <c r="AG4559" s="2">
        <f ca="1"/>
        <v>0.49437485437716888</v>
      </c>
      <c r="AH4559" s="2" t="str">
        <f ca="1"/>
        <v>Bad</v>
      </c>
    </row>
    <row r="4560" spans="2:34">
      <c r="B4560" s="2">
        <f ca="1"/>
        <v>0.81453823020684335</v>
      </c>
      <c r="O4560" s="2">
        <f ca="1"/>
        <v>0.28237446120074311</v>
      </c>
      <c r="X4560" s="2">
        <f ca="1"/>
        <v>56.655085080702108</v>
      </c>
      <c r="AG4560" s="2">
        <f ca="1"/>
        <v>0.6224355934421999</v>
      </c>
      <c r="AH4560" s="2" t="str">
        <f ca="1"/>
        <v>Bad</v>
      </c>
    </row>
    <row r="4561" spans="2:34">
      <c r="B4561" s="2">
        <f ca="1"/>
        <v>0.28637238557562528</v>
      </c>
      <c r="O4561" s="2">
        <f ca="1"/>
        <v>1.8383026692292255</v>
      </c>
      <c r="X4561" s="2">
        <f ca="1"/>
        <v>31.086734541325342</v>
      </c>
      <c r="AG4561" s="2">
        <f ca="1"/>
        <v>0.60644074032067463</v>
      </c>
      <c r="AH4561" s="2" t="str">
        <f ca="1"/>
        <v>Bad</v>
      </c>
    </row>
    <row r="4562" spans="2:34">
      <c r="B4562" s="2">
        <f ca="1"/>
        <v>0.78017845022296006</v>
      </c>
      <c r="O4562" s="2">
        <f ca="1"/>
        <v>0.77412037061777561</v>
      </c>
      <c r="X4562" s="2">
        <f ca="1"/>
        <v>60.364877766233349</v>
      </c>
      <c r="AG4562" s="2">
        <f ca="1"/>
        <v>0.70198948051712318</v>
      </c>
      <c r="AH4562" s="2" t="str">
        <f ca="1"/>
        <v>Bad</v>
      </c>
    </row>
    <row r="4563" spans="2:34">
      <c r="B4563" s="2">
        <f ca="1"/>
        <v>0.97718401041594571</v>
      </c>
      <c r="O4563" s="2">
        <f ca="1"/>
        <v>0.97401025731699986</v>
      </c>
      <c r="X4563" s="2">
        <f ca="1"/>
        <v>46.847530226496836</v>
      </c>
      <c r="AG4563" s="2">
        <f ca="1"/>
        <v>0.32676562440887813</v>
      </c>
      <c r="AH4563" s="2" t="str">
        <f ca="1"/>
        <v>OK</v>
      </c>
    </row>
    <row r="4564" spans="2:34">
      <c r="B4564" s="2">
        <f ca="1"/>
        <v>0.10491341392610298</v>
      </c>
      <c r="O4564" s="2">
        <f ca="1"/>
        <v>0.21715945252863461</v>
      </c>
      <c r="X4564" s="2">
        <f ca="1"/>
        <v>45.490395576353833</v>
      </c>
      <c r="AG4564" s="2">
        <f ca="1"/>
        <v>0.17822802335478638</v>
      </c>
      <c r="AH4564" s="2" t="str">
        <f ca="1"/>
        <v>OK</v>
      </c>
    </row>
    <row r="4565" spans="2:34">
      <c r="B4565" s="2">
        <f ca="1"/>
        <v>1.9748832957814821E-2</v>
      </c>
      <c r="O4565" s="2">
        <f ca="1"/>
        <v>0.15835509840390538</v>
      </c>
      <c r="X4565" s="2">
        <f ca="1"/>
        <v>28.285619741767341</v>
      </c>
      <c r="AG4565" s="2">
        <f ca="1"/>
        <v>0.81775923508586934</v>
      </c>
      <c r="AH4565" s="2" t="str">
        <f ca="1"/>
        <v>Bad</v>
      </c>
    </row>
    <row r="4566" spans="2:34">
      <c r="B4566" s="2">
        <f ca="1"/>
        <v>0.88761728133430329</v>
      </c>
      <c r="O4566" s="2">
        <f ca="1"/>
        <v>-0.82451508759612324</v>
      </c>
      <c r="X4566" s="2">
        <f ca="1"/>
        <v>66.653494333892041</v>
      </c>
      <c r="AG4566" s="2">
        <f ca="1"/>
        <v>0.97050051019410799</v>
      </c>
      <c r="AH4566" s="2" t="str">
        <f ca="1"/>
        <v>Bad</v>
      </c>
    </row>
    <row r="4567" spans="2:34">
      <c r="B4567" s="2">
        <f ca="1"/>
        <v>0.37268484540931612</v>
      </c>
      <c r="O4567" s="2">
        <f ca="1"/>
        <v>-1.1328922653389566</v>
      </c>
      <c r="X4567" s="2">
        <f ca="1"/>
        <v>69.242611152967228</v>
      </c>
      <c r="AG4567" s="2">
        <f ca="1"/>
        <v>5.1406325415564336E-2</v>
      </c>
      <c r="AH4567" s="2" t="str">
        <f ca="1"/>
        <v>OK</v>
      </c>
    </row>
    <row r="4568" spans="2:34">
      <c r="B4568" s="2">
        <f ca="1"/>
        <v>0.42832242981864033</v>
      </c>
      <c r="O4568" s="2">
        <f ca="1"/>
        <v>1.7101740395868728</v>
      </c>
      <c r="X4568" s="2">
        <f ca="1"/>
        <v>43.393143094968352</v>
      </c>
      <c r="AG4568" s="2">
        <f ca="1"/>
        <v>4.757345913442057E-2</v>
      </c>
      <c r="AH4568" s="2" t="str">
        <f ca="1"/>
        <v>Good</v>
      </c>
    </row>
    <row r="4569" spans="2:34">
      <c r="B4569" s="2">
        <f ca="1"/>
        <v>0.31573407498693729</v>
      </c>
      <c r="O4569" s="2">
        <f ca="1"/>
        <v>-0.60124218774921023</v>
      </c>
      <c r="X4569" s="2">
        <f ca="1"/>
        <v>35.801571566553683</v>
      </c>
      <c r="AG4569" s="2">
        <f ca="1"/>
        <v>8.6566120093673815E-2</v>
      </c>
      <c r="AH4569" s="2" t="str">
        <f ca="1"/>
        <v>OK</v>
      </c>
    </row>
    <row r="4570" spans="2:34">
      <c r="B4570" s="2">
        <f ca="1"/>
        <v>0.53888042633532995</v>
      </c>
      <c r="O4570" s="2">
        <f ca="1"/>
        <v>-0.63756880710776209</v>
      </c>
      <c r="X4570" s="2">
        <f ca="1"/>
        <v>45.585631767876968</v>
      </c>
      <c r="AG4570" s="2">
        <f ca="1"/>
        <v>6.6351373242329093E-2</v>
      </c>
      <c r="AH4570" s="2" t="str">
        <f ca="1"/>
        <v>OK</v>
      </c>
    </row>
    <row r="4571" spans="2:34">
      <c r="B4571" s="2">
        <f ca="1"/>
        <v>0.65967768824410533</v>
      </c>
      <c r="O4571" s="2">
        <f ca="1"/>
        <v>0.6089418103890305</v>
      </c>
      <c r="X4571" s="2">
        <f ca="1"/>
        <v>39.392320139482642</v>
      </c>
      <c r="AG4571" s="2">
        <f ca="1"/>
        <v>0.82379941988396466</v>
      </c>
      <c r="AH4571" s="2" t="str">
        <f ca="1"/>
        <v>Bad</v>
      </c>
    </row>
    <row r="4572" spans="2:34">
      <c r="B4572" s="2">
        <f ca="1"/>
        <v>0.19321252095280617</v>
      </c>
      <c r="O4572" s="2">
        <f ca="1"/>
        <v>-1.8502505217801966</v>
      </c>
      <c r="X4572" s="2">
        <f ca="1"/>
        <v>54.815256507134336</v>
      </c>
      <c r="AG4572" s="2">
        <f ca="1"/>
        <v>0.15810730197506007</v>
      </c>
      <c r="AH4572" s="2" t="str">
        <f ca="1"/>
        <v>OK</v>
      </c>
    </row>
    <row r="4573" spans="2:34">
      <c r="B4573" s="2">
        <f ca="1"/>
        <v>0.42340898007387673</v>
      </c>
      <c r="O4573" s="2">
        <f ca="1"/>
        <v>0.94673396684116806</v>
      </c>
      <c r="X4573" s="2">
        <f ca="1"/>
        <v>27.665502083942293</v>
      </c>
      <c r="AG4573" s="2">
        <f ca="1"/>
        <v>0.8054527292898932</v>
      </c>
      <c r="AH4573" s="2" t="str">
        <f ca="1"/>
        <v>Bad</v>
      </c>
    </row>
    <row r="4574" spans="2:34">
      <c r="B4574" s="2">
        <f ca="1"/>
        <v>0.72977190292271499</v>
      </c>
      <c r="O4574" s="2">
        <f ca="1"/>
        <v>1.2775337872832779</v>
      </c>
      <c r="X4574" s="2">
        <f ca="1"/>
        <v>33.047637423206567</v>
      </c>
      <c r="AG4574" s="2">
        <f ca="1"/>
        <v>0.13715724252335626</v>
      </c>
      <c r="AH4574" s="2" t="str">
        <f ca="1"/>
        <v>OK</v>
      </c>
    </row>
    <row r="4575" spans="2:34">
      <c r="B4575" s="2">
        <f ca="1"/>
        <v>0.16363523747828546</v>
      </c>
      <c r="O4575" s="2">
        <f ca="1"/>
        <v>2.1950947534947485</v>
      </c>
      <c r="X4575" s="2">
        <f ca="1"/>
        <v>65.933419866161444</v>
      </c>
      <c r="AG4575" s="2">
        <f ca="1"/>
        <v>0.80556853697580832</v>
      </c>
      <c r="AH4575" s="2" t="str">
        <f ca="1"/>
        <v>Bad</v>
      </c>
    </row>
    <row r="4576" spans="2:34">
      <c r="B4576" s="2">
        <f ca="1"/>
        <v>3.1359489737678992E-2</v>
      </c>
      <c r="O4576" s="2">
        <f ca="1"/>
        <v>0.97698748446046979</v>
      </c>
      <c r="X4576" s="2">
        <f ca="1"/>
        <v>52.694073437435875</v>
      </c>
      <c r="AG4576" s="2">
        <f ca="1"/>
        <v>0.46679931447292611</v>
      </c>
      <c r="AH4576" s="2" t="str">
        <f ca="1"/>
        <v>Bad</v>
      </c>
    </row>
    <row r="4577" spans="2:34">
      <c r="B4577" s="2">
        <f ca="1"/>
        <v>8.2932956089363241E-2</v>
      </c>
      <c r="O4577" s="2">
        <f ca="1"/>
        <v>-1.020772169119295</v>
      </c>
      <c r="X4577" s="2">
        <f ca="1"/>
        <v>57.745235369455592</v>
      </c>
      <c r="AG4577" s="2">
        <f ca="1"/>
        <v>6.8291565083509642E-2</v>
      </c>
      <c r="AH4577" s="2" t="str">
        <f ca="1"/>
        <v>OK</v>
      </c>
    </row>
    <row r="4578" spans="2:34">
      <c r="B4578" s="2">
        <f ca="1"/>
        <v>0.80801814572908692</v>
      </c>
      <c r="O4578" s="2">
        <f ca="1"/>
        <v>-1.0408838497865327</v>
      </c>
      <c r="X4578" s="2">
        <f ca="1"/>
        <v>68.000714332672146</v>
      </c>
      <c r="AG4578" s="2">
        <f ca="1"/>
        <v>0.47220181657532478</v>
      </c>
      <c r="AH4578" s="2" t="str">
        <f ca="1"/>
        <v>Bad</v>
      </c>
    </row>
    <row r="4579" spans="2:34">
      <c r="B4579" s="2">
        <f ca="1"/>
        <v>2.2196192913070956E-3</v>
      </c>
      <c r="O4579" s="2">
        <f ca="1"/>
        <v>0.8720831785426052</v>
      </c>
      <c r="X4579" s="2">
        <f ca="1"/>
        <v>48.29522001515749</v>
      </c>
      <c r="AG4579" s="2">
        <f ca="1"/>
        <v>0.26612368861652702</v>
      </c>
      <c r="AH4579" s="2" t="str">
        <f ca="1"/>
        <v>OK</v>
      </c>
    </row>
    <row r="4580" spans="2:34">
      <c r="B4580" s="2">
        <f ca="1"/>
        <v>5.1048284271857369E-3</v>
      </c>
      <c r="O4580" s="2">
        <f ca="1"/>
        <v>8.4841244439671379E-2</v>
      </c>
      <c r="X4580" s="2">
        <f ca="1"/>
        <v>40.748160245104607</v>
      </c>
      <c r="AG4580" s="2">
        <f ca="1"/>
        <v>0.21933998812383848</v>
      </c>
      <c r="AH4580" s="2" t="str">
        <f ca="1"/>
        <v>OK</v>
      </c>
    </row>
    <row r="4581" spans="2:34">
      <c r="B4581" s="2">
        <f ca="1"/>
        <v>0.71606288607902413</v>
      </c>
      <c r="O4581" s="2">
        <f ca="1"/>
        <v>0.34035529999770059</v>
      </c>
      <c r="X4581" s="2">
        <f ca="1"/>
        <v>48.773836815421355</v>
      </c>
      <c r="AG4581" s="2">
        <f ca="1"/>
        <v>0.97430848111842505</v>
      </c>
      <c r="AH4581" s="2" t="str">
        <f ca="1"/>
        <v>Bad</v>
      </c>
    </row>
    <row r="4582" spans="2:34">
      <c r="B4582" s="2">
        <f ca="1"/>
        <v>2.9623584198640973E-2</v>
      </c>
      <c r="O4582" s="2">
        <f ca="1"/>
        <v>-0.52620332871505704</v>
      </c>
      <c r="X4582" s="2">
        <f ca="1"/>
        <v>57.008447153557007</v>
      </c>
      <c r="AG4582" s="2">
        <f ca="1"/>
        <v>0.43728340236861496</v>
      </c>
      <c r="AH4582" s="2" t="str">
        <f ca="1"/>
        <v>Bad</v>
      </c>
    </row>
    <row r="4583" spans="2:34">
      <c r="B4583" s="2">
        <f ca="1"/>
        <v>0.64421205401676218</v>
      </c>
      <c r="O4583" s="2">
        <f ca="1"/>
        <v>0.29240712629086668</v>
      </c>
      <c r="X4583" s="2">
        <f ca="1"/>
        <v>71.500524756850467</v>
      </c>
      <c r="AG4583" s="2">
        <f ca="1"/>
        <v>0.86806872857661399</v>
      </c>
      <c r="AH4583" s="2" t="str">
        <f ca="1"/>
        <v>Bad</v>
      </c>
    </row>
    <row r="4584" spans="2:34">
      <c r="B4584" s="2">
        <f ca="1"/>
        <v>0.96789491488252444</v>
      </c>
      <c r="O4584" s="2">
        <f ca="1"/>
        <v>-0.55656277460643588</v>
      </c>
      <c r="X4584" s="2">
        <f ca="1"/>
        <v>97.581223939083642</v>
      </c>
      <c r="AG4584" s="2">
        <f ca="1"/>
        <v>0.20253704008395235</v>
      </c>
      <c r="AH4584" s="2" t="str">
        <f ca="1"/>
        <v>OK</v>
      </c>
    </row>
    <row r="4585" spans="2:34">
      <c r="B4585" s="2">
        <f ca="1"/>
        <v>0.18196135769116428</v>
      </c>
      <c r="O4585" s="2">
        <f ca="1"/>
        <v>-1.3328764178109438</v>
      </c>
      <c r="X4585" s="2">
        <f ca="1"/>
        <v>45.110631179478709</v>
      </c>
      <c r="AG4585" s="2">
        <f ca="1"/>
        <v>0.69470741270760472</v>
      </c>
      <c r="AH4585" s="2" t="str">
        <f ca="1"/>
        <v>Bad</v>
      </c>
    </row>
    <row r="4586" spans="2:34">
      <c r="B4586" s="2">
        <f ca="1"/>
        <v>0.33741511870523322</v>
      </c>
      <c r="O4586" s="2">
        <f ca="1"/>
        <v>2.3762506475852261</v>
      </c>
      <c r="X4586" s="2">
        <f ca="1"/>
        <v>49.078082419549858</v>
      </c>
      <c r="AG4586" s="2">
        <f ca="1"/>
        <v>0.23868756431515803</v>
      </c>
      <c r="AH4586" s="2" t="str">
        <f ca="1"/>
        <v>OK</v>
      </c>
    </row>
    <row r="4587" spans="2:34">
      <c r="B4587" s="2">
        <f ca="1"/>
        <v>0.58458075994776171</v>
      </c>
      <c r="O4587" s="2">
        <f ca="1"/>
        <v>-0.12992553910569465</v>
      </c>
      <c r="X4587" s="2">
        <f ca="1"/>
        <v>98.787947317518231</v>
      </c>
      <c r="AG4587" s="2">
        <f ca="1"/>
        <v>0.76052437118906369</v>
      </c>
      <c r="AH4587" s="2" t="str">
        <f ca="1"/>
        <v>Bad</v>
      </c>
    </row>
    <row r="4588" spans="2:34">
      <c r="B4588" s="2">
        <f ca="1"/>
        <v>0.77606956170019314</v>
      </c>
      <c r="O4588" s="2">
        <f ca="1"/>
        <v>-1.7114263983584299</v>
      </c>
      <c r="X4588" s="2">
        <f ca="1"/>
        <v>52.966991743057847</v>
      </c>
      <c r="AG4588" s="2">
        <f ca="1"/>
        <v>0.77702199698214258</v>
      </c>
      <c r="AH4588" s="2" t="str">
        <f ca="1"/>
        <v>Bad</v>
      </c>
    </row>
    <row r="4589" spans="2:34">
      <c r="B4589" s="2">
        <f ca="1"/>
        <v>0.12394331400746195</v>
      </c>
      <c r="O4589" s="2">
        <f ca="1"/>
        <v>2.1775047249919797</v>
      </c>
      <c r="X4589" s="2">
        <f ca="1"/>
        <v>52.752938873678985</v>
      </c>
      <c r="AG4589" s="2">
        <f ca="1"/>
        <v>0.8936342940250932</v>
      </c>
      <c r="AH4589" s="2" t="str">
        <f ca="1"/>
        <v>Bad</v>
      </c>
    </row>
    <row r="4590" spans="2:34">
      <c r="B4590" s="2">
        <f ca="1"/>
        <v>0.58180053448921432</v>
      </c>
      <c r="O4590" s="2">
        <f ca="1"/>
        <v>0.79957846122470944</v>
      </c>
      <c r="X4590" s="2">
        <f ca="1"/>
        <v>46.725407509046448</v>
      </c>
      <c r="AG4590" s="2">
        <f ca="1"/>
        <v>0.76568431670578563</v>
      </c>
      <c r="AH4590" s="2" t="str">
        <f ca="1"/>
        <v>Bad</v>
      </c>
    </row>
    <row r="4591" spans="2:34">
      <c r="B4591" s="2">
        <f ca="1"/>
        <v>0.83869403965193823</v>
      </c>
      <c r="O4591" s="2">
        <f ca="1"/>
        <v>1.5064882774923105</v>
      </c>
      <c r="X4591" s="2">
        <f ca="1"/>
        <v>71.679062990997949</v>
      </c>
      <c r="AG4591" s="2">
        <f ca="1"/>
        <v>3.2380088861212464E-2</v>
      </c>
      <c r="AH4591" s="2" t="str">
        <f ca="1"/>
        <v>Good</v>
      </c>
    </row>
    <row r="4592" spans="2:34">
      <c r="B4592" s="2">
        <f ca="1"/>
        <v>0.82914543709990318</v>
      </c>
      <c r="O4592" s="2">
        <f ca="1"/>
        <v>-1.240032251494573</v>
      </c>
      <c r="X4592" s="2">
        <f ca="1"/>
        <v>46.070852375359628</v>
      </c>
      <c r="AG4592" s="2">
        <f ca="1"/>
        <v>0.90117633746115677</v>
      </c>
      <c r="AH4592" s="2" t="str">
        <f ca="1"/>
        <v>Bad</v>
      </c>
    </row>
    <row r="4593" spans="2:34">
      <c r="B4593" s="2">
        <f ca="1"/>
        <v>0.90575004354366251</v>
      </c>
      <c r="O4593" s="2">
        <f ca="1"/>
        <v>-1.4039049082681041</v>
      </c>
      <c r="X4593" s="2">
        <f ca="1"/>
        <v>49.920702910835011</v>
      </c>
      <c r="AG4593" s="2">
        <f ca="1"/>
        <v>0.93868847090676977</v>
      </c>
      <c r="AH4593" s="2" t="str">
        <f ca="1"/>
        <v>Bad</v>
      </c>
    </row>
    <row r="4594" spans="2:34">
      <c r="B4594" s="2">
        <f ca="1"/>
        <v>0.87770820438497266</v>
      </c>
      <c r="O4594" s="2">
        <f ca="1"/>
        <v>-7.3641511576247431E-2</v>
      </c>
      <c r="X4594" s="2">
        <f ca="1"/>
        <v>78.701994800023897</v>
      </c>
      <c r="AG4594" s="2">
        <f ca="1"/>
        <v>0.24941782921080269</v>
      </c>
      <c r="AH4594" s="2" t="str">
        <f ca="1"/>
        <v>OK</v>
      </c>
    </row>
    <row r="4595" spans="2:34">
      <c r="B4595" s="2">
        <f ca="1"/>
        <v>0.35309438281602334</v>
      </c>
      <c r="O4595" s="2">
        <f ca="1"/>
        <v>-0.84526434482680024</v>
      </c>
      <c r="X4595" s="2">
        <f ca="1"/>
        <v>33.65284708476225</v>
      </c>
      <c r="AG4595" s="2">
        <f ca="1"/>
        <v>0.71905375510192648</v>
      </c>
      <c r="AH4595" s="2" t="str">
        <f ca="1"/>
        <v>Bad</v>
      </c>
    </row>
    <row r="4596" spans="2:34">
      <c r="B4596" s="2">
        <f ca="1"/>
        <v>0.87761238169789269</v>
      </c>
      <c r="O4596" s="2">
        <f ca="1"/>
        <v>0.83528342270768996</v>
      </c>
      <c r="X4596" s="2">
        <f ca="1"/>
        <v>34.109866441369725</v>
      </c>
      <c r="AG4596" s="2">
        <f ca="1"/>
        <v>1.99078524937506E-2</v>
      </c>
      <c r="AH4596" s="2" t="str">
        <f ca="1"/>
        <v>Good</v>
      </c>
    </row>
    <row r="4597" spans="2:34">
      <c r="B4597" s="2">
        <f ca="1"/>
        <v>0.12120680570312481</v>
      </c>
      <c r="O4597" s="2">
        <f ca="1"/>
        <v>5.8533975178738859E-2</v>
      </c>
      <c r="X4597" s="2">
        <f ca="1"/>
        <v>29.938572131288108</v>
      </c>
      <c r="AG4597" s="2">
        <f ca="1"/>
        <v>0.25735891616541884</v>
      </c>
      <c r="AH4597" s="2" t="str">
        <f ca="1"/>
        <v>OK</v>
      </c>
    </row>
    <row r="4598" spans="2:34">
      <c r="B4598" s="2">
        <f ca="1"/>
        <v>0.52287358536050865</v>
      </c>
      <c r="O4598" s="2">
        <f ca="1"/>
        <v>-7.7003966560156165E-2</v>
      </c>
      <c r="X4598" s="2">
        <f ca="1"/>
        <v>50.334833024178572</v>
      </c>
      <c r="AG4598" s="2">
        <f ca="1"/>
        <v>0.81716530830895606</v>
      </c>
      <c r="AH4598" s="2" t="str">
        <f ca="1"/>
        <v>Bad</v>
      </c>
    </row>
    <row r="4599" spans="2:34">
      <c r="B4599" s="2">
        <f ca="1"/>
        <v>0.50913374567601966</v>
      </c>
      <c r="O4599" s="2">
        <f ca="1"/>
        <v>0.11115709924335876</v>
      </c>
      <c r="X4599" s="2">
        <f ca="1"/>
        <v>75.412510325270318</v>
      </c>
      <c r="AG4599" s="2">
        <f ca="1"/>
        <v>0.24098704272157367</v>
      </c>
      <c r="AH4599" s="2" t="str">
        <f ca="1"/>
        <v>OK</v>
      </c>
    </row>
    <row r="4600" spans="2:34">
      <c r="B4600" s="2">
        <f ca="1"/>
        <v>0.83770700695908107</v>
      </c>
      <c r="O4600" s="2">
        <f ca="1"/>
        <v>7.0583697986610558E-2</v>
      </c>
      <c r="X4600" s="2">
        <f ca="1"/>
        <v>41.441575869866355</v>
      </c>
      <c r="AG4600" s="2">
        <f ca="1"/>
        <v>0.61601009338507096</v>
      </c>
      <c r="AH4600" s="2" t="str">
        <f ca="1"/>
        <v>Bad</v>
      </c>
    </row>
    <row r="4601" spans="2:34">
      <c r="B4601" s="2">
        <f ca="1"/>
        <v>0.20500677763109332</v>
      </c>
      <c r="O4601" s="2">
        <f ca="1"/>
        <v>0.35602500068928589</v>
      </c>
      <c r="X4601" s="2">
        <f ca="1"/>
        <v>36.462249600150429</v>
      </c>
      <c r="AG4601" s="2">
        <f ca="1"/>
        <v>0.74592856396867857</v>
      </c>
      <c r="AH4601" s="2" t="str">
        <f ca="1"/>
        <v>Bad</v>
      </c>
    </row>
    <row r="4602" spans="2:34">
      <c r="B4602" s="2">
        <f ca="1"/>
        <v>0.7654052658702446</v>
      </c>
      <c r="O4602" s="2">
        <f ca="1"/>
        <v>0.81925677739525971</v>
      </c>
      <c r="X4602" s="2">
        <f ca="1"/>
        <v>53.762012735877285</v>
      </c>
      <c r="AG4602" s="2">
        <f ca="1"/>
        <v>3.4079262419900891E-2</v>
      </c>
      <c r="AH4602" s="2" t="str">
        <f ca="1"/>
        <v>Good</v>
      </c>
    </row>
    <row r="4603" spans="2:34">
      <c r="B4603" s="2">
        <f ca="1"/>
        <v>0.49415349751311588</v>
      </c>
      <c r="O4603" s="2">
        <f ca="1"/>
        <v>1.1042808095908916</v>
      </c>
      <c r="X4603" s="2">
        <f ca="1"/>
        <v>37.667002712070115</v>
      </c>
      <c r="AG4603" s="2">
        <f ca="1"/>
        <v>0.97723815920996882</v>
      </c>
      <c r="AH4603" s="2" t="str">
        <f ca="1"/>
        <v>Bad</v>
      </c>
    </row>
    <row r="4604" spans="2:34">
      <c r="B4604" s="2">
        <f ca="1"/>
        <v>0.89502928470047483</v>
      </c>
      <c r="O4604" s="2">
        <f ca="1"/>
        <v>-0.37878116072907392</v>
      </c>
      <c r="X4604" s="2">
        <f ca="1"/>
        <v>27.88773377795707</v>
      </c>
      <c r="AG4604" s="2">
        <f ca="1"/>
        <v>0.28845998834851527</v>
      </c>
      <c r="AH4604" s="2" t="str">
        <f ca="1"/>
        <v>OK</v>
      </c>
    </row>
    <row r="4605" spans="2:34">
      <c r="B4605" s="2">
        <f ca="1"/>
        <v>6.8077475703737456E-2</v>
      </c>
      <c r="O4605" s="2">
        <f ca="1"/>
        <v>0.52452261265511646</v>
      </c>
      <c r="X4605" s="2">
        <f ca="1"/>
        <v>59.903941300872148</v>
      </c>
      <c r="AG4605" s="2">
        <f ca="1"/>
        <v>1.9692385649483946E-2</v>
      </c>
      <c r="AH4605" s="2" t="str">
        <f ca="1"/>
        <v>Good</v>
      </c>
    </row>
    <row r="4606" spans="2:34">
      <c r="B4606" s="2">
        <f ca="1"/>
        <v>0.20327548971944398</v>
      </c>
      <c r="O4606" s="2">
        <f ca="1"/>
        <v>-0.15744907667360378</v>
      </c>
      <c r="X4606" s="2">
        <f ca="1"/>
        <v>36.800749263299195</v>
      </c>
      <c r="AG4606" s="2">
        <f ca="1"/>
        <v>0.95076300498613686</v>
      </c>
      <c r="AH4606" s="2" t="str">
        <f ca="1"/>
        <v>Bad</v>
      </c>
    </row>
    <row r="4607" spans="2:34">
      <c r="B4607" s="2">
        <f ca="1"/>
        <v>0.30978758204727241</v>
      </c>
      <c r="O4607" s="2">
        <f ca="1"/>
        <v>1.8469678922132862</v>
      </c>
      <c r="X4607" s="2">
        <f ca="1"/>
        <v>66.940392416639654</v>
      </c>
      <c r="AG4607" s="2">
        <f ca="1"/>
        <v>0.86819382918106669</v>
      </c>
      <c r="AH4607" s="2" t="str">
        <f ca="1"/>
        <v>Bad</v>
      </c>
    </row>
    <row r="4608" spans="2:34">
      <c r="B4608" s="2">
        <f ca="1"/>
        <v>0.58140026671790368</v>
      </c>
      <c r="O4608" s="2">
        <f ca="1"/>
        <v>1.6383440751752194</v>
      </c>
      <c r="X4608" s="2">
        <f ca="1"/>
        <v>39.545932948640072</v>
      </c>
      <c r="AG4608" s="2">
        <f ca="1"/>
        <v>0.65627697587332645</v>
      </c>
      <c r="AH4608" s="2" t="str">
        <f ca="1"/>
        <v>Bad</v>
      </c>
    </row>
    <row r="4609" spans="2:34">
      <c r="B4609" s="2">
        <f ca="1"/>
        <v>0.53699441603358666</v>
      </c>
      <c r="O4609" s="2">
        <f ca="1"/>
        <v>-0.51441891674784557</v>
      </c>
      <c r="X4609" s="2">
        <f ca="1"/>
        <v>76.071892197925294</v>
      </c>
      <c r="AG4609" s="2">
        <f ca="1"/>
        <v>0.53860661892519435</v>
      </c>
      <c r="AH4609" s="2" t="str">
        <f ca="1"/>
        <v>Bad</v>
      </c>
    </row>
    <row r="4610" spans="2:34">
      <c r="B4610" s="2">
        <f ca="1"/>
        <v>0.85561066227591431</v>
      </c>
      <c r="O4610" s="2">
        <f ca="1"/>
        <v>0.42613443045628252</v>
      </c>
      <c r="X4610" s="2">
        <f ca="1"/>
        <v>53.48259305980659</v>
      </c>
      <c r="AG4610" s="2">
        <f ca="1"/>
        <v>0.43116569487102718</v>
      </c>
      <c r="AH4610" s="2" t="str">
        <f ca="1"/>
        <v>Bad</v>
      </c>
    </row>
    <row r="4611" spans="2:34">
      <c r="B4611" s="2">
        <f ca="1"/>
        <v>0.65657973880895537</v>
      </c>
      <c r="O4611" s="2">
        <f ca="1"/>
        <v>-0.66096791041664471</v>
      </c>
      <c r="X4611" s="2">
        <f ca="1"/>
        <v>47.644279680790589</v>
      </c>
      <c r="AG4611" s="2">
        <f ca="1"/>
        <v>0.62087236223405817</v>
      </c>
      <c r="AH4611" s="2" t="str">
        <f ca="1"/>
        <v>Bad</v>
      </c>
    </row>
    <row r="4612" spans="2:34">
      <c r="B4612" s="2">
        <f ca="1"/>
        <v>8.2791378546620331E-2</v>
      </c>
      <c r="O4612" s="2">
        <f ca="1"/>
        <v>-8.8515120600998073E-2</v>
      </c>
      <c r="X4612" s="2">
        <f ca="1"/>
        <v>34.919344565294956</v>
      </c>
      <c r="AG4612" s="2">
        <f ca="1"/>
        <v>0.10042031428606935</v>
      </c>
      <c r="AH4612" s="2" t="str">
        <f ca="1"/>
        <v>OK</v>
      </c>
    </row>
    <row r="4613" spans="2:34">
      <c r="B4613" s="2">
        <f ca="1"/>
        <v>0.74123087176774671</v>
      </c>
      <c r="O4613" s="2">
        <f ca="1"/>
        <v>-0.42324770644563497</v>
      </c>
      <c r="X4613" s="2">
        <f ca="1"/>
        <v>26.579026909152464</v>
      </c>
      <c r="AG4613" s="2">
        <f ca="1"/>
        <v>0.14491305112106057</v>
      </c>
      <c r="AH4613" s="2" t="str">
        <f ca="1"/>
        <v>OK</v>
      </c>
    </row>
    <row r="4614" spans="2:34">
      <c r="B4614" s="2">
        <f ca="1"/>
        <v>0.38509672750435087</v>
      </c>
      <c r="O4614" s="2">
        <f ca="1"/>
        <v>-0.25027500111257489</v>
      </c>
      <c r="X4614" s="2">
        <f ca="1"/>
        <v>58.970945069414853</v>
      </c>
      <c r="AG4614" s="2">
        <f ca="1"/>
        <v>0.39135359912181866</v>
      </c>
      <c r="AH4614" s="2" t="str">
        <f ca="1"/>
        <v>OK</v>
      </c>
    </row>
    <row r="4615" spans="2:34">
      <c r="B4615" s="2">
        <f ca="1"/>
        <v>0.41825470839879464</v>
      </c>
      <c r="O4615" s="2">
        <f ca="1"/>
        <v>0.59779086916816093</v>
      </c>
      <c r="X4615" s="2">
        <f ca="1"/>
        <v>46.498102502885381</v>
      </c>
      <c r="AG4615" s="2">
        <f ca="1"/>
        <v>0.18480059070092114</v>
      </c>
      <c r="AH4615" s="2" t="str">
        <f ca="1"/>
        <v>OK</v>
      </c>
    </row>
    <row r="4616" spans="2:34">
      <c r="B4616" s="2">
        <f ca="1"/>
        <v>0.76781860812513947</v>
      </c>
      <c r="O4616" s="2">
        <f ca="1"/>
        <v>-2.0719781299231143E-2</v>
      </c>
      <c r="X4616" s="2">
        <f ca="1"/>
        <v>56.74353164829644</v>
      </c>
      <c r="AG4616" s="2">
        <f ca="1"/>
        <v>0.8490045442527796</v>
      </c>
      <c r="AH4616" s="2" t="str">
        <f ca="1"/>
        <v>Bad</v>
      </c>
    </row>
    <row r="4617" spans="2:34">
      <c r="B4617" s="2">
        <f ca="1"/>
        <v>0.28609654549936003</v>
      </c>
      <c r="O4617" s="2">
        <f ca="1"/>
        <v>-0.2420566132223935</v>
      </c>
      <c r="X4617" s="2">
        <f ca="1"/>
        <v>47.93443588462231</v>
      </c>
      <c r="AG4617" s="2">
        <f ca="1"/>
        <v>0.82174897648320422</v>
      </c>
      <c r="AH4617" s="2" t="str">
        <f ca="1"/>
        <v>Bad</v>
      </c>
    </row>
    <row r="4618" spans="2:34">
      <c r="B4618" s="2">
        <f ca="1"/>
        <v>0.90048003547660826</v>
      </c>
      <c r="O4618" s="2">
        <f ca="1"/>
        <v>-1.9454465070752447</v>
      </c>
      <c r="X4618" s="2">
        <f ca="1"/>
        <v>39.47180242746925</v>
      </c>
      <c r="AG4618" s="2">
        <f ca="1"/>
        <v>0.22357719702344858</v>
      </c>
      <c r="AH4618" s="2" t="str">
        <f ca="1"/>
        <v>OK</v>
      </c>
    </row>
    <row r="4619" spans="2:34">
      <c r="B4619" s="2">
        <f ca="1"/>
        <v>0.79421424012578901</v>
      </c>
      <c r="O4619" s="2">
        <f ca="1"/>
        <v>-1.3742813748384175</v>
      </c>
      <c r="X4619" s="2">
        <f ca="1"/>
        <v>39.028560906278514</v>
      </c>
      <c r="AG4619" s="2">
        <f ca="1"/>
        <v>0.1388479873658548</v>
      </c>
      <c r="AH4619" s="2" t="str">
        <f ca="1"/>
        <v>OK</v>
      </c>
    </row>
    <row r="4620" spans="2:34">
      <c r="B4620" s="2">
        <f ca="1"/>
        <v>0.41913152047672919</v>
      </c>
      <c r="O4620" s="2">
        <f ca="1"/>
        <v>0.66074313914105265</v>
      </c>
      <c r="X4620" s="2">
        <f ca="1"/>
        <v>44.084367436387907</v>
      </c>
      <c r="AG4620" s="2">
        <f ca="1"/>
        <v>0.48026792992710976</v>
      </c>
      <c r="AH4620" s="2" t="str">
        <f ca="1"/>
        <v>Bad</v>
      </c>
    </row>
    <row r="4621" spans="2:34">
      <c r="B4621" s="2">
        <f ca="1"/>
        <v>0.68399982206541221</v>
      </c>
      <c r="O4621" s="2">
        <f ca="1"/>
        <v>-0.38680170047679224</v>
      </c>
      <c r="X4621" s="2">
        <f ca="1"/>
        <v>45.592770301940945</v>
      </c>
      <c r="AG4621" s="2">
        <f ca="1"/>
        <v>0.59868502058591577</v>
      </c>
      <c r="AH4621" s="2" t="str">
        <f ca="1"/>
        <v>Bad</v>
      </c>
    </row>
    <row r="4622" spans="2:34">
      <c r="B4622" s="2">
        <f ca="1"/>
        <v>0.7928092069021313</v>
      </c>
      <c r="O4622" s="2">
        <f ca="1"/>
        <v>-0.90593902432014206</v>
      </c>
      <c r="X4622" s="2">
        <f ca="1"/>
        <v>81.721489986182135</v>
      </c>
      <c r="AG4622" s="2">
        <f ca="1"/>
        <v>0.12171172762806748</v>
      </c>
      <c r="AH4622" s="2" t="str">
        <f ca="1"/>
        <v>OK</v>
      </c>
    </row>
    <row r="4623" spans="2:34">
      <c r="B4623" s="2">
        <f ca="1"/>
        <v>0.98842901429088759</v>
      </c>
      <c r="O4623" s="2">
        <f ca="1"/>
        <v>1.0079650525698733</v>
      </c>
      <c r="X4623" s="2">
        <f ca="1"/>
        <v>43.844952155222394</v>
      </c>
      <c r="AG4623" s="2">
        <f ca="1"/>
        <v>0.73691520871300531</v>
      </c>
      <c r="AH4623" s="2" t="str">
        <f ca="1"/>
        <v>Bad</v>
      </c>
    </row>
    <row r="4624" spans="2:34">
      <c r="B4624" s="2">
        <f ca="1"/>
        <v>0.82219529293484062</v>
      </c>
      <c r="O4624" s="2">
        <f ca="1"/>
        <v>-0.89266094397203377</v>
      </c>
      <c r="X4624" s="2">
        <f ca="1"/>
        <v>40.960698973682817</v>
      </c>
      <c r="AG4624" s="2">
        <f ca="1"/>
        <v>0.60491569846632176</v>
      </c>
      <c r="AH4624" s="2" t="str">
        <f ca="1"/>
        <v>Bad</v>
      </c>
    </row>
    <row r="4625" spans="2:34">
      <c r="B4625" s="2">
        <f ca="1"/>
        <v>0.11764000331746582</v>
      </c>
      <c r="O4625" s="2">
        <f ca="1"/>
        <v>0.54721197526418952</v>
      </c>
      <c r="X4625" s="2">
        <f ca="1"/>
        <v>56.379736475081586</v>
      </c>
      <c r="AG4625" s="2">
        <f ca="1"/>
        <v>0.64283137279247193</v>
      </c>
      <c r="AH4625" s="2" t="str">
        <f ca="1"/>
        <v>Bad</v>
      </c>
    </row>
    <row r="4626" spans="2:34">
      <c r="B4626" s="2">
        <f ca="1"/>
        <v>0.92847903082392214</v>
      </c>
      <c r="O4626" s="2">
        <f ca="1"/>
        <v>1.2137665621761169</v>
      </c>
      <c r="X4626" s="2">
        <f ca="1"/>
        <v>60.753461191720895</v>
      </c>
      <c r="AG4626" s="2">
        <f ca="1"/>
        <v>0.10023697887629868</v>
      </c>
      <c r="AH4626" s="2" t="str">
        <f ca="1"/>
        <v>OK</v>
      </c>
    </row>
    <row r="4627" spans="2:34">
      <c r="B4627" s="2">
        <f ca="1"/>
        <v>0.39721660470879239</v>
      </c>
      <c r="O4627" s="2">
        <f ca="1"/>
        <v>0.40678273885069982</v>
      </c>
      <c r="X4627" s="2">
        <f ca="1"/>
        <v>50.485283675033173</v>
      </c>
      <c r="AG4627" s="2">
        <f ca="1"/>
        <v>0.35067007836810027</v>
      </c>
      <c r="AH4627" s="2" t="str">
        <f ca="1"/>
        <v>OK</v>
      </c>
    </row>
    <row r="4628" spans="2:34">
      <c r="B4628" s="2">
        <f ca="1"/>
        <v>0.78640233472487808</v>
      </c>
      <c r="O4628" s="2">
        <f ca="1"/>
        <v>0.3421386388157423</v>
      </c>
      <c r="X4628" s="2">
        <f ca="1"/>
        <v>58.433941099439799</v>
      </c>
      <c r="AG4628" s="2">
        <f ca="1"/>
        <v>0.58982473670532909</v>
      </c>
      <c r="AH4628" s="2" t="str">
        <f ca="1"/>
        <v>Bad</v>
      </c>
    </row>
    <row r="4629" spans="2:34">
      <c r="B4629" s="2">
        <f ca="1"/>
        <v>0.5376450865091531</v>
      </c>
      <c r="O4629" s="2">
        <f ca="1"/>
        <v>-0.44682095635487473</v>
      </c>
      <c r="X4629" s="2">
        <f ca="1"/>
        <v>65.435837778342773</v>
      </c>
      <c r="AG4629" s="2">
        <f ca="1"/>
        <v>7.7219572848122198E-2</v>
      </c>
      <c r="AH4629" s="2" t="str">
        <f ca="1"/>
        <v>OK</v>
      </c>
    </row>
    <row r="4630" spans="2:34">
      <c r="B4630" s="2">
        <f ca="1"/>
        <v>7.5263878539551188E-2</v>
      </c>
      <c r="O4630" s="2">
        <f ca="1"/>
        <v>0.50837540900112699</v>
      </c>
      <c r="X4630" s="2">
        <f ca="1"/>
        <v>47.831161488777155</v>
      </c>
      <c r="AG4630" s="2">
        <f ca="1"/>
        <v>1.7486638800811471E-2</v>
      </c>
      <c r="AH4630" s="2" t="str">
        <f ca="1"/>
        <v>Good</v>
      </c>
    </row>
    <row r="4631" spans="2:34">
      <c r="B4631" s="2">
        <f ca="1"/>
        <v>1.6439971056958935E-2</v>
      </c>
      <c r="O4631" s="2">
        <f ca="1"/>
        <v>2.0142392572990806</v>
      </c>
      <c r="X4631" s="2">
        <f ca="1"/>
        <v>19.599407837391507</v>
      </c>
      <c r="AG4631" s="2">
        <f ca="1"/>
        <v>0.78936526197170842</v>
      </c>
      <c r="AH4631" s="2" t="str">
        <f ca="1"/>
        <v>Bad</v>
      </c>
    </row>
    <row r="4632" spans="2:34">
      <c r="B4632" s="2">
        <f ca="1"/>
        <v>0.31653291925357707</v>
      </c>
      <c r="O4632" s="2">
        <f ca="1"/>
        <v>-1.8418691324899275</v>
      </c>
      <c r="X4632" s="2">
        <f ca="1"/>
        <v>51.011315970989472</v>
      </c>
      <c r="AG4632" s="2">
        <f ca="1"/>
        <v>0.44138174082866133</v>
      </c>
      <c r="AH4632" s="2" t="str">
        <f ca="1"/>
        <v>Bad</v>
      </c>
    </row>
    <row r="4633" spans="2:34">
      <c r="B4633" s="2">
        <f ca="1"/>
        <v>0.65141461792862621</v>
      </c>
      <c r="O4633" s="2">
        <f ca="1"/>
        <v>0.77839620794226527</v>
      </c>
      <c r="X4633" s="2">
        <f ca="1"/>
        <v>61.749796735092062</v>
      </c>
      <c r="AG4633" s="2">
        <f ca="1"/>
        <v>0.63441923047065685</v>
      </c>
      <c r="AH4633" s="2" t="str">
        <f ca="1"/>
        <v>Bad</v>
      </c>
    </row>
    <row r="4634" spans="2:34">
      <c r="B4634" s="2">
        <f ca="1"/>
        <v>0.88542414518116841</v>
      </c>
      <c r="O4634" s="2">
        <f ca="1"/>
        <v>1.2882956166221007</v>
      </c>
      <c r="X4634" s="2">
        <f ca="1"/>
        <v>42.800623902284023</v>
      </c>
      <c r="AG4634" s="2">
        <f ca="1"/>
        <v>2.3113231814309687E-2</v>
      </c>
      <c r="AH4634" s="2" t="str">
        <f ca="1"/>
        <v>Good</v>
      </c>
    </row>
    <row r="4635" spans="2:34">
      <c r="B4635" s="2">
        <f ca="1"/>
        <v>0.40216309861193755</v>
      </c>
      <c r="O4635" s="2">
        <f ca="1"/>
        <v>1.125025820086289</v>
      </c>
      <c r="X4635" s="2">
        <f ca="1"/>
        <v>63.935812129711415</v>
      </c>
      <c r="AG4635" s="2">
        <f ca="1"/>
        <v>0.80887060670332667</v>
      </c>
      <c r="AH4635" s="2" t="str">
        <f ca="1"/>
        <v>Bad</v>
      </c>
    </row>
    <row r="4636" spans="2:34">
      <c r="B4636" s="2">
        <f ca="1"/>
        <v>0.10573613784312474</v>
      </c>
      <c r="O4636" s="2">
        <f ca="1"/>
        <v>-0.7806815937821453</v>
      </c>
      <c r="X4636" s="2">
        <f ca="1"/>
        <v>41.424506181536529</v>
      </c>
      <c r="AG4636" s="2">
        <f ca="1"/>
        <v>0.93081441765788098</v>
      </c>
      <c r="AH4636" s="2" t="str">
        <f ca="1"/>
        <v>Bad</v>
      </c>
    </row>
    <row r="4637" spans="2:34">
      <c r="B4637" s="2">
        <f ca="1"/>
        <v>0.57951931035861826</v>
      </c>
      <c r="O4637" s="2">
        <f ca="1"/>
        <v>0.942368766664614</v>
      </c>
      <c r="X4637" s="2">
        <f ca="1"/>
        <v>66.197793708591803</v>
      </c>
      <c r="AG4637" s="2">
        <f ca="1"/>
        <v>0.66111150467327096</v>
      </c>
      <c r="AH4637" s="2" t="str">
        <f ca="1"/>
        <v>Bad</v>
      </c>
    </row>
    <row r="4638" spans="2:34">
      <c r="B4638" s="2">
        <f ca="1"/>
        <v>0.9495953920400888</v>
      </c>
      <c r="O4638" s="2">
        <f ca="1"/>
        <v>-1.4858238392561425</v>
      </c>
      <c r="X4638" s="2">
        <f ca="1"/>
        <v>62.531288886728724</v>
      </c>
      <c r="AG4638" s="2">
        <f ca="1"/>
        <v>0.84870071883960851</v>
      </c>
      <c r="AH4638" s="2" t="str">
        <f ca="1"/>
        <v>Bad</v>
      </c>
    </row>
    <row r="4639" spans="2:34">
      <c r="B4639" s="2">
        <f ca="1"/>
        <v>0.79256815197270325</v>
      </c>
      <c r="O4639" s="2">
        <f ca="1"/>
        <v>0.50999122080472714</v>
      </c>
      <c r="X4639" s="2">
        <f ca="1"/>
        <v>29.631891334204358</v>
      </c>
      <c r="AG4639" s="2">
        <f ca="1"/>
        <v>0.32771090816039528</v>
      </c>
      <c r="AH4639" s="2" t="str">
        <f ca="1"/>
        <v>OK</v>
      </c>
    </row>
    <row r="4640" spans="2:34">
      <c r="B4640" s="2">
        <f ca="1"/>
        <v>0.93924175310293556</v>
      </c>
      <c r="O4640" s="2">
        <f ca="1"/>
        <v>0.90167879979191767</v>
      </c>
      <c r="X4640" s="2">
        <f ca="1"/>
        <v>43.99690534651878</v>
      </c>
      <c r="AG4640" s="2">
        <f ca="1"/>
        <v>0.48363404319494818</v>
      </c>
      <c r="AH4640" s="2" t="str">
        <f ca="1"/>
        <v>Bad</v>
      </c>
    </row>
    <row r="4641" spans="2:34">
      <c r="B4641" s="2">
        <f ca="1"/>
        <v>0.10358744242395512</v>
      </c>
      <c r="O4641" s="2">
        <f ca="1"/>
        <v>1.0916765553081931</v>
      </c>
      <c r="X4641" s="2">
        <f ca="1"/>
        <v>51.293415737835062</v>
      </c>
      <c r="AG4641" s="2">
        <f ca="1"/>
        <v>0.53645987052238175</v>
      </c>
      <c r="AH4641" s="2" t="str">
        <f ca="1"/>
        <v>Bad</v>
      </c>
    </row>
    <row r="4642" spans="2:34">
      <c r="B4642" s="2">
        <f ca="1"/>
        <v>0.81749539304439112</v>
      </c>
      <c r="O4642" s="2">
        <f ca="1"/>
        <v>-2.0434206496193377</v>
      </c>
      <c r="X4642" s="2">
        <f ca="1"/>
        <v>29.666155572650741</v>
      </c>
      <c r="AG4642" s="2">
        <f ca="1"/>
        <v>0.68226062493446471</v>
      </c>
      <c r="AH4642" s="2" t="str">
        <f ca="1"/>
        <v>Bad</v>
      </c>
    </row>
    <row r="4643" spans="2:34">
      <c r="B4643" s="2">
        <f ca="1"/>
        <v>0.5776975312451722</v>
      </c>
      <c r="O4643" s="2">
        <f ca="1"/>
        <v>-0.11333483201313745</v>
      </c>
      <c r="X4643" s="2">
        <f ca="1"/>
        <v>46.105333617947075</v>
      </c>
      <c r="AG4643" s="2">
        <f ca="1"/>
        <v>0.87278754776742007</v>
      </c>
      <c r="AH4643" s="2" t="str">
        <f ca="1"/>
        <v>Bad</v>
      </c>
    </row>
    <row r="4644" spans="2:34">
      <c r="B4644" s="2">
        <f ca="1"/>
        <v>0.77724056506035999</v>
      </c>
      <c r="O4644" s="2">
        <f ca="1"/>
        <v>1.0065805663040663</v>
      </c>
      <c r="X4644" s="2">
        <f ca="1"/>
        <v>67.488176139472273</v>
      </c>
      <c r="AG4644" s="2">
        <f ca="1"/>
        <v>0.60367988701860242</v>
      </c>
      <c r="AH4644" s="2" t="str">
        <f ca="1"/>
        <v>Bad</v>
      </c>
    </row>
    <row r="4645" spans="2:34">
      <c r="B4645" s="2">
        <f ca="1"/>
        <v>0.80647268737602129</v>
      </c>
      <c r="O4645" s="2">
        <f ca="1"/>
        <v>1.9052783260847226</v>
      </c>
      <c r="X4645" s="2">
        <f ca="1"/>
        <v>67.711935494457535</v>
      </c>
      <c r="AG4645" s="2">
        <f ca="1"/>
        <v>0.36564127676824043</v>
      </c>
      <c r="AH4645" s="2" t="str">
        <f ca="1"/>
        <v>OK</v>
      </c>
    </row>
    <row r="4646" spans="2:34">
      <c r="B4646" s="2">
        <f ca="1"/>
        <v>0.97222795417643937</v>
      </c>
      <c r="O4646" s="2">
        <f ca="1"/>
        <v>-0.65167342224741864</v>
      </c>
      <c r="X4646" s="2">
        <f ca="1"/>
        <v>41.263859467727464</v>
      </c>
      <c r="AG4646" s="2">
        <f ca="1"/>
        <v>0.65894856005109892</v>
      </c>
      <c r="AH4646" s="2" t="str">
        <f ca="1"/>
        <v>Bad</v>
      </c>
    </row>
    <row r="4647" spans="2:34">
      <c r="B4647" s="2">
        <f ca="1"/>
        <v>0.3889246422691508</v>
      </c>
      <c r="O4647" s="2">
        <f ca="1"/>
        <v>0.87719176924380571</v>
      </c>
      <c r="X4647" s="2">
        <f ca="1"/>
        <v>32.485805713352832</v>
      </c>
      <c r="AG4647" s="2">
        <f ca="1"/>
        <v>0.4700055975760411</v>
      </c>
      <c r="AH4647" s="2" t="str">
        <f ca="1"/>
        <v>Bad</v>
      </c>
    </row>
    <row r="4648" spans="2:34">
      <c r="B4648" s="2">
        <f ca="1"/>
        <v>0.58789653113958407</v>
      </c>
      <c r="O4648" s="2">
        <f ca="1"/>
        <v>-0.30980027982962627</v>
      </c>
      <c r="X4648" s="2">
        <f ca="1"/>
        <v>32.956968457082873</v>
      </c>
      <c r="AG4648" s="2">
        <f ca="1"/>
        <v>0.97286323262976704</v>
      </c>
      <c r="AH4648" s="2" t="str">
        <f ca="1"/>
        <v>Bad</v>
      </c>
    </row>
    <row r="4649" spans="2:34">
      <c r="B4649" s="2">
        <f ca="1"/>
        <v>6.7439568616812773E-2</v>
      </c>
      <c r="O4649" s="2">
        <f ca="1"/>
        <v>-9.1505642015079158E-2</v>
      </c>
      <c r="X4649" s="2">
        <f ca="1"/>
        <v>17.975832813055352</v>
      </c>
      <c r="AG4649" s="2">
        <f ca="1"/>
        <v>0.79054929493490289</v>
      </c>
      <c r="AH4649" s="2" t="str">
        <f ca="1"/>
        <v>Bad</v>
      </c>
    </row>
    <row r="4650" spans="2:34">
      <c r="B4650" s="2">
        <f ca="1"/>
        <v>0.73816032072494475</v>
      </c>
      <c r="O4650" s="2">
        <f ca="1"/>
        <v>-1.2221128575506435</v>
      </c>
      <c r="X4650" s="2">
        <f ca="1"/>
        <v>43.656836333511968</v>
      </c>
      <c r="AG4650" s="2">
        <f ca="1"/>
        <v>0.32138757922903549</v>
      </c>
      <c r="AH4650" s="2" t="str">
        <f ca="1"/>
        <v>OK</v>
      </c>
    </row>
    <row r="4651" spans="2:34">
      <c r="B4651" s="2">
        <f ca="1"/>
        <v>0.12202211193235479</v>
      </c>
      <c r="O4651" s="2">
        <f ca="1"/>
        <v>-0.16169251893116734</v>
      </c>
      <c r="X4651" s="2">
        <f ca="1"/>
        <v>39.468382770193443</v>
      </c>
      <c r="AG4651" s="2">
        <f ca="1"/>
        <v>0.83895859398905381</v>
      </c>
      <c r="AH4651" s="2" t="str">
        <f ca="1"/>
        <v>Bad</v>
      </c>
    </row>
    <row r="4652" spans="2:34">
      <c r="B4652" s="2">
        <f ca="1"/>
        <v>0.74904340215562848</v>
      </c>
      <c r="O4652" s="2">
        <f ca="1"/>
        <v>0.49906394709940355</v>
      </c>
      <c r="X4652" s="2">
        <f ca="1"/>
        <v>40.998896442757669</v>
      </c>
      <c r="AG4652" s="2">
        <f ca="1"/>
        <v>0.72930109810824151</v>
      </c>
      <c r="AH4652" s="2" t="str">
        <f ca="1"/>
        <v>Bad</v>
      </c>
    </row>
    <row r="4653" spans="2:34">
      <c r="B4653" s="2">
        <f ca="1"/>
        <v>0.3642656170022105</v>
      </c>
      <c r="O4653" s="2">
        <f ca="1"/>
        <v>-1.1578957378762436</v>
      </c>
      <c r="X4653" s="2">
        <f ca="1"/>
        <v>67.660919883063386</v>
      </c>
      <c r="AG4653" s="2">
        <f ca="1"/>
        <v>2.5478787886246357E-2</v>
      </c>
      <c r="AH4653" s="2" t="str">
        <f ca="1"/>
        <v>Good</v>
      </c>
    </row>
    <row r="4654" spans="2:34">
      <c r="B4654" s="2">
        <f ca="1"/>
        <v>1.1168631996248735E-2</v>
      </c>
      <c r="O4654" s="2">
        <f ca="1"/>
        <v>0.85051885669658123</v>
      </c>
      <c r="X4654" s="2">
        <f ca="1"/>
        <v>35.511934107717693</v>
      </c>
      <c r="AG4654" s="2">
        <f ca="1"/>
        <v>0.87743639859790812</v>
      </c>
      <c r="AH4654" s="2" t="str">
        <f ca="1"/>
        <v>Bad</v>
      </c>
    </row>
    <row r="4655" spans="2:34">
      <c r="B4655" s="2">
        <f ca="1"/>
        <v>1.8484293365082394E-2</v>
      </c>
      <c r="O4655" s="2">
        <f ca="1"/>
        <v>0.70573979461848824</v>
      </c>
      <c r="X4655" s="2">
        <f ca="1"/>
        <v>63.137961100221396</v>
      </c>
      <c r="AG4655" s="2">
        <f ca="1"/>
        <v>5.0970057187414763E-2</v>
      </c>
      <c r="AH4655" s="2" t="str">
        <f ca="1"/>
        <v>OK</v>
      </c>
    </row>
    <row r="4656" spans="2:34">
      <c r="B4656" s="2">
        <f ca="1"/>
        <v>0.1926176261639565</v>
      </c>
      <c r="O4656" s="2">
        <f ca="1"/>
        <v>0.6285567976896419</v>
      </c>
      <c r="X4656" s="2">
        <f ca="1"/>
        <v>60.953439633147312</v>
      </c>
      <c r="AG4656" s="2">
        <f ca="1"/>
        <v>0.96553915013255831</v>
      </c>
      <c r="AH4656" s="2" t="str">
        <f ca="1"/>
        <v>Bad</v>
      </c>
    </row>
    <row r="4657" spans="2:34">
      <c r="B4657" s="2">
        <f ca="1"/>
        <v>0.61877928537986526</v>
      </c>
      <c r="O4657" s="2">
        <f ca="1"/>
        <v>1.2900485114000453</v>
      </c>
      <c r="X4657" s="2">
        <f ca="1"/>
        <v>70.301049126365669</v>
      </c>
      <c r="AG4657" s="2">
        <f ca="1"/>
        <v>0.34460783241931003</v>
      </c>
      <c r="AH4657" s="2" t="str">
        <f ca="1"/>
        <v>OK</v>
      </c>
    </row>
    <row r="4658" spans="2:34">
      <c r="B4658" s="2">
        <f ca="1"/>
        <v>0.37574512037935448</v>
      </c>
      <c r="O4658" s="2">
        <f ca="1"/>
        <v>-0.43794838754475174</v>
      </c>
      <c r="X4658" s="2">
        <f ca="1"/>
        <v>34.327231472939992</v>
      </c>
      <c r="AG4658" s="2">
        <f ca="1"/>
        <v>0.4470554317997395</v>
      </c>
      <c r="AH4658" s="2" t="str">
        <f ca="1"/>
        <v>Bad</v>
      </c>
    </row>
    <row r="4659" spans="2:34">
      <c r="B4659" s="2">
        <f ca="1"/>
        <v>0.58305178482474407</v>
      </c>
      <c r="O4659" s="2">
        <f ca="1"/>
        <v>1.0000698737569433</v>
      </c>
      <c r="X4659" s="2">
        <f ca="1"/>
        <v>69.11947206312756</v>
      </c>
      <c r="AG4659" s="2">
        <f ca="1"/>
        <v>0.46664224343997307</v>
      </c>
      <c r="AH4659" s="2" t="str">
        <f ca="1"/>
        <v>Bad</v>
      </c>
    </row>
    <row r="4660" spans="2:34">
      <c r="B4660" s="2">
        <f ca="1"/>
        <v>0.29742822109971878</v>
      </c>
      <c r="O4660" s="2">
        <f ca="1"/>
        <v>-0.70140925021071709</v>
      </c>
      <c r="X4660" s="2">
        <f ca="1"/>
        <v>72.104758785457449</v>
      </c>
      <c r="AG4660" s="2">
        <f ca="1"/>
        <v>0.78836391130384142</v>
      </c>
      <c r="AH4660" s="2" t="str">
        <f ca="1"/>
        <v>Bad</v>
      </c>
    </row>
    <row r="4661" spans="2:34">
      <c r="B4661" s="2">
        <f ca="1"/>
        <v>0.63422168762744535</v>
      </c>
      <c r="O4661" s="2">
        <f ca="1"/>
        <v>0.82911064346903507</v>
      </c>
      <c r="X4661" s="2">
        <f ca="1"/>
        <v>66.433100014769337</v>
      </c>
      <c r="AG4661" s="2">
        <f ca="1"/>
        <v>0.42733078813740799</v>
      </c>
      <c r="AH4661" s="2" t="str">
        <f ca="1"/>
        <v>Bad</v>
      </c>
    </row>
    <row r="4662" spans="2:34">
      <c r="B4662" s="2">
        <f ca="1"/>
        <v>0.62324665060022344</v>
      </c>
      <c r="O4662" s="2">
        <f ca="1"/>
        <v>1.3193574929592342</v>
      </c>
      <c r="X4662" s="2">
        <f ca="1"/>
        <v>63.912371919175555</v>
      </c>
      <c r="AG4662" s="2">
        <f ca="1"/>
        <v>0.64632558548237729</v>
      </c>
      <c r="AH4662" s="2" t="str">
        <f ca="1"/>
        <v>Bad</v>
      </c>
    </row>
    <row r="4663" spans="2:34">
      <c r="B4663" s="2">
        <f ca="1"/>
        <v>0.46670755602810599</v>
      </c>
      <c r="O4663" s="2">
        <f ca="1"/>
        <v>1.3633799472280099</v>
      </c>
      <c r="X4663" s="2">
        <f ca="1"/>
        <v>46.790881966425772</v>
      </c>
      <c r="AG4663" s="2">
        <f ca="1"/>
        <v>0.22348220013273501</v>
      </c>
      <c r="AH4663" s="2" t="str">
        <f ca="1"/>
        <v>OK</v>
      </c>
    </row>
    <row r="4664" spans="2:34">
      <c r="B4664" s="2">
        <f ca="1"/>
        <v>0.91978375486616937</v>
      </c>
      <c r="O4664" s="2">
        <f ca="1"/>
        <v>0.39964015837665462</v>
      </c>
      <c r="X4664" s="2">
        <f ca="1"/>
        <v>73.625214730580311</v>
      </c>
      <c r="AG4664" s="2">
        <f ca="1"/>
        <v>0.11439381819575245</v>
      </c>
      <c r="AH4664" s="2" t="str">
        <f ca="1"/>
        <v>OK</v>
      </c>
    </row>
    <row r="4665" spans="2:34">
      <c r="B4665" s="2">
        <f ca="1"/>
        <v>0.15553956863226959</v>
      </c>
      <c r="O4665" s="2">
        <f ca="1"/>
        <v>-1.1641670738784613</v>
      </c>
      <c r="X4665" s="2">
        <f ca="1"/>
        <v>58.974957874284655</v>
      </c>
      <c r="AG4665" s="2">
        <f ca="1"/>
        <v>0.49744985791134488</v>
      </c>
      <c r="AH4665" s="2" t="str">
        <f ca="1"/>
        <v>Bad</v>
      </c>
    </row>
    <row r="4666" spans="2:34">
      <c r="B4666" s="2">
        <f ca="1"/>
        <v>0.48103670790314723</v>
      </c>
      <c r="O4666" s="2">
        <f ca="1"/>
        <v>-0.5359733442079454</v>
      </c>
      <c r="X4666" s="2">
        <f ca="1"/>
        <v>31.979235475576843</v>
      </c>
      <c r="AG4666" s="2">
        <f ca="1"/>
        <v>0.63425968175905156</v>
      </c>
      <c r="AH4666" s="2" t="str">
        <f ca="1"/>
        <v>Bad</v>
      </c>
    </row>
    <row r="4667" spans="2:34">
      <c r="B4667" s="2">
        <f ca="1"/>
        <v>0.47157920147594101</v>
      </c>
      <c r="O4667" s="2">
        <f ca="1"/>
        <v>1.2854075444058439</v>
      </c>
      <c r="X4667" s="2">
        <f ca="1"/>
        <v>33.171417354819276</v>
      </c>
      <c r="AG4667" s="2">
        <f ca="1"/>
        <v>0.58380262363267321</v>
      </c>
      <c r="AH4667" s="2" t="str">
        <f ca="1"/>
        <v>Bad</v>
      </c>
    </row>
    <row r="4668" spans="2:34">
      <c r="B4668" s="2">
        <f ca="1"/>
        <v>0.24735858988187287</v>
      </c>
      <c r="O4668" s="2">
        <f ca="1"/>
        <v>0.75108522694072344</v>
      </c>
      <c r="X4668" s="2">
        <f ca="1"/>
        <v>39.643136629758516</v>
      </c>
      <c r="AG4668" s="2">
        <f ca="1"/>
        <v>0.11153800629241784</v>
      </c>
      <c r="AH4668" s="2" t="str">
        <f ca="1"/>
        <v>OK</v>
      </c>
    </row>
    <row r="4669" spans="2:34">
      <c r="B4669" s="2">
        <f ca="1"/>
        <v>0.83314942057695784</v>
      </c>
      <c r="O4669" s="2">
        <f ca="1"/>
        <v>-0.81384797880352389</v>
      </c>
      <c r="X4669" s="2">
        <f ca="1"/>
        <v>41.045006635453959</v>
      </c>
      <c r="AG4669" s="2">
        <f ca="1"/>
        <v>0.8369087736491656</v>
      </c>
      <c r="AH4669" s="2" t="str">
        <f ca="1"/>
        <v>Bad</v>
      </c>
    </row>
    <row r="4670" spans="2:34">
      <c r="B4670" s="2">
        <f ca="1"/>
        <v>8.1586562408152652E-2</v>
      </c>
      <c r="O4670" s="2">
        <f ca="1"/>
        <v>-0.570166685502561</v>
      </c>
      <c r="X4670" s="2">
        <f ca="1"/>
        <v>76.70912362104859</v>
      </c>
      <c r="AG4670" s="2">
        <f ca="1"/>
        <v>0.25686542974801707</v>
      </c>
      <c r="AH4670" s="2" t="str">
        <f ca="1"/>
        <v>OK</v>
      </c>
    </row>
    <row r="4671" spans="2:34">
      <c r="B4671" s="2">
        <f ca="1"/>
        <v>0.40873850850997684</v>
      </c>
      <c r="O4671" s="2">
        <f ca="1"/>
        <v>1.088071647439145</v>
      </c>
      <c r="X4671" s="2">
        <f ca="1"/>
        <v>39.010460415832362</v>
      </c>
      <c r="AG4671" s="2">
        <f ca="1"/>
        <v>0.75092762500591803</v>
      </c>
      <c r="AH4671" s="2" t="str">
        <f ca="1"/>
        <v>Bad</v>
      </c>
    </row>
    <row r="4672" spans="2:34">
      <c r="B4672" s="2">
        <f ca="1"/>
        <v>0.99393624691778903</v>
      </c>
      <c r="O4672" s="2">
        <f ca="1"/>
        <v>-8.0860147861148216E-2</v>
      </c>
      <c r="X4672" s="2">
        <f ca="1"/>
        <v>41.886596111654299</v>
      </c>
      <c r="AG4672" s="2">
        <f ca="1"/>
        <v>9.0280675441554159E-2</v>
      </c>
      <c r="AH4672" s="2" t="str">
        <f ca="1"/>
        <v>OK</v>
      </c>
    </row>
    <row r="4673" spans="2:34">
      <c r="B4673" s="2">
        <f ca="1"/>
        <v>4.5148039010703744E-2</v>
      </c>
      <c r="O4673" s="2">
        <f ca="1"/>
        <v>-0.74070040498404022</v>
      </c>
      <c r="X4673" s="2">
        <f ca="1"/>
        <v>54.965345352887837</v>
      </c>
      <c r="AG4673" s="2">
        <f ca="1"/>
        <v>0.58684402500336996</v>
      </c>
      <c r="AH4673" s="2" t="str">
        <f ca="1"/>
        <v>Bad</v>
      </c>
    </row>
    <row r="4674" spans="2:34">
      <c r="B4674" s="2">
        <f ca="1"/>
        <v>4.2233353179909949E-2</v>
      </c>
      <c r="O4674" s="2">
        <f ca="1"/>
        <v>-0.96848542305166951</v>
      </c>
      <c r="X4674" s="2">
        <f ca="1"/>
        <v>61.012162757458611</v>
      </c>
      <c r="AG4674" s="2">
        <f ca="1"/>
        <v>0.12141097251151112</v>
      </c>
      <c r="AH4674" s="2" t="str">
        <f ca="1"/>
        <v>OK</v>
      </c>
    </row>
    <row r="4675" spans="2:34">
      <c r="B4675" s="2">
        <f ca="1"/>
        <v>0.16179752117360358</v>
      </c>
      <c r="O4675" s="2">
        <f ca="1"/>
        <v>-0.41089414969886168</v>
      </c>
      <c r="X4675" s="2">
        <f ca="1"/>
        <v>30.271969452571771</v>
      </c>
      <c r="AG4675" s="2">
        <f ca="1"/>
        <v>0.28769441224021097</v>
      </c>
      <c r="AH4675" s="2" t="str">
        <f ca="1"/>
        <v>OK</v>
      </c>
    </row>
    <row r="4676" spans="2:34">
      <c r="B4676" s="2">
        <f ca="1"/>
        <v>0.23744417059698275</v>
      </c>
      <c r="O4676" s="2">
        <f ca="1"/>
        <v>0.12616546438833504</v>
      </c>
      <c r="X4676" s="2">
        <f ca="1"/>
        <v>26.850999383544249</v>
      </c>
      <c r="AG4676" s="2">
        <f ca="1"/>
        <v>0.28419863781696386</v>
      </c>
      <c r="AH4676" s="2" t="str">
        <f ca="1"/>
        <v>OK</v>
      </c>
    </row>
    <row r="4677" spans="2:34">
      <c r="B4677" s="2">
        <f ca="1"/>
        <v>2.2029492618863333E-2</v>
      </c>
      <c r="O4677" s="2">
        <f ca="1"/>
        <v>-1.817469285987213</v>
      </c>
      <c r="X4677" s="2">
        <f ca="1"/>
        <v>65.465977520664453</v>
      </c>
      <c r="AG4677" s="2">
        <f ca="1"/>
        <v>0.48096654078915879</v>
      </c>
      <c r="AH4677" s="2" t="str">
        <f ca="1"/>
        <v>Bad</v>
      </c>
    </row>
    <row r="4678" spans="2:34">
      <c r="B4678" s="2">
        <f ca="1"/>
        <v>0.9378001562889966</v>
      </c>
      <c r="O4678" s="2">
        <f ca="1"/>
        <v>-0.31806392670505795</v>
      </c>
      <c r="X4678" s="2">
        <f ca="1"/>
        <v>81.676086964899525</v>
      </c>
      <c r="AG4678" s="2">
        <f ca="1"/>
        <v>0.23077162326421896</v>
      </c>
      <c r="AH4678" s="2" t="str">
        <f ca="1"/>
        <v>OK</v>
      </c>
    </row>
    <row r="4679" spans="2:34">
      <c r="B4679" s="2">
        <f ca="1"/>
        <v>0.71718714667072625</v>
      </c>
      <c r="O4679" s="2">
        <f ca="1"/>
        <v>1.0486616096079122</v>
      </c>
      <c r="X4679" s="2">
        <f ca="1"/>
        <v>43.078399276277153</v>
      </c>
      <c r="AG4679" s="2">
        <f ca="1"/>
        <v>0.70346104973388379</v>
      </c>
      <c r="AH4679" s="2" t="str">
        <f ca="1"/>
        <v>Bad</v>
      </c>
    </row>
    <row r="4680" spans="2:34">
      <c r="B4680" s="2">
        <f ca="1"/>
        <v>0.20127928947819118</v>
      </c>
      <c r="O4680" s="2">
        <f ca="1"/>
        <v>0.57487518401878845</v>
      </c>
      <c r="X4680" s="2">
        <f ca="1"/>
        <v>49.810748630170814</v>
      </c>
      <c r="AG4680" s="2">
        <f ca="1"/>
        <v>0.81616327460117177</v>
      </c>
      <c r="AH4680" s="2" t="str">
        <f ca="1"/>
        <v>Bad</v>
      </c>
    </row>
    <row r="4681" spans="2:34">
      <c r="B4681" s="2">
        <f ca="1"/>
        <v>0.94371271608153884</v>
      </c>
      <c r="O4681" s="2">
        <f ca="1"/>
        <v>0.76796200356828226</v>
      </c>
      <c r="X4681" s="2">
        <f ca="1"/>
        <v>50.566350262151019</v>
      </c>
      <c r="AG4681" s="2">
        <f ca="1"/>
        <v>0.63321972142462357</v>
      </c>
      <c r="AH4681" s="2" t="str">
        <f ca="1"/>
        <v>Bad</v>
      </c>
    </row>
    <row r="4682" spans="2:34">
      <c r="B4682" s="2">
        <f ca="1"/>
        <v>0.92561311383336542</v>
      </c>
      <c r="O4682" s="2">
        <f ca="1"/>
        <v>2.8315625007725533E-2</v>
      </c>
      <c r="X4682" s="2">
        <f ca="1"/>
        <v>74.329769541254151</v>
      </c>
      <c r="AG4682" s="2">
        <f ca="1"/>
        <v>0.72189842565378748</v>
      </c>
      <c r="AH4682" s="2" t="str">
        <f ca="1"/>
        <v>Bad</v>
      </c>
    </row>
    <row r="4683" spans="2:34">
      <c r="B4683" s="2">
        <f ca="1"/>
        <v>0.90737298005858968</v>
      </c>
      <c r="O4683" s="2">
        <f ca="1"/>
        <v>0.73227826656360551</v>
      </c>
      <c r="X4683" s="2">
        <f ca="1"/>
        <v>45.368677749050768</v>
      </c>
      <c r="AG4683" s="2">
        <f ca="1"/>
        <v>0.10390787262086554</v>
      </c>
      <c r="AH4683" s="2" t="str">
        <f ca="1"/>
        <v>OK</v>
      </c>
    </row>
    <row r="4684" spans="2:34">
      <c r="B4684" s="2">
        <f ca="1"/>
        <v>0.61294899193415997</v>
      </c>
      <c r="O4684" s="2">
        <f ca="1"/>
        <v>-0.13749838727143684</v>
      </c>
      <c r="X4684" s="2">
        <f ca="1"/>
        <v>37.793031720287367</v>
      </c>
      <c r="AG4684" s="2">
        <f ca="1"/>
        <v>0.62171877429144184</v>
      </c>
      <c r="AH4684" s="2" t="str">
        <f ca="1"/>
        <v>Bad</v>
      </c>
    </row>
    <row r="4685" spans="2:34">
      <c r="B4685" s="2">
        <f ca="1"/>
        <v>0.33745401403841124</v>
      </c>
      <c r="O4685" s="2">
        <f ca="1"/>
        <v>0.67788402140873616</v>
      </c>
      <c r="X4685" s="2">
        <f ca="1"/>
        <v>68.102625033401679</v>
      </c>
      <c r="AG4685" s="2">
        <f ca="1"/>
        <v>0.24762135210803526</v>
      </c>
      <c r="AH4685" s="2" t="str">
        <f ca="1"/>
        <v>OK</v>
      </c>
    </row>
    <row r="4686" spans="2:34">
      <c r="B4686" s="2">
        <f ca="1"/>
        <v>0.95219508909487538</v>
      </c>
      <c r="O4686" s="2">
        <f ca="1"/>
        <v>-1.1174489815020778</v>
      </c>
      <c r="X4686" s="2">
        <f ca="1"/>
        <v>26.242932309989818</v>
      </c>
      <c r="AG4686" s="2">
        <f ca="1"/>
        <v>0.76623927016836224</v>
      </c>
      <c r="AH4686" s="2" t="str">
        <f ca="1"/>
        <v>Bad</v>
      </c>
    </row>
    <row r="4687" spans="2:34">
      <c r="B4687" s="2">
        <f ca="1"/>
        <v>0.65181553070249554</v>
      </c>
      <c r="O4687" s="2">
        <f ca="1"/>
        <v>1.105964486010117</v>
      </c>
      <c r="X4687" s="2">
        <f ca="1"/>
        <v>61.798956227355063</v>
      </c>
      <c r="AG4687" s="2">
        <f ca="1"/>
        <v>0.76947289847007738</v>
      </c>
      <c r="AH4687" s="2" t="str">
        <f ca="1"/>
        <v>Bad</v>
      </c>
    </row>
    <row r="4688" spans="2:34">
      <c r="B4688" s="2">
        <f ca="1"/>
        <v>0.54169188418203995</v>
      </c>
      <c r="O4688" s="2">
        <f ca="1"/>
        <v>-0.76604242315408999</v>
      </c>
      <c r="X4688" s="2">
        <f ca="1"/>
        <v>62.035881562553399</v>
      </c>
      <c r="AG4688" s="2">
        <f ca="1"/>
        <v>0.72560699826684139</v>
      </c>
      <c r="AH4688" s="2" t="str">
        <f ca="1"/>
        <v>Bad</v>
      </c>
    </row>
    <row r="4689" spans="2:34">
      <c r="B4689" s="2">
        <f ca="1"/>
        <v>0.61311000636367075</v>
      </c>
      <c r="O4689" s="2">
        <f ca="1"/>
        <v>-1.3078659132654922</v>
      </c>
      <c r="X4689" s="2">
        <f ca="1"/>
        <v>41.279967409136766</v>
      </c>
      <c r="AG4689" s="2">
        <f ca="1"/>
        <v>0.8280659490140263</v>
      </c>
      <c r="AH4689" s="2" t="str">
        <f ca="1"/>
        <v>Bad</v>
      </c>
    </row>
    <row r="4690" spans="2:34">
      <c r="B4690" s="2">
        <f ca="1"/>
        <v>0.74373308020526308</v>
      </c>
      <c r="O4690" s="2">
        <f ca="1"/>
        <v>0.10494427868877211</v>
      </c>
      <c r="X4690" s="2">
        <f ca="1"/>
        <v>57.703536513035765</v>
      </c>
      <c r="AG4690" s="2">
        <f ca="1"/>
        <v>0.35487837060020277</v>
      </c>
      <c r="AH4690" s="2" t="str">
        <f ca="1"/>
        <v>OK</v>
      </c>
    </row>
    <row r="4691" spans="2:34">
      <c r="B4691" s="2">
        <f ca="1"/>
        <v>0.7631524494558648</v>
      </c>
      <c r="O4691" s="2">
        <f ca="1"/>
        <v>1.3861804379573777</v>
      </c>
      <c r="X4691" s="2">
        <f ca="1"/>
        <v>40.972322775066353</v>
      </c>
      <c r="AG4691" s="2">
        <f ca="1"/>
        <v>0.69913004471081153</v>
      </c>
      <c r="AH4691" s="2" t="str">
        <f ca="1"/>
        <v>Bad</v>
      </c>
    </row>
    <row r="4692" spans="2:34">
      <c r="B4692" s="2">
        <f ca="1"/>
        <v>0.13274298115533023</v>
      </c>
      <c r="O4692" s="2">
        <f ca="1"/>
        <v>-0.23312918172358846</v>
      </c>
      <c r="X4692" s="2">
        <f ca="1"/>
        <v>39.648098414642718</v>
      </c>
      <c r="AG4692" s="2">
        <f ca="1"/>
        <v>0.23728129625643679</v>
      </c>
      <c r="AH4692" s="2" t="str">
        <f ca="1"/>
        <v>OK</v>
      </c>
    </row>
    <row r="4693" spans="2:34">
      <c r="B4693" s="2">
        <f ca="1"/>
        <v>0.74689033639894098</v>
      </c>
      <c r="O4693" s="2">
        <f ca="1"/>
        <v>-0.77621007090710337</v>
      </c>
      <c r="X4693" s="2">
        <f ca="1"/>
        <v>43.587691685134757</v>
      </c>
      <c r="AG4693" s="2">
        <f ca="1"/>
        <v>0.41587894515544988</v>
      </c>
      <c r="AH4693" s="2" t="str">
        <f ca="1"/>
        <v>Bad</v>
      </c>
    </row>
    <row r="4694" spans="2:34">
      <c r="B4694" s="2">
        <f ca="1"/>
        <v>0.38398452692996532</v>
      </c>
      <c r="O4694" s="2">
        <f ca="1"/>
        <v>-0.2499078340084305</v>
      </c>
      <c r="X4694" s="2">
        <f ca="1"/>
        <v>21.109169581945537</v>
      </c>
      <c r="AG4694" s="2">
        <f ca="1"/>
        <v>0.73189735820076907</v>
      </c>
      <c r="AH4694" s="2" t="str">
        <f ca="1"/>
        <v>Bad</v>
      </c>
    </row>
    <row r="4695" spans="2:34">
      <c r="B4695" s="2">
        <f ca="1"/>
        <v>0.90553985721024666</v>
      </c>
      <c r="O4695" s="2">
        <f ca="1"/>
        <v>-0.57356249092720968</v>
      </c>
      <c r="X4695" s="2">
        <f ca="1"/>
        <v>56.498785839263171</v>
      </c>
      <c r="AG4695" s="2">
        <f ca="1"/>
        <v>0.3153341860279586</v>
      </c>
      <c r="AH4695" s="2" t="str">
        <f ca="1"/>
        <v>OK</v>
      </c>
    </row>
    <row r="4696" spans="2:34">
      <c r="B4696" s="2">
        <f ca="1"/>
        <v>0.64451589838196521</v>
      </c>
      <c r="O4696" s="2">
        <f ca="1"/>
        <v>0.40742043230227593</v>
      </c>
      <c r="X4696" s="2">
        <f ca="1"/>
        <v>64.824628360799522</v>
      </c>
      <c r="AG4696" s="2">
        <f ca="1"/>
        <v>0.49631907269980502</v>
      </c>
      <c r="AH4696" s="2" t="str">
        <f ca="1"/>
        <v>Bad</v>
      </c>
    </row>
    <row r="4697" spans="2:34">
      <c r="B4697" s="2">
        <f ca="1"/>
        <v>0.96258084512198017</v>
      </c>
      <c r="O4697" s="2">
        <f ca="1"/>
        <v>0.98973759428919961</v>
      </c>
      <c r="X4697" s="2">
        <f ca="1"/>
        <v>41.258029748616835</v>
      </c>
      <c r="AG4697" s="2">
        <f ca="1"/>
        <v>0.18785554696302098</v>
      </c>
      <c r="AH4697" s="2" t="str">
        <f ca="1"/>
        <v>OK</v>
      </c>
    </row>
    <row r="4698" spans="2:34">
      <c r="B4698" s="2">
        <f ca="1"/>
        <v>0.11618670221601124</v>
      </c>
      <c r="O4698" s="2">
        <f ca="1"/>
        <v>1.0273554120487818</v>
      </c>
      <c r="X4698" s="2">
        <f ca="1"/>
        <v>35.408921916101008</v>
      </c>
      <c r="AG4698" s="2">
        <f ca="1"/>
        <v>0.25528046353730272</v>
      </c>
      <c r="AH4698" s="2" t="str">
        <f ca="1"/>
        <v>OK</v>
      </c>
    </row>
    <row r="4699" spans="2:34">
      <c r="B4699" s="2">
        <f ca="1"/>
        <v>0.99144515180910586</v>
      </c>
      <c r="O4699" s="2">
        <f ca="1"/>
        <v>1.1407450835553732</v>
      </c>
      <c r="X4699" s="2">
        <f ca="1"/>
        <v>31.301881057571475</v>
      </c>
      <c r="AG4699" s="2">
        <f ca="1"/>
        <v>0.66422502105379899</v>
      </c>
      <c r="AH4699" s="2" t="str">
        <f ca="1"/>
        <v>Bad</v>
      </c>
    </row>
    <row r="4700" spans="2:34">
      <c r="B4700" s="2">
        <f ca="1"/>
        <v>0.29002277874435678</v>
      </c>
      <c r="O4700" s="2">
        <f ca="1"/>
        <v>1.0306044996218755</v>
      </c>
      <c r="X4700" s="2">
        <f ca="1"/>
        <v>39.393243894106277</v>
      </c>
      <c r="AG4700" s="2">
        <f ca="1"/>
        <v>0.87336022128065616</v>
      </c>
      <c r="AH4700" s="2" t="str">
        <f ca="1"/>
        <v>Bad</v>
      </c>
    </row>
    <row r="4701" spans="2:34">
      <c r="B4701" s="2">
        <f ca="1"/>
        <v>0.24755751996740982</v>
      </c>
      <c r="O4701" s="2">
        <f ca="1"/>
        <v>-1.0334591128838804</v>
      </c>
      <c r="X4701" s="2">
        <f ca="1"/>
        <v>50.024300742462685</v>
      </c>
      <c r="AG4701" s="2">
        <f ca="1"/>
        <v>0.72125882233728644</v>
      </c>
      <c r="AH4701" s="2" t="str">
        <f ca="1"/>
        <v>Bad</v>
      </c>
    </row>
    <row r="4702" spans="2:34">
      <c r="B4702" s="2">
        <f ca="1"/>
        <v>3.049481177548552E-3</v>
      </c>
      <c r="O4702" s="2">
        <f ca="1"/>
        <v>-1.9709028465151059</v>
      </c>
      <c r="X4702" s="2">
        <f ca="1"/>
        <v>49.247981850953366</v>
      </c>
      <c r="AG4702" s="2">
        <f ca="1"/>
        <v>0.97993364166202634</v>
      </c>
      <c r="AH4702" s="2" t="str">
        <f ca="1"/>
        <v>Bad</v>
      </c>
    </row>
    <row r="4703" spans="2:34">
      <c r="B4703" s="2">
        <f ca="1"/>
        <v>0.83320664571835246</v>
      </c>
      <c r="O4703" s="2">
        <f ca="1"/>
        <v>2.1044033787371572</v>
      </c>
      <c r="X4703" s="2">
        <f ca="1"/>
        <v>61.951732989223103</v>
      </c>
      <c r="AG4703" s="2">
        <f ca="1"/>
        <v>0.6676976053790773</v>
      </c>
      <c r="AH4703" s="2" t="str">
        <f ca="1"/>
        <v>Bad</v>
      </c>
    </row>
    <row r="4704" spans="2:34">
      <c r="B4704" s="2">
        <f ca="1"/>
        <v>0.63268086295261061</v>
      </c>
      <c r="O4704" s="2">
        <f ca="1"/>
        <v>0.46393391417087848</v>
      </c>
      <c r="X4704" s="2">
        <f ca="1"/>
        <v>52.19851724342589</v>
      </c>
      <c r="AG4704" s="2">
        <f ca="1"/>
        <v>0.79172423041114182</v>
      </c>
      <c r="AH4704" s="2" t="str">
        <f ca="1"/>
        <v>Bad</v>
      </c>
    </row>
    <row r="4705" spans="2:34">
      <c r="B4705" s="2">
        <f ca="1"/>
        <v>0.56936540341463204</v>
      </c>
      <c r="O4705" s="2">
        <f ca="1"/>
        <v>0.8356450560704205</v>
      </c>
      <c r="X4705" s="2">
        <f ca="1"/>
        <v>54.0632678662828</v>
      </c>
      <c r="AG4705" s="2">
        <f ca="1"/>
        <v>0.49177459572414906</v>
      </c>
      <c r="AH4705" s="2" t="str">
        <f ca="1"/>
        <v>Bad</v>
      </c>
    </row>
    <row r="4706" spans="2:34">
      <c r="B4706" s="2">
        <f ca="1"/>
        <v>0.48612949365050917</v>
      </c>
      <c r="O4706" s="2">
        <f ca="1"/>
        <v>0.52664002298652257</v>
      </c>
      <c r="X4706" s="2">
        <f ca="1"/>
        <v>85.743018951700449</v>
      </c>
      <c r="AG4706" s="2">
        <f ca="1"/>
        <v>7.481504176418019E-2</v>
      </c>
      <c r="AH4706" s="2" t="str">
        <f ca="1"/>
        <v>OK</v>
      </c>
    </row>
    <row r="4707" spans="2:34">
      <c r="B4707" s="2">
        <f ca="1"/>
        <v>0.25456371741738715</v>
      </c>
      <c r="O4707" s="2">
        <f ca="1"/>
        <v>0.93984505618047898</v>
      </c>
      <c r="X4707" s="2">
        <f ca="1"/>
        <v>52.480696532255983</v>
      </c>
      <c r="AG4707" s="2">
        <f ca="1"/>
        <v>2.597793989829511E-2</v>
      </c>
      <c r="AH4707" s="2" t="str">
        <f ca="1"/>
        <v>Good</v>
      </c>
    </row>
    <row r="4708" spans="2:34">
      <c r="B4708" s="2">
        <f ca="1"/>
        <v>0.14519673481163675</v>
      </c>
      <c r="O4708" s="2">
        <f ca="1"/>
        <v>-1.0082641636853849</v>
      </c>
      <c r="X4708" s="2">
        <f ca="1"/>
        <v>36.483073406780584</v>
      </c>
      <c r="AG4708" s="2">
        <f ca="1"/>
        <v>0.42575327938060892</v>
      </c>
      <c r="AH4708" s="2" t="str">
        <f ca="1"/>
        <v>Bad</v>
      </c>
    </row>
    <row r="4709" spans="2:34">
      <c r="B4709" s="2">
        <f ca="1"/>
        <v>0.71148991397637085</v>
      </c>
      <c r="O4709" s="2">
        <f ca="1"/>
        <v>-1.3691931873572523</v>
      </c>
      <c r="X4709" s="2">
        <f ca="1"/>
        <v>69.385667560524084</v>
      </c>
      <c r="AG4709" s="2">
        <f ca="1"/>
        <v>0.46340479731071671</v>
      </c>
      <c r="AH4709" s="2" t="str">
        <f ca="1"/>
        <v>Bad</v>
      </c>
    </row>
    <row r="4710" spans="2:34">
      <c r="B4710" s="2">
        <f ca="1"/>
        <v>0.48878753817242671</v>
      </c>
      <c r="O4710" s="2">
        <f ca="1"/>
        <v>-0.20654066484466402</v>
      </c>
      <c r="X4710" s="2">
        <f ca="1"/>
        <v>54.658872366189712</v>
      </c>
      <c r="AG4710" s="2">
        <f ca="1"/>
        <v>0.93490797078067489</v>
      </c>
      <c r="AH4710" s="2" t="str">
        <f ca="1"/>
        <v>Bad</v>
      </c>
    </row>
    <row r="4711" spans="2:34">
      <c r="B4711" s="2">
        <f ca="1"/>
        <v>0.7661224049672497</v>
      </c>
      <c r="O4711" s="2">
        <f ca="1"/>
        <v>0.56983653149401847</v>
      </c>
      <c r="X4711" s="2">
        <f ca="1"/>
        <v>31.744159682274308</v>
      </c>
      <c r="AG4711" s="2">
        <f ca="1"/>
        <v>0.8811803706806125</v>
      </c>
      <c r="AH4711" s="2" t="str">
        <f ca="1"/>
        <v>Bad</v>
      </c>
    </row>
    <row r="4712" spans="2:34">
      <c r="B4712" s="2">
        <f ca="1"/>
        <v>0.50839026116541719</v>
      </c>
      <c r="O4712" s="2">
        <f ca="1"/>
        <v>-0.43815721043932826</v>
      </c>
      <c r="X4712" s="2">
        <f ca="1"/>
        <v>26.810913046951047</v>
      </c>
      <c r="AG4712" s="2">
        <f ca="1"/>
        <v>0.68192984394908729</v>
      </c>
      <c r="AH4712" s="2" t="str">
        <f ca="1"/>
        <v>Bad</v>
      </c>
    </row>
    <row r="4713" spans="2:34">
      <c r="B4713" s="2">
        <f ca="1"/>
        <v>0.52896364339571789</v>
      </c>
      <c r="O4713" s="2">
        <f ca="1"/>
        <v>-9.1241701825381938E-2</v>
      </c>
      <c r="X4713" s="2">
        <f ca="1"/>
        <v>76.936335108677284</v>
      </c>
      <c r="AG4713" s="2">
        <f ca="1"/>
        <v>0.97832373127704719</v>
      </c>
      <c r="AH4713" s="2" t="str">
        <f ca="1"/>
        <v>Bad</v>
      </c>
    </row>
    <row r="4714" spans="2:34">
      <c r="B4714" s="2">
        <f ca="1"/>
        <v>0.45155275111049042</v>
      </c>
      <c r="O4714" s="2">
        <f ca="1"/>
        <v>0.88061203072313976</v>
      </c>
      <c r="X4714" s="2">
        <f ca="1"/>
        <v>36.697330950650404</v>
      </c>
      <c r="AG4714" s="2">
        <f ca="1"/>
        <v>0.79755476190253138</v>
      </c>
      <c r="AH4714" s="2" t="str">
        <f ca="1"/>
        <v>Bad</v>
      </c>
    </row>
    <row r="4715" spans="2:34">
      <c r="B4715" s="2">
        <f ca="1"/>
        <v>9.04228717048563E-2</v>
      </c>
      <c r="O4715" s="2">
        <f ca="1"/>
        <v>1.058423303198228</v>
      </c>
      <c r="X4715" s="2">
        <f ca="1"/>
        <v>48.26199277265993</v>
      </c>
      <c r="AG4715" s="2">
        <f ca="1"/>
        <v>0.33970564083179511</v>
      </c>
      <c r="AH4715" s="2" t="str">
        <f ca="1"/>
        <v>OK</v>
      </c>
    </row>
    <row r="4716" spans="2:34">
      <c r="B4716" s="2">
        <f ca="1"/>
        <v>0.74542786817639972</v>
      </c>
      <c r="O4716" s="2">
        <f ca="1"/>
        <v>-0.27502275911828111</v>
      </c>
      <c r="X4716" s="2">
        <f ca="1"/>
        <v>60.486420004865721</v>
      </c>
      <c r="AG4716" s="2">
        <f ca="1"/>
        <v>0.52231863732323758</v>
      </c>
      <c r="AH4716" s="2" t="str">
        <f ca="1"/>
        <v>Bad</v>
      </c>
    </row>
    <row r="4717" spans="2:34">
      <c r="B4717" s="2">
        <f ca="1"/>
        <v>0.13682131215133309</v>
      </c>
      <c r="O4717" s="2">
        <f ca="1"/>
        <v>1.1749818894406567</v>
      </c>
      <c r="X4717" s="2">
        <f ca="1"/>
        <v>33.626021450431352</v>
      </c>
      <c r="AG4717" s="2">
        <f ca="1"/>
        <v>0.90777807158604462</v>
      </c>
      <c r="AH4717" s="2" t="str">
        <f ca="1"/>
        <v>Bad</v>
      </c>
    </row>
    <row r="4718" spans="2:34">
      <c r="B4718" s="2">
        <f ca="1"/>
        <v>0.8924482505802076</v>
      </c>
      <c r="O4718" s="2">
        <f ca="1"/>
        <v>-1.2809118433751951</v>
      </c>
      <c r="X4718" s="2">
        <f ca="1"/>
        <v>59.657333411812992</v>
      </c>
      <c r="AG4718" s="2">
        <f ca="1"/>
        <v>2.9621666927783785E-2</v>
      </c>
      <c r="AH4718" s="2" t="str">
        <f ca="1"/>
        <v>Good</v>
      </c>
    </row>
    <row r="4719" spans="2:34">
      <c r="B4719" s="2">
        <f ca="1"/>
        <v>0.54954307670985347</v>
      </c>
      <c r="O4719" s="2">
        <f ca="1"/>
        <v>-1.4035760899814774E-2</v>
      </c>
      <c r="X4719" s="2">
        <f ca="1"/>
        <v>63.572741608303915</v>
      </c>
      <c r="AG4719" s="2">
        <f ca="1"/>
        <v>0.21560751840335635</v>
      </c>
      <c r="AH4719" s="2" t="str">
        <f ca="1"/>
        <v>OK</v>
      </c>
    </row>
    <row r="4720" spans="2:34">
      <c r="B4720" s="2">
        <f ca="1"/>
        <v>0.27773163449792504</v>
      </c>
      <c r="O4720" s="2">
        <f ca="1"/>
        <v>0.93535808250478802</v>
      </c>
      <c r="X4720" s="2">
        <f ca="1"/>
        <v>58.534857683631934</v>
      </c>
      <c r="AG4720" s="2">
        <f ca="1"/>
        <v>0.53959629846258572</v>
      </c>
      <c r="AH4720" s="2" t="str">
        <f ca="1"/>
        <v>Bad</v>
      </c>
    </row>
    <row r="4721" spans="2:34">
      <c r="B4721" s="2">
        <f ca="1"/>
        <v>0.96338997736771081</v>
      </c>
      <c r="O4721" s="2">
        <f ca="1"/>
        <v>-0.13793890528770064</v>
      </c>
      <c r="X4721" s="2">
        <f ca="1"/>
        <v>65.878645915262211</v>
      </c>
      <c r="AG4721" s="2">
        <f ca="1"/>
        <v>0.4631334228384627</v>
      </c>
      <c r="AH4721" s="2" t="str">
        <f ca="1"/>
        <v>Bad</v>
      </c>
    </row>
    <row r="4722" spans="2:34">
      <c r="B4722" s="2">
        <f ca="1"/>
        <v>0.74986157033713674</v>
      </c>
      <c r="O4722" s="2">
        <f ca="1"/>
        <v>0.59057154491802422</v>
      </c>
      <c r="X4722" s="2">
        <f ca="1"/>
        <v>62.434318242664943</v>
      </c>
      <c r="AG4722" s="2">
        <f ca="1"/>
        <v>0.8066294881172309</v>
      </c>
      <c r="AH4722" s="2" t="str">
        <f ca="1"/>
        <v>Bad</v>
      </c>
    </row>
    <row r="4723" spans="2:34">
      <c r="B4723" s="2">
        <f ca="1"/>
        <v>3.4789144774004299E-2</v>
      </c>
      <c r="O4723" s="2">
        <f ca="1"/>
        <v>-0.28461838321537819</v>
      </c>
      <c r="X4723" s="2">
        <f ca="1"/>
        <v>57.15015047601851</v>
      </c>
      <c r="AG4723" s="2">
        <f ca="1"/>
        <v>0.48534775005604569</v>
      </c>
      <c r="AH4723" s="2" t="str">
        <f ca="1"/>
        <v>Bad</v>
      </c>
    </row>
    <row r="4724" spans="2:34">
      <c r="B4724" s="2">
        <f ca="1"/>
        <v>0.46438003469277667</v>
      </c>
      <c r="O4724" s="2">
        <f ca="1"/>
        <v>-0.70092560814167437</v>
      </c>
      <c r="X4724" s="2">
        <f ca="1"/>
        <v>59.04397739861939</v>
      </c>
      <c r="AG4724" s="2">
        <f ca="1"/>
        <v>0.84871208026897516</v>
      </c>
      <c r="AH4724" s="2" t="str">
        <f ca="1"/>
        <v>Bad</v>
      </c>
    </row>
    <row r="4725" spans="2:34">
      <c r="B4725" s="2">
        <f ca="1"/>
        <v>8.13032929241575E-2</v>
      </c>
      <c r="O4725" s="2">
        <f ca="1"/>
        <v>0.79164120727299148</v>
      </c>
      <c r="X4725" s="2">
        <f ca="1"/>
        <v>29.433297282312342</v>
      </c>
      <c r="AG4725" s="2">
        <f ca="1"/>
        <v>0.23368013825408274</v>
      </c>
      <c r="AH4725" s="2" t="str">
        <f ca="1"/>
        <v>OK</v>
      </c>
    </row>
    <row r="4726" spans="2:34">
      <c r="B4726" s="2">
        <f ca="1"/>
        <v>0.98005163809489826</v>
      </c>
      <c r="O4726" s="2">
        <f ca="1"/>
        <v>-0.43250759468516731</v>
      </c>
      <c r="X4726" s="2">
        <f ca="1"/>
        <v>54.158117232643619</v>
      </c>
      <c r="AG4726" s="2">
        <f ca="1"/>
        <v>0.97258152258077057</v>
      </c>
      <c r="AH4726" s="2" t="str">
        <f ca="1"/>
        <v>Bad</v>
      </c>
    </row>
    <row r="4727" spans="2:34">
      <c r="B4727" s="2">
        <f ca="1"/>
        <v>0.49726613927285834</v>
      </c>
      <c r="O4727" s="2">
        <f ca="1"/>
        <v>0.14837521256008684</v>
      </c>
      <c r="X4727" s="2">
        <f ca="1"/>
        <v>54.348949038477159</v>
      </c>
      <c r="AG4727" s="2">
        <f ca="1"/>
        <v>0.20628233467760504</v>
      </c>
      <c r="AH4727" s="2" t="str">
        <f ca="1"/>
        <v>OK</v>
      </c>
    </row>
    <row r="4728" spans="2:34">
      <c r="B4728" s="2">
        <f ca="1"/>
        <v>0.71115407174434919</v>
      </c>
      <c r="O4728" s="2">
        <f ca="1"/>
        <v>-6.7226473013783788E-2</v>
      </c>
      <c r="X4728" s="2">
        <f ca="1"/>
        <v>34.335825353087188</v>
      </c>
      <c r="AG4728" s="2">
        <f ca="1"/>
        <v>2.7692132594789864E-2</v>
      </c>
      <c r="AH4728" s="2" t="str">
        <f ca="1"/>
        <v>Good</v>
      </c>
    </row>
    <row r="4729" spans="2:34">
      <c r="B4729" s="2">
        <f ca="1"/>
        <v>0.53031043893129737</v>
      </c>
      <c r="O4729" s="2">
        <f ca="1"/>
        <v>-0.4253931792055417</v>
      </c>
      <c r="X4729" s="2">
        <f ca="1"/>
        <v>30.726985650640991</v>
      </c>
      <c r="AG4729" s="2">
        <f ca="1"/>
        <v>0.13848083373313647</v>
      </c>
      <c r="AH4729" s="2" t="str">
        <f ca="1"/>
        <v>OK</v>
      </c>
    </row>
    <row r="4730" spans="2:34">
      <c r="B4730" s="2">
        <f ca="1"/>
        <v>0.40984917315074276</v>
      </c>
      <c r="O4730" s="2">
        <f ca="1"/>
        <v>1.7989502080617332</v>
      </c>
      <c r="X4730" s="2">
        <f ca="1"/>
        <v>34.825391384021742</v>
      </c>
      <c r="AG4730" s="2">
        <f ca="1"/>
        <v>0.82480038496269659</v>
      </c>
      <c r="AH4730" s="2" t="str">
        <f ca="1"/>
        <v>Bad</v>
      </c>
    </row>
    <row r="4731" spans="2:34">
      <c r="B4731" s="2">
        <f ca="1"/>
        <v>0.96834455950418286</v>
      </c>
      <c r="O4731" s="2">
        <f ca="1"/>
        <v>-2.1519863567169502</v>
      </c>
      <c r="X4731" s="2">
        <f ca="1"/>
        <v>65.250095118129082</v>
      </c>
      <c r="AG4731" s="2">
        <f ca="1"/>
        <v>0.47611175365650715</v>
      </c>
      <c r="AH4731" s="2" t="str">
        <f ca="1"/>
        <v>Bad</v>
      </c>
    </row>
    <row r="4732" spans="2:34">
      <c r="B4732" s="2">
        <f ca="1"/>
        <v>9.1232021240228889E-2</v>
      </c>
      <c r="O4732" s="2">
        <f ca="1"/>
        <v>-1.5184988576680216</v>
      </c>
      <c r="X4732" s="2">
        <f ca="1"/>
        <v>68.804544766179845</v>
      </c>
      <c r="AG4732" s="2">
        <f ca="1"/>
        <v>0.71760869953885242</v>
      </c>
      <c r="AH4732" s="2" t="str">
        <f ca="1"/>
        <v>Bad</v>
      </c>
    </row>
    <row r="4733" spans="2:34">
      <c r="B4733" s="2">
        <f ca="1"/>
        <v>9.9558725847055829E-2</v>
      </c>
      <c r="O4733" s="2">
        <f ca="1"/>
        <v>2.0532242038706801</v>
      </c>
      <c r="X4733" s="2">
        <f ca="1"/>
        <v>35.642142843328315</v>
      </c>
      <c r="AG4733" s="2">
        <f ca="1"/>
        <v>0.24003515034315637</v>
      </c>
      <c r="AH4733" s="2" t="str">
        <f ca="1"/>
        <v>OK</v>
      </c>
    </row>
    <row r="4734" spans="2:34">
      <c r="B4734" s="2">
        <f ca="1"/>
        <v>0.46849426920626946</v>
      </c>
      <c r="O4734" s="2">
        <f ca="1"/>
        <v>-0.12670988070811057</v>
      </c>
      <c r="X4734" s="2">
        <f ca="1"/>
        <v>37.879907136515406</v>
      </c>
      <c r="AG4734" s="2">
        <f ca="1"/>
        <v>0.19848223777302598</v>
      </c>
      <c r="AH4734" s="2" t="str">
        <f ca="1"/>
        <v>OK</v>
      </c>
    </row>
    <row r="4735" spans="2:34">
      <c r="B4735" s="2">
        <f ca="1"/>
        <v>8.1789580041448762E-2</v>
      </c>
      <c r="O4735" s="2">
        <f ca="1"/>
        <v>2.3887122108922045</v>
      </c>
      <c r="X4735" s="2">
        <f ca="1"/>
        <v>42.066930533555258</v>
      </c>
      <c r="AG4735" s="2">
        <f ca="1"/>
        <v>0.68680960483324394</v>
      </c>
      <c r="AH4735" s="2" t="str">
        <f ca="1"/>
        <v>Bad</v>
      </c>
    </row>
    <row r="4736" spans="2:34">
      <c r="B4736" s="2">
        <f ca="1"/>
        <v>0.2956887684936842</v>
      </c>
      <c r="O4736" s="2">
        <f ca="1"/>
        <v>0.57841134381494808</v>
      </c>
      <c r="X4736" s="2">
        <f ca="1"/>
        <v>44.249760200450083</v>
      </c>
      <c r="AG4736" s="2">
        <f ca="1"/>
        <v>0.72318123448013893</v>
      </c>
      <c r="AH4736" s="2" t="str">
        <f ca="1"/>
        <v>Bad</v>
      </c>
    </row>
    <row r="4737" spans="2:34">
      <c r="B4737" s="2">
        <f ca="1"/>
        <v>0.14723420148618027</v>
      </c>
      <c r="O4737" s="2">
        <f ca="1"/>
        <v>5.093929114153866E-2</v>
      </c>
      <c r="X4737" s="2">
        <f ca="1"/>
        <v>59.614796325233627</v>
      </c>
      <c r="AG4737" s="2">
        <f ca="1"/>
        <v>0.64724239882336221</v>
      </c>
      <c r="AH4737" s="2" t="str">
        <f ca="1"/>
        <v>Bad</v>
      </c>
    </row>
    <row r="4738" spans="2:34">
      <c r="B4738" s="2">
        <f ca="1"/>
        <v>4.0604659952103717E-3</v>
      </c>
      <c r="O4738" s="2">
        <f ca="1"/>
        <v>0.45198930655444775</v>
      </c>
      <c r="X4738" s="2">
        <f ca="1"/>
        <v>38.258760553040197</v>
      </c>
      <c r="AG4738" s="2">
        <f ca="1"/>
        <v>0.38148471786543992</v>
      </c>
      <c r="AH4738" s="2" t="str">
        <f ca="1"/>
        <v>OK</v>
      </c>
    </row>
    <row r="4739" spans="2:34">
      <c r="B4739" s="2">
        <f ca="1"/>
        <v>0.34467678345460628</v>
      </c>
      <c r="O4739" s="2">
        <f ca="1"/>
        <v>0.37898196333202827</v>
      </c>
      <c r="X4739" s="2">
        <f ca="1"/>
        <v>26.914595104703519</v>
      </c>
      <c r="AG4739" s="2">
        <f ca="1"/>
        <v>0.29246638736570563</v>
      </c>
      <c r="AH4739" s="2" t="str">
        <f ca="1"/>
        <v>OK</v>
      </c>
    </row>
    <row r="4740" spans="2:34">
      <c r="B4740" s="2">
        <f ca="1"/>
        <v>0.36716853143557349</v>
      </c>
      <c r="O4740" s="2">
        <f ca="1"/>
        <v>-0.79838950339432202</v>
      </c>
      <c r="X4740" s="2">
        <f ca="1"/>
        <v>32.85401870043686</v>
      </c>
      <c r="AG4740" s="2">
        <f ca="1"/>
        <v>0.69278042831824727</v>
      </c>
      <c r="AH4740" s="2" t="str">
        <f ca="1"/>
        <v>Bad</v>
      </c>
    </row>
    <row r="4741" spans="2:34">
      <c r="B4741" s="2">
        <f ca="1"/>
        <v>0.26006410990414919</v>
      </c>
      <c r="O4741" s="2">
        <f ca="1"/>
        <v>1.8909434277796007</v>
      </c>
      <c r="X4741" s="2">
        <f ca="1"/>
        <v>42.999079853159401</v>
      </c>
      <c r="AG4741" s="2">
        <f ca="1"/>
        <v>0.19842593335703773</v>
      </c>
      <c r="AH4741" s="2" t="str">
        <f ca="1"/>
        <v>OK</v>
      </c>
    </row>
    <row r="4742" spans="2:34">
      <c r="B4742" s="2">
        <f ca="1"/>
        <v>0.15789725973746971</v>
      </c>
      <c r="O4742" s="2">
        <f ca="1"/>
        <v>-0.52573304390709585</v>
      </c>
      <c r="X4742" s="2">
        <f ca="1"/>
        <v>27.315127397573633</v>
      </c>
      <c r="AG4742" s="2">
        <f ca="1"/>
        <v>0.19055560966458418</v>
      </c>
      <c r="AH4742" s="2" t="str">
        <f ca="1"/>
        <v>OK</v>
      </c>
    </row>
    <row r="4743" spans="2:34">
      <c r="B4743" s="2">
        <f ca="1"/>
        <v>0.7429696100286094</v>
      </c>
      <c r="O4743" s="2">
        <f ca="1"/>
        <v>-1.3332924214174549</v>
      </c>
      <c r="X4743" s="2">
        <f ca="1"/>
        <v>35.252043186974419</v>
      </c>
      <c r="AG4743" s="2">
        <f ca="1"/>
        <v>0.74637877104326833</v>
      </c>
      <c r="AH4743" s="2" t="str">
        <f ca="1"/>
        <v>Bad</v>
      </c>
    </row>
    <row r="4744" spans="2:34">
      <c r="B4744" s="2">
        <f ca="1"/>
        <v>0.24314103689629696</v>
      </c>
      <c r="O4744" s="2">
        <f ca="1"/>
        <v>-0.47305704819875155</v>
      </c>
      <c r="X4744" s="2">
        <f ca="1"/>
        <v>44.591935380955974</v>
      </c>
      <c r="AG4744" s="2">
        <f ca="1"/>
        <v>0.91605882282881268</v>
      </c>
      <c r="AH4744" s="2" t="str">
        <f ca="1"/>
        <v>Bad</v>
      </c>
    </row>
    <row r="4745" spans="2:34">
      <c r="B4745" s="2">
        <f ca="1"/>
        <v>0.59892569879070967</v>
      </c>
      <c r="O4745" s="2">
        <f ca="1"/>
        <v>1.7543398462803073</v>
      </c>
      <c r="X4745" s="2">
        <f ca="1"/>
        <v>65.999443582018827</v>
      </c>
      <c r="AG4745" s="2">
        <f ca="1"/>
        <v>0.81496331150865964</v>
      </c>
      <c r="AH4745" s="2" t="str">
        <f ca="1"/>
        <v>Bad</v>
      </c>
    </row>
    <row r="4746" spans="2:34">
      <c r="B4746" s="2">
        <f ca="1"/>
        <v>0.77977890517155157</v>
      </c>
      <c r="O4746" s="2">
        <f ca="1"/>
        <v>0.2109208118848627</v>
      </c>
      <c r="X4746" s="2">
        <f ca="1"/>
        <v>54.628116314538815</v>
      </c>
      <c r="AG4746" s="2">
        <f ca="1"/>
        <v>0.613978602914101</v>
      </c>
      <c r="AH4746" s="2" t="str">
        <f ca="1"/>
        <v>Bad</v>
      </c>
    </row>
    <row r="4747" spans="2:34">
      <c r="B4747" s="2">
        <f ca="1"/>
        <v>0.19465183904236394</v>
      </c>
      <c r="O4747" s="2">
        <f ca="1"/>
        <v>0.89118740765863869</v>
      </c>
      <c r="X4747" s="2">
        <f ca="1"/>
        <v>39.012468285724474</v>
      </c>
      <c r="AG4747" s="2">
        <f ca="1"/>
        <v>4.4971644154797819E-2</v>
      </c>
      <c r="AH4747" s="2" t="str">
        <f ca="1"/>
        <v>Good</v>
      </c>
    </row>
    <row r="4748" spans="2:34">
      <c r="B4748" s="2">
        <f ca="1"/>
        <v>0.18760878754349464</v>
      </c>
      <c r="O4748" s="2">
        <f ca="1"/>
        <v>1.0639256239784125</v>
      </c>
      <c r="X4748" s="2">
        <f ca="1"/>
        <v>43.689583667500941</v>
      </c>
      <c r="AG4748" s="2">
        <f ca="1"/>
        <v>0.69842543014287184</v>
      </c>
      <c r="AH4748" s="2" t="str">
        <f ca="1"/>
        <v>Bad</v>
      </c>
    </row>
    <row r="4749" spans="2:34">
      <c r="B4749" s="2">
        <f ca="1"/>
        <v>0.82541869641095911</v>
      </c>
      <c r="O4749" s="2">
        <f ca="1"/>
        <v>5.6102320899406657E-2</v>
      </c>
      <c r="X4749" s="2">
        <f ca="1"/>
        <v>96.995977864642867</v>
      </c>
      <c r="AG4749" s="2">
        <f ca="1"/>
        <v>0.91959938918532402</v>
      </c>
      <c r="AH4749" s="2" t="str">
        <f ca="1"/>
        <v>Bad</v>
      </c>
    </row>
    <row r="4750" spans="2:34">
      <c r="B4750" s="2">
        <f ca="1"/>
        <v>0.3012589280986302</v>
      </c>
      <c r="O4750" s="2">
        <f ca="1"/>
        <v>0.70711146502660738</v>
      </c>
      <c r="X4750" s="2">
        <f ca="1"/>
        <v>35.608310285965118</v>
      </c>
      <c r="AG4750" s="2">
        <f ca="1"/>
        <v>0.8587885033655791</v>
      </c>
      <c r="AH4750" s="2" t="str">
        <f ca="1"/>
        <v>Bad</v>
      </c>
    </row>
    <row r="4751" spans="2:34">
      <c r="B4751" s="2">
        <f ca="1"/>
        <v>0.79165447432540081</v>
      </c>
      <c r="O4751" s="2">
        <f ca="1"/>
        <v>0.10020121044555647</v>
      </c>
      <c r="X4751" s="2">
        <f ca="1"/>
        <v>46.447533918283952</v>
      </c>
      <c r="AG4751" s="2">
        <f ca="1"/>
        <v>0.82577780663727562</v>
      </c>
      <c r="AH4751" s="2" t="str">
        <f ca="1"/>
        <v>Bad</v>
      </c>
    </row>
    <row r="4752" spans="2:34">
      <c r="B4752" s="2">
        <f ca="1"/>
        <v>0.5815464261894423</v>
      </c>
      <c r="O4752" s="2">
        <f ca="1"/>
        <v>-0.86656880779720924</v>
      </c>
      <c r="X4752" s="2">
        <f ca="1"/>
        <v>51.164470017738999</v>
      </c>
      <c r="AG4752" s="2">
        <f ca="1"/>
        <v>0.89650645004878138</v>
      </c>
      <c r="AH4752" s="2" t="str">
        <f ca="1"/>
        <v>Bad</v>
      </c>
    </row>
    <row r="4753" spans="2:34">
      <c r="B4753" s="2">
        <f ca="1"/>
        <v>0.24522676178627623</v>
      </c>
      <c r="O4753" s="2">
        <f ca="1"/>
        <v>-0.58205503863699282</v>
      </c>
      <c r="X4753" s="2">
        <f ca="1"/>
        <v>54.982126058060096</v>
      </c>
      <c r="AG4753" s="2">
        <f ca="1"/>
        <v>0.95044866298173614</v>
      </c>
      <c r="AH4753" s="2" t="str">
        <f ca="1"/>
        <v>Bad</v>
      </c>
    </row>
    <row r="4754" spans="2:34">
      <c r="B4754" s="2">
        <f ca="1"/>
        <v>0.80989172165589696</v>
      </c>
      <c r="O4754" s="2">
        <f ca="1"/>
        <v>-1.1272742074173527</v>
      </c>
      <c r="X4754" s="2">
        <f ca="1"/>
        <v>44.43249464009309</v>
      </c>
      <c r="AG4754" s="2">
        <f ca="1"/>
        <v>0.39116655185486482</v>
      </c>
      <c r="AH4754" s="2" t="str">
        <f ca="1"/>
        <v>OK</v>
      </c>
    </row>
    <row r="4755" spans="2:34">
      <c r="B4755" s="2">
        <f ca="1"/>
        <v>0.30322268420255405</v>
      </c>
      <c r="O4755" s="2">
        <f ca="1"/>
        <v>-9.1723852302459552E-2</v>
      </c>
      <c r="X4755" s="2">
        <f ca="1"/>
        <v>54.0083967462133</v>
      </c>
      <c r="AG4755" s="2">
        <f ca="1"/>
        <v>5.9098027884615378E-2</v>
      </c>
      <c r="AH4755" s="2" t="str">
        <f ca="1"/>
        <v>OK</v>
      </c>
    </row>
    <row r="4756" spans="2:34">
      <c r="B4756" s="2">
        <f ca="1"/>
        <v>0.28020088372172247</v>
      </c>
      <c r="O4756" s="2">
        <f ca="1"/>
        <v>0.79851383537948495</v>
      </c>
      <c r="X4756" s="2">
        <f ca="1"/>
        <v>47.50749474094026</v>
      </c>
      <c r="AG4756" s="2">
        <f ca="1"/>
        <v>0.22482147204975256</v>
      </c>
      <c r="AH4756" s="2" t="str">
        <f ca="1"/>
        <v>OK</v>
      </c>
    </row>
    <row r="4757" spans="2:34">
      <c r="B4757" s="2">
        <f ca="1"/>
        <v>0.10730949500202769</v>
      </c>
      <c r="O4757" s="2">
        <f ca="1"/>
        <v>-4.8341905087797371E-2</v>
      </c>
      <c r="X4757" s="2">
        <f ca="1"/>
        <v>33.309827808473486</v>
      </c>
      <c r="AG4757" s="2">
        <f ca="1"/>
        <v>0.15942974094164852</v>
      </c>
      <c r="AH4757" s="2" t="str">
        <f ca="1"/>
        <v>OK</v>
      </c>
    </row>
    <row r="4758" spans="2:34">
      <c r="B4758" s="2">
        <f ca="1"/>
        <v>0.94303835971218963</v>
      </c>
      <c r="O4758" s="2">
        <f ca="1"/>
        <v>1.1519768418301501</v>
      </c>
      <c r="X4758" s="2">
        <f ca="1"/>
        <v>79.007691248307765</v>
      </c>
      <c r="AG4758" s="2">
        <f ca="1"/>
        <v>0.2973567416706806</v>
      </c>
      <c r="AH4758" s="2" t="str">
        <f ca="1"/>
        <v>OK</v>
      </c>
    </row>
    <row r="4759" spans="2:34">
      <c r="B4759" s="2">
        <f ca="1"/>
        <v>0.61299281037521891</v>
      </c>
      <c r="O4759" s="2">
        <f ca="1"/>
        <v>-1.8269090530167669</v>
      </c>
      <c r="X4759" s="2">
        <f ca="1"/>
        <v>44.214709982514854</v>
      </c>
      <c r="AG4759" s="2">
        <f ca="1"/>
        <v>0.23216034511296346</v>
      </c>
      <c r="AH4759" s="2" t="str">
        <f ca="1"/>
        <v>OK</v>
      </c>
    </row>
    <row r="4760" spans="2:34">
      <c r="B4760" s="2">
        <f ca="1"/>
        <v>0.9483684366279288</v>
      </c>
      <c r="O4760" s="2">
        <f ca="1"/>
        <v>-1.1610070999976447</v>
      </c>
      <c r="X4760" s="2">
        <f ca="1"/>
        <v>36.787917344890907</v>
      </c>
      <c r="AG4760" s="2">
        <f ca="1"/>
        <v>0.85388588473835703</v>
      </c>
      <c r="AH4760" s="2" t="str">
        <f ca="1"/>
        <v>Bad</v>
      </c>
    </row>
    <row r="4761" spans="2:34">
      <c r="B4761" s="2">
        <f ca="1"/>
        <v>0.55782134709536368</v>
      </c>
      <c r="O4761" s="2">
        <f ca="1"/>
        <v>-0.57099520750009913</v>
      </c>
      <c r="X4761" s="2">
        <f ca="1"/>
        <v>52.454001677032537</v>
      </c>
      <c r="AG4761" s="2">
        <f ca="1"/>
        <v>0.14522263965505267</v>
      </c>
      <c r="AH4761" s="2" t="str">
        <f ca="1"/>
        <v>OK</v>
      </c>
    </row>
    <row r="4762" spans="2:34">
      <c r="B4762" s="2">
        <f ca="1"/>
        <v>0.81294154688152909</v>
      </c>
      <c r="O4762" s="2">
        <f ca="1"/>
        <v>0.27071346224090004</v>
      </c>
      <c r="X4762" s="2">
        <f ca="1"/>
        <v>20.65460049934881</v>
      </c>
      <c r="AG4762" s="2">
        <f ca="1"/>
        <v>0.905465844805178</v>
      </c>
      <c r="AH4762" s="2" t="str">
        <f ca="1"/>
        <v>Bad</v>
      </c>
    </row>
    <row r="4763" spans="2:34">
      <c r="B4763" s="2">
        <f ca="1"/>
        <v>0.65795702242081577</v>
      </c>
      <c r="O4763" s="2">
        <f ca="1"/>
        <v>1.4822626528235468E-2</v>
      </c>
      <c r="X4763" s="2">
        <f ca="1"/>
        <v>71.166073263737175</v>
      </c>
      <c r="AG4763" s="2">
        <f ca="1"/>
        <v>0.24608284951344928</v>
      </c>
      <c r="AH4763" s="2" t="str">
        <f ca="1"/>
        <v>OK</v>
      </c>
    </row>
    <row r="4764" spans="2:34">
      <c r="B4764" s="2">
        <f ca="1"/>
        <v>0.38578065890678492</v>
      </c>
      <c r="O4764" s="2">
        <f ca="1"/>
        <v>0.47983750628598754</v>
      </c>
      <c r="X4764" s="2">
        <f ca="1"/>
        <v>39.511714460072589</v>
      </c>
      <c r="AG4764" s="2">
        <f ca="1"/>
        <v>0.17802407504429807</v>
      </c>
      <c r="AH4764" s="2" t="str">
        <f ca="1"/>
        <v>OK</v>
      </c>
    </row>
    <row r="4765" spans="2:34">
      <c r="B4765" s="2">
        <f ca="1"/>
        <v>0.19140409382548063</v>
      </c>
      <c r="O4765" s="2">
        <f ca="1"/>
        <v>0.75492385651640559</v>
      </c>
      <c r="X4765" s="2">
        <f ca="1"/>
        <v>37.258237407309565</v>
      </c>
      <c r="AG4765" s="2">
        <f ca="1"/>
        <v>0.49614382676084423</v>
      </c>
      <c r="AH4765" s="2" t="str">
        <f ca="1"/>
        <v>Bad</v>
      </c>
    </row>
    <row r="4766" spans="2:34">
      <c r="B4766" s="2">
        <f ca="1"/>
        <v>0.49151578724821365</v>
      </c>
      <c r="O4766" s="2">
        <f ca="1"/>
        <v>-1.4516420121549702</v>
      </c>
      <c r="X4766" s="2">
        <f ca="1"/>
        <v>70.992768950344697</v>
      </c>
      <c r="AG4766" s="2">
        <f ca="1"/>
        <v>2.2747306960921865E-3</v>
      </c>
      <c r="AH4766" s="2" t="str">
        <f ca="1"/>
        <v>Good</v>
      </c>
    </row>
    <row r="4767" spans="2:34">
      <c r="B4767" s="2">
        <f ca="1"/>
        <v>0.89636511487187231</v>
      </c>
      <c r="O4767" s="2">
        <f ca="1"/>
        <v>-0.67463090604817322</v>
      </c>
      <c r="X4767" s="2">
        <f ca="1"/>
        <v>20.442346481662938</v>
      </c>
      <c r="AG4767" s="2">
        <f ca="1"/>
        <v>0.67172229661233351</v>
      </c>
      <c r="AH4767" s="2" t="str">
        <f ca="1"/>
        <v>Bad</v>
      </c>
    </row>
    <row r="4768" spans="2:34">
      <c r="B4768" s="2">
        <f ca="1"/>
        <v>0.84783708350422238</v>
      </c>
      <c r="O4768" s="2">
        <f ca="1"/>
        <v>1.9386642969957379</v>
      </c>
      <c r="X4768" s="2">
        <f ca="1"/>
        <v>57.118708853690904</v>
      </c>
      <c r="AG4768" s="2">
        <f ca="1"/>
        <v>0.60029963269830655</v>
      </c>
      <c r="AH4768" s="2" t="str">
        <f ca="1"/>
        <v>Bad</v>
      </c>
    </row>
    <row r="4769" spans="2:34">
      <c r="B4769" s="2">
        <f ca="1"/>
        <v>0.57164002086283028</v>
      </c>
      <c r="O4769" s="2">
        <f ca="1"/>
        <v>-0.49935494399275437</v>
      </c>
      <c r="X4769" s="2">
        <f ca="1"/>
        <v>35.804364759262477</v>
      </c>
      <c r="AG4769" s="2">
        <f ca="1"/>
        <v>0.20420381976255397</v>
      </c>
      <c r="AH4769" s="2" t="str">
        <f ca="1"/>
        <v>OK</v>
      </c>
    </row>
    <row r="4770" spans="2:34">
      <c r="B4770" s="2">
        <f ca="1"/>
        <v>0.69543595060193808</v>
      </c>
      <c r="O4770" s="2">
        <f ca="1"/>
        <v>-0.45199762371567531</v>
      </c>
      <c r="X4770" s="2">
        <f ca="1"/>
        <v>44.918742322830951</v>
      </c>
      <c r="AG4770" s="2">
        <f ca="1"/>
        <v>0.11825418841006519</v>
      </c>
      <c r="AH4770" s="2" t="str">
        <f ca="1"/>
        <v>OK</v>
      </c>
    </row>
    <row r="4771" spans="2:34">
      <c r="B4771" s="2">
        <f ca="1"/>
        <v>0.44780941921017092</v>
      </c>
      <c r="O4771" s="2">
        <f ca="1"/>
        <v>2.1806512600997632</v>
      </c>
      <c r="X4771" s="2">
        <f ca="1"/>
        <v>50.215785873999323</v>
      </c>
      <c r="AG4771" s="2">
        <f ca="1"/>
        <v>0.53804158524095747</v>
      </c>
      <c r="AH4771" s="2" t="str">
        <f ca="1"/>
        <v>Bad</v>
      </c>
    </row>
    <row r="4772" spans="2:34">
      <c r="B4772" s="2">
        <f ca="1"/>
        <v>0.12618886531246298</v>
      </c>
      <c r="O4772" s="2">
        <f ca="1"/>
        <v>0.33829772285013493</v>
      </c>
      <c r="X4772" s="2">
        <f ca="1"/>
        <v>28.754334469523638</v>
      </c>
      <c r="AG4772" s="2">
        <f ca="1"/>
        <v>0.8882070107689739</v>
      </c>
      <c r="AH4772" s="2" t="str">
        <f ca="1"/>
        <v>Bad</v>
      </c>
    </row>
    <row r="4773" spans="2:34">
      <c r="B4773" s="2">
        <f ca="1"/>
        <v>4.3422531596851499E-2</v>
      </c>
      <c r="O4773" s="2">
        <f ca="1"/>
        <v>-2.0830615831279373</v>
      </c>
      <c r="X4773" s="2">
        <f ca="1"/>
        <v>45.863856537343473</v>
      </c>
      <c r="AG4773" s="2">
        <f ca="1"/>
        <v>3.6239409132952316E-2</v>
      </c>
      <c r="AH4773" s="2" t="str">
        <f ca="1"/>
        <v>Good</v>
      </c>
    </row>
    <row r="4774" spans="2:34">
      <c r="B4774" s="2">
        <f ca="1"/>
        <v>0.77195822863108066</v>
      </c>
      <c r="O4774" s="2">
        <f ca="1"/>
        <v>-0.17457429691148946</v>
      </c>
      <c r="X4774" s="2">
        <f ca="1"/>
        <v>34.600221731224593</v>
      </c>
      <c r="AG4774" s="2">
        <f ca="1"/>
        <v>0.21221594203951843</v>
      </c>
      <c r="AH4774" s="2" t="str">
        <f ca="1"/>
        <v>OK</v>
      </c>
    </row>
    <row r="4775" spans="2:34">
      <c r="B4775" s="2">
        <f ca="1"/>
        <v>0.39253340797488834</v>
      </c>
      <c r="O4775" s="2">
        <f ca="1"/>
        <v>1.0641114057765841</v>
      </c>
      <c r="X4775" s="2">
        <f ca="1"/>
        <v>44.75939337185757</v>
      </c>
      <c r="AG4775" s="2">
        <f ca="1"/>
        <v>0.49619271254269304</v>
      </c>
      <c r="AH4775" s="2" t="str">
        <f ca="1"/>
        <v>Bad</v>
      </c>
    </row>
    <row r="4776" spans="2:34">
      <c r="B4776" s="2">
        <f ca="1"/>
        <v>0.1239438439600915</v>
      </c>
      <c r="O4776" s="2">
        <f ca="1"/>
        <v>-0.24815313827630997</v>
      </c>
      <c r="X4776" s="2">
        <f ca="1"/>
        <v>56.90401841188465</v>
      </c>
      <c r="AG4776" s="2">
        <f ca="1"/>
        <v>0.24639412042863329</v>
      </c>
      <c r="AH4776" s="2" t="str">
        <f ca="1"/>
        <v>OK</v>
      </c>
    </row>
    <row r="4777" spans="2:34">
      <c r="B4777" s="2">
        <f ca="1"/>
        <v>0.6966502599223876</v>
      </c>
      <c r="O4777" s="2">
        <f ca="1"/>
        <v>-0.10082355927705455</v>
      </c>
      <c r="X4777" s="2">
        <f ca="1"/>
        <v>43.238798724438539</v>
      </c>
      <c r="AG4777" s="2">
        <f ca="1"/>
        <v>0.44111569547957075</v>
      </c>
      <c r="AH4777" s="2" t="str">
        <f ca="1"/>
        <v>Bad</v>
      </c>
    </row>
    <row r="4778" spans="2:34">
      <c r="B4778" s="2">
        <f ca="1"/>
        <v>0.43672346776106385</v>
      </c>
      <c r="O4778" s="2">
        <f ca="1"/>
        <v>0.51141193525320106</v>
      </c>
      <c r="X4778" s="2">
        <f ca="1"/>
        <v>30.239301158355069</v>
      </c>
      <c r="AG4778" s="2">
        <f ca="1"/>
        <v>0.42581744228922735</v>
      </c>
      <c r="AH4778" s="2" t="str">
        <f ca="1"/>
        <v>Bad</v>
      </c>
    </row>
    <row r="4779" spans="2:34">
      <c r="B4779" s="2">
        <f ca="1"/>
        <v>0.10563498326159149</v>
      </c>
      <c r="O4779" s="2">
        <f ca="1"/>
        <v>0.70783964181532766</v>
      </c>
      <c r="X4779" s="2">
        <f ca="1"/>
        <v>47.899241290997736</v>
      </c>
      <c r="AG4779" s="2">
        <f ca="1"/>
        <v>0.11470597805678273</v>
      </c>
      <c r="AH4779" s="2" t="str">
        <f ca="1"/>
        <v>OK</v>
      </c>
    </row>
    <row r="4780" spans="2:34">
      <c r="B4780" s="2">
        <f ca="1"/>
        <v>0.22820192644868009</v>
      </c>
      <c r="O4780" s="2">
        <f ca="1"/>
        <v>0.33887863243301014</v>
      </c>
      <c r="X4780" s="2">
        <f ca="1"/>
        <v>73.391940823938484</v>
      </c>
      <c r="AG4780" s="2">
        <f ca="1"/>
        <v>0.83391819820309854</v>
      </c>
      <c r="AH4780" s="2" t="str">
        <f ca="1"/>
        <v>Bad</v>
      </c>
    </row>
    <row r="4781" spans="2:34">
      <c r="B4781" s="2">
        <f ca="1"/>
        <v>2.3595375180359923E-2</v>
      </c>
      <c r="O4781" s="2">
        <f ca="1"/>
        <v>0.45901092708968427</v>
      </c>
      <c r="X4781" s="2">
        <f ca="1"/>
        <v>65.000199756716754</v>
      </c>
      <c r="AG4781" s="2">
        <f ca="1"/>
        <v>0.64586183300687994</v>
      </c>
      <c r="AH4781" s="2" t="str">
        <f ca="1"/>
        <v>Bad</v>
      </c>
    </row>
    <row r="4782" spans="2:34">
      <c r="B4782" s="2">
        <f ca="1"/>
        <v>0.77082277207385563</v>
      </c>
      <c r="O4782" s="2">
        <f ca="1"/>
        <v>-1.294268860496619</v>
      </c>
      <c r="X4782" s="2">
        <f ca="1"/>
        <v>54.509610588757468</v>
      </c>
      <c r="AG4782" s="2">
        <f ca="1"/>
        <v>0.88963216252168564</v>
      </c>
      <c r="AH4782" s="2" t="str">
        <f ca="1"/>
        <v>Bad</v>
      </c>
    </row>
    <row r="4783" spans="2:34">
      <c r="B4783" s="2">
        <f ca="1"/>
        <v>0.44340383342223921</v>
      </c>
      <c r="O4783" s="2">
        <f ca="1"/>
        <v>0.51555726569516958</v>
      </c>
      <c r="X4783" s="2">
        <f ca="1"/>
        <v>36.679650452437031</v>
      </c>
      <c r="AG4783" s="2">
        <f ca="1"/>
        <v>3.6957192659641924E-2</v>
      </c>
      <c r="AH4783" s="2" t="str">
        <f ca="1"/>
        <v>Good</v>
      </c>
    </row>
    <row r="4784" spans="2:34">
      <c r="B4784" s="2">
        <f ca="1"/>
        <v>0.31737244661081987</v>
      </c>
      <c r="O4784" s="2">
        <f ca="1"/>
        <v>0.49224486923305139</v>
      </c>
      <c r="X4784" s="2">
        <f ca="1"/>
        <v>43.944614641089004</v>
      </c>
      <c r="AG4784" s="2">
        <f ca="1"/>
        <v>0.91563975294158917</v>
      </c>
      <c r="AH4784" s="2" t="str">
        <f ca="1"/>
        <v>Bad</v>
      </c>
    </row>
    <row r="4785" spans="2:34">
      <c r="B4785" s="2">
        <f ca="1"/>
        <v>0.78238858262164146</v>
      </c>
      <c r="O4785" s="2">
        <f ca="1"/>
        <v>-0.65669453707447145</v>
      </c>
      <c r="X4785" s="2">
        <f ca="1"/>
        <v>23.58435342097448</v>
      </c>
      <c r="AG4785" s="2">
        <f ca="1"/>
        <v>0.73195597557559822</v>
      </c>
      <c r="AH4785" s="2" t="str">
        <f ca="1"/>
        <v>Bad</v>
      </c>
    </row>
    <row r="4786" spans="2:34">
      <c r="B4786" s="2">
        <f ca="1"/>
        <v>0.36180113139975845</v>
      </c>
      <c r="O4786" s="2">
        <f ca="1"/>
        <v>-0.64985239614030188</v>
      </c>
      <c r="X4786" s="2">
        <f ca="1"/>
        <v>77.209380878769906</v>
      </c>
      <c r="AG4786" s="2">
        <f ca="1"/>
        <v>0.28661679681046026</v>
      </c>
      <c r="AH4786" s="2" t="str">
        <f ca="1"/>
        <v>OK</v>
      </c>
    </row>
    <row r="4787" spans="2:34">
      <c r="B4787" s="2">
        <f ca="1"/>
        <v>0.78354274834353643</v>
      </c>
      <c r="O4787" s="2">
        <f ca="1"/>
        <v>0.79794940539991877</v>
      </c>
      <c r="X4787" s="2">
        <f ca="1"/>
        <v>72.15864431739368</v>
      </c>
      <c r="AG4787" s="2">
        <f ca="1"/>
        <v>0.1989513718267335</v>
      </c>
      <c r="AH4787" s="2" t="str">
        <f ca="1"/>
        <v>OK</v>
      </c>
    </row>
    <row r="4788" spans="2:34">
      <c r="B4788" s="2">
        <f ca="1"/>
        <v>0.53768982663936726</v>
      </c>
      <c r="O4788" s="2">
        <f ca="1"/>
        <v>-0.10939661022155465</v>
      </c>
      <c r="X4788" s="2">
        <f ca="1"/>
        <v>46.127891449845215</v>
      </c>
      <c r="AG4788" s="2">
        <f ca="1"/>
        <v>0.21049662100196986</v>
      </c>
      <c r="AH4788" s="2" t="str">
        <f ca="1"/>
        <v>OK</v>
      </c>
    </row>
    <row r="4789" spans="2:34">
      <c r="B4789" s="2">
        <f ca="1"/>
        <v>1.6823312672323842E-2</v>
      </c>
      <c r="O4789" s="2">
        <f ca="1"/>
        <v>-0.65003633854842147</v>
      </c>
      <c r="X4789" s="2">
        <f ca="1"/>
        <v>60.247510877876955</v>
      </c>
      <c r="AG4789" s="2">
        <f ca="1"/>
        <v>0.43855266323989595</v>
      </c>
      <c r="AH4789" s="2" t="str">
        <f ca="1"/>
        <v>Bad</v>
      </c>
    </row>
    <row r="4790" spans="2:34">
      <c r="B4790" s="2">
        <f ca="1"/>
        <v>0.45733016463881082</v>
      </c>
      <c r="O4790" s="2">
        <f ca="1"/>
        <v>-1.6280299727511014</v>
      </c>
      <c r="X4790" s="2">
        <f ca="1"/>
        <v>54.89048297091658</v>
      </c>
      <c r="AG4790" s="2">
        <f ca="1"/>
        <v>0.19973503559622974</v>
      </c>
      <c r="AH4790" s="2" t="str">
        <f ca="1"/>
        <v>OK</v>
      </c>
    </row>
    <row r="4791" spans="2:34">
      <c r="B4791" s="2">
        <f ca="1"/>
        <v>0.11898840075873407</v>
      </c>
      <c r="O4791" s="2">
        <f ca="1"/>
        <v>-0.86916356470939182</v>
      </c>
      <c r="X4791" s="2">
        <f ca="1"/>
        <v>47.676015430298911</v>
      </c>
      <c r="AG4791" s="2">
        <f ca="1"/>
        <v>0.12897280175003534</v>
      </c>
      <c r="AH4791" s="2" t="str">
        <f ca="1"/>
        <v>OK</v>
      </c>
    </row>
    <row r="4792" spans="2:34">
      <c r="B4792" s="2">
        <f ca="1"/>
        <v>0.28853693846085959</v>
      </c>
      <c r="O4792" s="2">
        <f ca="1"/>
        <v>0.41011281406460831</v>
      </c>
      <c r="X4792" s="2">
        <f ca="1"/>
        <v>35.599433362488163</v>
      </c>
      <c r="AG4792" s="2">
        <f ca="1"/>
        <v>0.12670282448183512</v>
      </c>
      <c r="AH4792" s="2" t="str">
        <f ca="1"/>
        <v>OK</v>
      </c>
    </row>
    <row r="4793" spans="2:34">
      <c r="B4793" s="2">
        <f ca="1"/>
        <v>0.76288396035672768</v>
      </c>
      <c r="O4793" s="2">
        <f ca="1"/>
        <v>0.62126375001444212</v>
      </c>
      <c r="X4793" s="2">
        <f ca="1"/>
        <v>47.323283106819297</v>
      </c>
      <c r="AG4793" s="2">
        <f ca="1"/>
        <v>0.46326587397078089</v>
      </c>
      <c r="AH4793" s="2" t="str">
        <f ca="1"/>
        <v>Bad</v>
      </c>
    </row>
    <row r="4794" spans="2:34">
      <c r="B4794" s="2">
        <f ca="1"/>
        <v>6.9712394995487426E-2</v>
      </c>
      <c r="O4794" s="2">
        <f ca="1"/>
        <v>-0.72120631811528768</v>
      </c>
      <c r="X4794" s="2">
        <f ca="1"/>
        <v>51.202214833094011</v>
      </c>
      <c r="AG4794" s="2">
        <f ca="1"/>
        <v>0.55008798395408642</v>
      </c>
      <c r="AH4794" s="2" t="str">
        <f ca="1"/>
        <v>Bad</v>
      </c>
    </row>
    <row r="4795" spans="2:34">
      <c r="B4795" s="2">
        <f ca="1"/>
        <v>0.71465277009983241</v>
      </c>
      <c r="O4795" s="2">
        <f ca="1"/>
        <v>-2.6902585923981399</v>
      </c>
      <c r="X4795" s="2">
        <f ca="1"/>
        <v>54.464004628111837</v>
      </c>
      <c r="AG4795" s="2">
        <f ca="1"/>
        <v>0.78060377242536783</v>
      </c>
      <c r="AH4795" s="2" t="str">
        <f ca="1"/>
        <v>Bad</v>
      </c>
    </row>
    <row r="4796" spans="2:34">
      <c r="B4796" s="2">
        <f ca="1"/>
        <v>0.95951769776228413</v>
      </c>
      <c r="O4796" s="2">
        <f ca="1"/>
        <v>-0.49565169495225986</v>
      </c>
      <c r="X4796" s="2">
        <f ca="1"/>
        <v>57.940168146038033</v>
      </c>
      <c r="AG4796" s="2">
        <f ca="1"/>
        <v>0.51426035499105871</v>
      </c>
      <c r="AH4796" s="2" t="str">
        <f ca="1"/>
        <v>Bad</v>
      </c>
    </row>
    <row r="4797" spans="2:34">
      <c r="B4797" s="2">
        <f ca="1"/>
        <v>0.28119793627428713</v>
      </c>
      <c r="O4797" s="2">
        <f ca="1"/>
        <v>-1.0181658194059475</v>
      </c>
      <c r="X4797" s="2">
        <f ca="1"/>
        <v>85.130843436842639</v>
      </c>
      <c r="AG4797" s="2">
        <f ca="1"/>
        <v>0.42544840993044497</v>
      </c>
      <c r="AH4797" s="2" t="str">
        <f ca="1"/>
        <v>Bad</v>
      </c>
    </row>
    <row r="4798" spans="2:34">
      <c r="B4798" s="2">
        <f ca="1"/>
        <v>0.74852331527159666</v>
      </c>
      <c r="O4798" s="2">
        <f ca="1"/>
        <v>0.47418951762448841</v>
      </c>
      <c r="X4798" s="2">
        <f ca="1"/>
        <v>34.508905395253542</v>
      </c>
      <c r="AG4798" s="2">
        <f ca="1"/>
        <v>0.49146740093203145</v>
      </c>
      <c r="AH4798" s="2" t="str">
        <f ca="1"/>
        <v>Bad</v>
      </c>
    </row>
    <row r="4799" spans="2:34">
      <c r="B4799" s="2">
        <f ca="1"/>
        <v>0.36931729724385476</v>
      </c>
      <c r="O4799" s="2">
        <f ca="1"/>
        <v>0.2505637139708391</v>
      </c>
      <c r="X4799" s="2">
        <f ca="1"/>
        <v>42.208350060603259</v>
      </c>
      <c r="AG4799" s="2">
        <f ca="1"/>
        <v>0.16598399141650688</v>
      </c>
      <c r="AH4799" s="2" t="str">
        <f ca="1"/>
        <v>OK</v>
      </c>
    </row>
    <row r="4800" spans="2:34">
      <c r="B4800" s="2">
        <f ca="1"/>
        <v>0.86277103158677226</v>
      </c>
      <c r="O4800" s="2">
        <f ca="1"/>
        <v>-1.4399303035965543</v>
      </c>
      <c r="X4800" s="2">
        <f ca="1"/>
        <v>58.713338889818729</v>
      </c>
      <c r="AG4800" s="2">
        <f ca="1"/>
        <v>0.81859889099654759</v>
      </c>
      <c r="AH4800" s="2" t="str">
        <f ca="1"/>
        <v>Bad</v>
      </c>
    </row>
    <row r="4801" spans="2:34">
      <c r="B4801" s="2">
        <f ca="1"/>
        <v>0.18929145115947077</v>
      </c>
      <c r="O4801" s="2">
        <f ca="1"/>
        <v>-0.96273448804958106</v>
      </c>
      <c r="X4801" s="2">
        <f ca="1"/>
        <v>34.569700374153271</v>
      </c>
      <c r="AG4801" s="2">
        <f ca="1"/>
        <v>0.91600579897957446</v>
      </c>
      <c r="AH4801" s="2" t="str">
        <f ca="1"/>
        <v>Bad</v>
      </c>
    </row>
    <row r="4802" spans="2:34">
      <c r="B4802" s="2">
        <f ca="1"/>
        <v>2.8344999372238888E-2</v>
      </c>
      <c r="O4802" s="2">
        <f ca="1"/>
        <v>-2.9100226250490877</v>
      </c>
      <c r="X4802" s="2">
        <f ca="1"/>
        <v>49.269351456933101</v>
      </c>
      <c r="AG4802" s="2">
        <f ca="1"/>
        <v>0.82365553526555524</v>
      </c>
      <c r="AH4802" s="2" t="str">
        <f ca="1"/>
        <v>Bad</v>
      </c>
    </row>
    <row r="4803" spans="2:34">
      <c r="B4803" s="2">
        <f ca="1"/>
        <v>0.84372264554023113</v>
      </c>
      <c r="O4803" s="2">
        <f ca="1"/>
        <v>0.22451080139943921</v>
      </c>
      <c r="X4803" s="2">
        <f ca="1"/>
        <v>49.62975222440587</v>
      </c>
      <c r="AG4803" s="2">
        <f ca="1"/>
        <v>0.16564907819810992</v>
      </c>
      <c r="AH4803" s="2" t="str">
        <f ca="1"/>
        <v>OK</v>
      </c>
    </row>
    <row r="4804" spans="2:34">
      <c r="B4804" s="2">
        <f ca="1"/>
        <v>0.9448295796705235</v>
      </c>
      <c r="O4804" s="2">
        <f ca="1"/>
        <v>-0.91262134817354168</v>
      </c>
      <c r="X4804" s="2">
        <f ca="1"/>
        <v>47.937507563144607</v>
      </c>
      <c r="AG4804" s="2">
        <f ca="1"/>
        <v>0.20750896674168828</v>
      </c>
      <c r="AH4804" s="2" t="str">
        <f ca="1"/>
        <v>OK</v>
      </c>
    </row>
    <row r="4805" spans="2:34">
      <c r="B4805" s="2">
        <f ca="1"/>
        <v>0.92585642213423047</v>
      </c>
      <c r="O4805" s="2">
        <f ca="1"/>
        <v>-0.95245113437444173</v>
      </c>
      <c r="X4805" s="2">
        <f ca="1"/>
        <v>52.778598259870492</v>
      </c>
      <c r="AG4805" s="2">
        <f ca="1"/>
        <v>0.94642901508552235</v>
      </c>
      <c r="AH4805" s="2" t="str">
        <f ca="1"/>
        <v>Bad</v>
      </c>
    </row>
    <row r="4806" spans="2:34">
      <c r="B4806" s="2">
        <f ca="1"/>
        <v>0.5198489320237194</v>
      </c>
      <c r="O4806" s="2">
        <f ca="1"/>
        <v>-1.537629012907173</v>
      </c>
      <c r="X4806" s="2">
        <f ca="1"/>
        <v>55.0864621846166</v>
      </c>
      <c r="AG4806" s="2">
        <f ca="1"/>
        <v>0.75337267930697593</v>
      </c>
      <c r="AH4806" s="2" t="str">
        <f ca="1"/>
        <v>Bad</v>
      </c>
    </row>
    <row r="4807" spans="2:34">
      <c r="B4807" s="2">
        <f ca="1"/>
        <v>0.36081385308490144</v>
      </c>
      <c r="O4807" s="2">
        <f ca="1"/>
        <v>-0.18161076256080175</v>
      </c>
      <c r="X4807" s="2">
        <f ca="1"/>
        <v>36.134344399074926</v>
      </c>
      <c r="AG4807" s="2">
        <f ca="1"/>
        <v>0.84573939714680502</v>
      </c>
      <c r="AH4807" s="2" t="str">
        <f ca="1"/>
        <v>Bad</v>
      </c>
    </row>
    <row r="4808" spans="2:34">
      <c r="B4808" s="2">
        <f ca="1"/>
        <v>0.8412328592156777</v>
      </c>
      <c r="O4808" s="2">
        <f ca="1"/>
        <v>-0.21013840922517402</v>
      </c>
      <c r="X4808" s="2">
        <f ca="1"/>
        <v>54.235082230541607</v>
      </c>
      <c r="AG4808" s="2">
        <f ca="1"/>
        <v>0.78534152298026982</v>
      </c>
      <c r="AH4808" s="2" t="str">
        <f ca="1"/>
        <v>Bad</v>
      </c>
    </row>
    <row r="4809" spans="2:34">
      <c r="B4809" s="2">
        <f ca="1"/>
        <v>0.89858965229673027</v>
      </c>
      <c r="O4809" s="2">
        <f ca="1"/>
        <v>1.6708474752737317</v>
      </c>
      <c r="X4809" s="2">
        <f ca="1"/>
        <v>33.876032086392172</v>
      </c>
      <c r="AG4809" s="2">
        <f ca="1"/>
        <v>0.49717530145170041</v>
      </c>
      <c r="AH4809" s="2" t="str">
        <f ca="1"/>
        <v>Bad</v>
      </c>
    </row>
    <row r="4810" spans="2:34">
      <c r="B4810" s="2">
        <f ca="1"/>
        <v>0.7525374892468395</v>
      </c>
      <c r="O4810" s="2">
        <f ca="1"/>
        <v>-0.4039554532641299</v>
      </c>
      <c r="X4810" s="2">
        <f ca="1"/>
        <v>45.81097977406116</v>
      </c>
      <c r="AG4810" s="2">
        <f ca="1"/>
        <v>0.19199565101533445</v>
      </c>
      <c r="AH4810" s="2" t="str">
        <f ca="1"/>
        <v>OK</v>
      </c>
    </row>
    <row r="4811" spans="2:34">
      <c r="B4811" s="2">
        <f ca="1"/>
        <v>0.79239603640398859</v>
      </c>
      <c r="O4811" s="2">
        <f ca="1"/>
        <v>1.2289710591946663</v>
      </c>
      <c r="X4811" s="2">
        <f ca="1"/>
        <v>43.153376513456827</v>
      </c>
      <c r="AG4811" s="2">
        <f ca="1"/>
        <v>4.3972089887451826E-3</v>
      </c>
      <c r="AH4811" s="2" t="str">
        <f ca="1"/>
        <v>Good</v>
      </c>
    </row>
    <row r="4812" spans="2:34">
      <c r="B4812" s="2">
        <f ca="1"/>
        <v>0.56749981048046161</v>
      </c>
      <c r="O4812" s="2">
        <f ca="1"/>
        <v>1.0773644565455716</v>
      </c>
      <c r="X4812" s="2">
        <f ca="1"/>
        <v>35.113996587974121</v>
      </c>
      <c r="AG4812" s="2">
        <f ca="1"/>
        <v>0.51017541851016035</v>
      </c>
      <c r="AH4812" s="2" t="str">
        <f ca="1"/>
        <v>Bad</v>
      </c>
    </row>
    <row r="4813" spans="2:34">
      <c r="B4813" s="2">
        <f ca="1"/>
        <v>0.38163631880806181</v>
      </c>
      <c r="O4813" s="2">
        <f ca="1"/>
        <v>-1.3089930030241448</v>
      </c>
      <c r="X4813" s="2">
        <f ca="1"/>
        <v>68.444829871631015</v>
      </c>
      <c r="AG4813" s="2">
        <f ca="1"/>
        <v>0.79153901098397839</v>
      </c>
      <c r="AH4813" s="2" t="str">
        <f ca="1"/>
        <v>Bad</v>
      </c>
    </row>
    <row r="4814" spans="2:34">
      <c r="B4814" s="2">
        <f ca="1"/>
        <v>0.20587032303909991</v>
      </c>
      <c r="O4814" s="2">
        <f ca="1"/>
        <v>0.40291708469074516</v>
      </c>
      <c r="X4814" s="2">
        <f ca="1"/>
        <v>79.810887846525475</v>
      </c>
      <c r="AG4814" s="2">
        <f ca="1"/>
        <v>0.43733370211890032</v>
      </c>
      <c r="AH4814" s="2" t="str">
        <f ca="1"/>
        <v>Bad</v>
      </c>
    </row>
    <row r="4815" spans="2:34">
      <c r="B4815" s="2">
        <f ca="1"/>
        <v>0.13560851863183587</v>
      </c>
      <c r="O4815" s="2">
        <f ca="1"/>
        <v>-0.73132906549259091</v>
      </c>
      <c r="X4815" s="2">
        <f ca="1"/>
        <v>35.877439830622521</v>
      </c>
      <c r="AG4815" s="2">
        <f ca="1"/>
        <v>0.84021604029457309</v>
      </c>
      <c r="AH4815" s="2" t="str">
        <f ca="1"/>
        <v>Bad</v>
      </c>
    </row>
    <row r="4816" spans="2:34">
      <c r="B4816" s="2">
        <f ca="1"/>
        <v>0.17685510067985222</v>
      </c>
      <c r="O4816" s="2">
        <f ca="1"/>
        <v>-0.96953573855833308</v>
      </c>
      <c r="X4816" s="2">
        <f ca="1"/>
        <v>41.590743013474537</v>
      </c>
      <c r="AG4816" s="2">
        <f ca="1"/>
        <v>0.59407181010671217</v>
      </c>
      <c r="AH4816" s="2" t="str">
        <f ca="1"/>
        <v>Bad</v>
      </c>
    </row>
    <row r="4817" spans="2:34">
      <c r="B4817" s="2">
        <f ca="1"/>
        <v>0.10939982978445828</v>
      </c>
      <c r="O4817" s="2">
        <f ca="1"/>
        <v>-0.78401448923581818</v>
      </c>
      <c r="X4817" s="2">
        <f ca="1"/>
        <v>26.63994559777592</v>
      </c>
      <c r="AG4817" s="2">
        <f ca="1"/>
        <v>0.22586494648328004</v>
      </c>
      <c r="AH4817" s="2" t="str">
        <f ca="1"/>
        <v>OK</v>
      </c>
    </row>
    <row r="4818" spans="2:34">
      <c r="B4818" s="2">
        <f ca="1"/>
        <v>0.95013104607169208</v>
      </c>
      <c r="O4818" s="2">
        <f ca="1"/>
        <v>-0.91381242205104374</v>
      </c>
      <c r="X4818" s="2">
        <f ca="1"/>
        <v>54.988258290504284</v>
      </c>
      <c r="AG4818" s="2">
        <f ca="1"/>
        <v>0.23334322927205986</v>
      </c>
      <c r="AH4818" s="2" t="str">
        <f ca="1"/>
        <v>OK</v>
      </c>
    </row>
    <row r="4819" spans="2:34">
      <c r="B4819" s="2">
        <f ca="1"/>
        <v>0.19368135324262958</v>
      </c>
      <c r="O4819" s="2">
        <f ca="1"/>
        <v>-0.99376820019748524</v>
      </c>
      <c r="X4819" s="2">
        <f ca="1"/>
        <v>51.202522662832394</v>
      </c>
      <c r="AG4819" s="2">
        <f ca="1"/>
        <v>0.8785809331623029</v>
      </c>
      <c r="AH4819" s="2" t="str">
        <f ca="1"/>
        <v>Bad</v>
      </c>
    </row>
    <row r="4820" spans="2:34">
      <c r="B4820" s="2">
        <f ca="1"/>
        <v>0.24740280841561257</v>
      </c>
      <c r="O4820" s="2">
        <f ca="1"/>
        <v>7.1802936394831193E-2</v>
      </c>
      <c r="X4820" s="2">
        <f ca="1"/>
        <v>36.083750906233938</v>
      </c>
      <c r="AG4820" s="2">
        <f ca="1"/>
        <v>0.25584190463471357</v>
      </c>
      <c r="AH4820" s="2" t="str">
        <f ca="1"/>
        <v>OK</v>
      </c>
    </row>
    <row r="4821" spans="2:34">
      <c r="B4821" s="2">
        <f ca="1"/>
        <v>0.2377649288430137</v>
      </c>
      <c r="O4821" s="2">
        <f ca="1"/>
        <v>1.3765583155838867</v>
      </c>
      <c r="X4821" s="2">
        <f ca="1"/>
        <v>49.724498408774465</v>
      </c>
      <c r="AG4821" s="2">
        <f ca="1"/>
        <v>0.79662484950744128</v>
      </c>
      <c r="AH4821" s="2" t="str">
        <f ca="1"/>
        <v>Bad</v>
      </c>
    </row>
    <row r="4822" spans="2:34">
      <c r="B4822" s="2">
        <f ca="1"/>
        <v>0.10027043592446683</v>
      </c>
      <c r="O4822" s="2">
        <f ca="1"/>
        <v>0.33977290781459252</v>
      </c>
      <c r="X4822" s="2">
        <f ca="1"/>
        <v>46.594120319625283</v>
      </c>
      <c r="AG4822" s="2">
        <f ca="1"/>
        <v>0.89075651984248294</v>
      </c>
      <c r="AH4822" s="2" t="str">
        <f ca="1"/>
        <v>Bad</v>
      </c>
    </row>
    <row r="4823" spans="2:34">
      <c r="B4823" s="2">
        <f ca="1"/>
        <v>0.31589782914254472</v>
      </c>
      <c r="O4823" s="2">
        <f ca="1"/>
        <v>-0.44563133580122222</v>
      </c>
      <c r="X4823" s="2">
        <f ca="1"/>
        <v>55.341764157969955</v>
      </c>
      <c r="AG4823" s="2">
        <f ca="1"/>
        <v>0.66846142727803448</v>
      </c>
      <c r="AH4823" s="2" t="str">
        <f ca="1"/>
        <v>Bad</v>
      </c>
    </row>
    <row r="4824" spans="2:34">
      <c r="B4824" s="2">
        <f ca="1"/>
        <v>0.29185695140857115</v>
      </c>
      <c r="O4824" s="2">
        <f ca="1"/>
        <v>1.0315475165253092E-2</v>
      </c>
      <c r="X4824" s="2">
        <f ca="1"/>
        <v>56.919957736524445</v>
      </c>
      <c r="AG4824" s="2">
        <f ca="1"/>
        <v>0.40845984498971899</v>
      </c>
      <c r="AH4824" s="2" t="str">
        <f ca="1"/>
        <v>Bad</v>
      </c>
    </row>
    <row r="4825" spans="2:34">
      <c r="B4825" s="2">
        <f ca="1"/>
        <v>6.4513061680524508E-3</v>
      </c>
      <c r="O4825" s="2">
        <f ca="1"/>
        <v>0.69834259625427286</v>
      </c>
      <c r="X4825" s="2">
        <f ca="1"/>
        <v>61.88704939670113</v>
      </c>
      <c r="AG4825" s="2">
        <f ca="1"/>
        <v>0.55092058830131596</v>
      </c>
      <c r="AH4825" s="2" t="str">
        <f ca="1"/>
        <v>Bad</v>
      </c>
    </row>
    <row r="4826" spans="2:34">
      <c r="B4826" s="2">
        <f ca="1"/>
        <v>0.77144122738106091</v>
      </c>
      <c r="O4826" s="2">
        <f ca="1"/>
        <v>0.15953119128326276</v>
      </c>
      <c r="X4826" s="2">
        <f ca="1"/>
        <v>52.309390374211688</v>
      </c>
      <c r="AG4826" s="2">
        <f ca="1"/>
        <v>0.37373454650275173</v>
      </c>
      <c r="AH4826" s="2" t="str">
        <f ca="1"/>
        <v>OK</v>
      </c>
    </row>
    <row r="4827" spans="2:34">
      <c r="B4827" s="2">
        <f ca="1"/>
        <v>0.90319765629268556</v>
      </c>
      <c r="O4827" s="2">
        <f ca="1"/>
        <v>0.16692787065422984</v>
      </c>
      <c r="X4827" s="2">
        <f ca="1"/>
        <v>61.885509374753703</v>
      </c>
      <c r="AG4827" s="2">
        <f ca="1"/>
        <v>0.40302131543436048</v>
      </c>
      <c r="AH4827" s="2" t="str">
        <f ca="1"/>
        <v>Bad</v>
      </c>
    </row>
    <row r="4828" spans="2:34">
      <c r="B4828" s="2">
        <f ca="1"/>
        <v>0.61883330994078256</v>
      </c>
      <c r="O4828" s="2">
        <f ca="1"/>
        <v>1.0134591639118824</v>
      </c>
      <c r="X4828" s="2">
        <f ca="1"/>
        <v>67.182226889230918</v>
      </c>
      <c r="AG4828" s="2">
        <f ca="1"/>
        <v>0.537631651372104</v>
      </c>
      <c r="AH4828" s="2" t="str">
        <f ca="1"/>
        <v>Bad</v>
      </c>
    </row>
    <row r="4829" spans="2:34">
      <c r="B4829" s="2">
        <f ca="1"/>
        <v>8.7372723526983664E-2</v>
      </c>
      <c r="O4829" s="2">
        <f ca="1"/>
        <v>6.766979054792592E-2</v>
      </c>
      <c r="X4829" s="2">
        <f ca="1"/>
        <v>59.724496136850874</v>
      </c>
      <c r="AG4829" s="2">
        <f ca="1"/>
        <v>0.83163402842377598</v>
      </c>
      <c r="AH4829" s="2" t="str">
        <f ca="1"/>
        <v>Bad</v>
      </c>
    </row>
    <row r="4830" spans="2:34">
      <c r="B4830" s="2">
        <f ca="1"/>
        <v>0.97165026184229619</v>
      </c>
      <c r="O4830" s="2">
        <f ca="1"/>
        <v>-0.28530505652631599</v>
      </c>
      <c r="X4830" s="2">
        <f ca="1"/>
        <v>59.956414799506902</v>
      </c>
      <c r="AG4830" s="2">
        <f ca="1"/>
        <v>9.1133467281596658E-2</v>
      </c>
      <c r="AH4830" s="2" t="str">
        <f ca="1"/>
        <v>OK</v>
      </c>
    </row>
    <row r="4831" spans="2:34">
      <c r="B4831" s="2">
        <f ca="1"/>
        <v>0.31117363580927782</v>
      </c>
      <c r="O4831" s="2">
        <f ca="1"/>
        <v>-0.39173175593054554</v>
      </c>
      <c r="X4831" s="2">
        <f ca="1"/>
        <v>57.770762221937311</v>
      </c>
      <c r="AG4831" s="2">
        <f ca="1"/>
        <v>0.99260849100174164</v>
      </c>
      <c r="AH4831" s="2" t="str">
        <f ca="1"/>
        <v>Bad</v>
      </c>
    </row>
    <row r="4832" spans="2:34">
      <c r="B4832" s="2">
        <f ca="1"/>
        <v>0.77043793132271876</v>
      </c>
      <c r="O4832" s="2">
        <f ca="1"/>
        <v>0.78277240788270119</v>
      </c>
      <c r="X4832" s="2">
        <f ca="1"/>
        <v>36.049840404026405</v>
      </c>
      <c r="AG4832" s="2">
        <f ca="1"/>
        <v>0.38285669252181376</v>
      </c>
      <c r="AH4832" s="2" t="str">
        <f ca="1"/>
        <v>OK</v>
      </c>
    </row>
    <row r="4833" spans="2:34">
      <c r="B4833" s="2">
        <f ca="1"/>
        <v>0.87451363096059453</v>
      </c>
      <c r="O4833" s="2">
        <f ca="1"/>
        <v>-4.2775165704749318E-2</v>
      </c>
      <c r="X4833" s="2">
        <f ca="1"/>
        <v>97.922097076950294</v>
      </c>
      <c r="AG4833" s="2">
        <f ca="1"/>
        <v>0.5860567674558439</v>
      </c>
      <c r="AH4833" s="2" t="str">
        <f ca="1"/>
        <v>Bad</v>
      </c>
    </row>
    <row r="4834" spans="2:34">
      <c r="B4834" s="2">
        <f ca="1"/>
        <v>6.5824374526459284E-2</v>
      </c>
      <c r="O4834" s="2">
        <f ca="1"/>
        <v>-0.71336093642225229</v>
      </c>
      <c r="X4834" s="2">
        <f ca="1"/>
        <v>54.485221593578856</v>
      </c>
      <c r="AG4834" s="2">
        <f ca="1"/>
        <v>0.31699973760678679</v>
      </c>
      <c r="AH4834" s="2" t="str">
        <f ca="1"/>
        <v>OK</v>
      </c>
    </row>
    <row r="4835" spans="2:34">
      <c r="B4835" s="2">
        <f ca="1"/>
        <v>0.62095963954539313</v>
      </c>
      <c r="O4835" s="2">
        <f ca="1"/>
        <v>0.92030843424970399</v>
      </c>
      <c r="X4835" s="2">
        <f ca="1"/>
        <v>62.485360828311002</v>
      </c>
      <c r="AG4835" s="2">
        <f ca="1"/>
        <v>0.12080172549428592</v>
      </c>
      <c r="AH4835" s="2" t="str">
        <f ca="1"/>
        <v>OK</v>
      </c>
    </row>
    <row r="4836" spans="2:34">
      <c r="B4836" s="2">
        <f ca="1"/>
        <v>0.27650871139311239</v>
      </c>
      <c r="O4836" s="2">
        <f ca="1"/>
        <v>1.0159851697723139</v>
      </c>
      <c r="X4836" s="2">
        <f ca="1"/>
        <v>48.073541916960359</v>
      </c>
      <c r="AG4836" s="2">
        <f ca="1"/>
        <v>0.8430044796809717</v>
      </c>
      <c r="AH4836" s="2" t="str">
        <f ca="1"/>
        <v>Bad</v>
      </c>
    </row>
    <row r="4837" spans="2:34">
      <c r="B4837" s="2">
        <f ca="1"/>
        <v>0.18192918927442259</v>
      </c>
      <c r="O4837" s="2">
        <f ca="1"/>
        <v>0.66475169413965995</v>
      </c>
      <c r="X4837" s="2">
        <f ca="1"/>
        <v>40.219070371992117</v>
      </c>
      <c r="AG4837" s="2">
        <f ca="1"/>
        <v>0.9011610178242031</v>
      </c>
      <c r="AH4837" s="2" t="str">
        <f ca="1"/>
        <v>Bad</v>
      </c>
    </row>
    <row r="4838" spans="2:34">
      <c r="B4838" s="2">
        <f ca="1"/>
        <v>7.6190543667550514E-2</v>
      </c>
      <c r="O4838" s="2">
        <f ca="1"/>
        <v>-0.87889888285482898</v>
      </c>
      <c r="X4838" s="2">
        <f ca="1"/>
        <v>50.212516426757404</v>
      </c>
      <c r="AG4838" s="2">
        <f ca="1"/>
        <v>0.93960895050516835</v>
      </c>
      <c r="AH4838" s="2" t="str">
        <f ca="1"/>
        <v>Bad</v>
      </c>
    </row>
    <row r="4839" spans="2:34">
      <c r="B4839" s="2">
        <f ca="1"/>
        <v>0.82895773262762185</v>
      </c>
      <c r="O4839" s="2">
        <f ca="1"/>
        <v>-0.87751689554509071</v>
      </c>
      <c r="X4839" s="2">
        <f ca="1"/>
        <v>86.250869640304273</v>
      </c>
      <c r="AG4839" s="2">
        <f ca="1"/>
        <v>0.61295625039609414</v>
      </c>
      <c r="AH4839" s="2" t="str">
        <f ca="1"/>
        <v>Bad</v>
      </c>
    </row>
    <row r="4840" spans="2:34">
      <c r="B4840" s="2">
        <f ca="1"/>
        <v>0.60573811743062578</v>
      </c>
      <c r="O4840" s="2">
        <f ca="1"/>
        <v>0.24965722853824635</v>
      </c>
      <c r="X4840" s="2">
        <f ca="1"/>
        <v>47.645682437091764</v>
      </c>
      <c r="AG4840" s="2">
        <f ca="1"/>
        <v>0.75469486861665014</v>
      </c>
      <c r="AH4840" s="2" t="str">
        <f ca="1"/>
        <v>Bad</v>
      </c>
    </row>
    <row r="4841" spans="2:34">
      <c r="B4841" s="2">
        <f ca="1"/>
        <v>0.4483403070237344</v>
      </c>
      <c r="O4841" s="2">
        <f ca="1"/>
        <v>0.89341422707675666</v>
      </c>
      <c r="X4841" s="2">
        <f ca="1"/>
        <v>59.187812409192844</v>
      </c>
      <c r="AG4841" s="2">
        <f ca="1"/>
        <v>0.50545476100551667</v>
      </c>
      <c r="AH4841" s="2" t="str">
        <f ca="1"/>
        <v>Bad</v>
      </c>
    </row>
    <row r="4842" spans="2:34">
      <c r="B4842" s="2">
        <f ca="1"/>
        <v>0.20044214895909485</v>
      </c>
      <c r="O4842" s="2">
        <f ca="1"/>
        <v>-2.0460463039908689E-2</v>
      </c>
      <c r="X4842" s="2">
        <f ca="1"/>
        <v>22.951115368119304</v>
      </c>
      <c r="AG4842" s="2">
        <f ca="1"/>
        <v>0.68405169922474474</v>
      </c>
      <c r="AH4842" s="2" t="str">
        <f ca="1"/>
        <v>Bad</v>
      </c>
    </row>
    <row r="4843" spans="2:34">
      <c r="B4843" s="2">
        <f ca="1"/>
        <v>0.71601418801296712</v>
      </c>
      <c r="O4843" s="2">
        <f ca="1"/>
        <v>1.4604342020138668</v>
      </c>
      <c r="X4843" s="2">
        <f ca="1"/>
        <v>61.352436126065385</v>
      </c>
      <c r="AG4843" s="2">
        <f ca="1"/>
        <v>0.93772712175603545</v>
      </c>
      <c r="AH4843" s="2" t="str">
        <f ca="1"/>
        <v>Bad</v>
      </c>
    </row>
    <row r="4844" spans="2:34">
      <c r="B4844" s="2">
        <f ca="1"/>
        <v>6.3472429190260193E-2</v>
      </c>
      <c r="O4844" s="2">
        <f ca="1"/>
        <v>0.46567950436345146</v>
      </c>
      <c r="X4844" s="2">
        <f ca="1"/>
        <v>35.375592174194324</v>
      </c>
      <c r="AG4844" s="2">
        <f ca="1"/>
        <v>0.97963974443974866</v>
      </c>
      <c r="AH4844" s="2" t="str">
        <f ca="1"/>
        <v>Bad</v>
      </c>
    </row>
    <row r="4845" spans="2:34">
      <c r="B4845" s="2">
        <f ca="1"/>
        <v>0.3146608676132403</v>
      </c>
      <c r="O4845" s="2">
        <f ca="1"/>
        <v>-1.0992163045808618</v>
      </c>
      <c r="X4845" s="2">
        <f ca="1"/>
        <v>35.242844022858954</v>
      </c>
      <c r="AG4845" s="2">
        <f ca="1"/>
        <v>0.71193304391629519</v>
      </c>
      <c r="AH4845" s="2" t="str">
        <f ca="1"/>
        <v>Bad</v>
      </c>
    </row>
    <row r="4846" spans="2:34">
      <c r="B4846" s="2">
        <f ca="1"/>
        <v>0.22469054521459286</v>
      </c>
      <c r="O4846" s="2">
        <f ca="1"/>
        <v>-0.92891796645770108</v>
      </c>
      <c r="X4846" s="2">
        <f ca="1"/>
        <v>62.846281111619653</v>
      </c>
      <c r="AG4846" s="2">
        <f ca="1"/>
        <v>0.63096960659091583</v>
      </c>
      <c r="AH4846" s="2" t="str">
        <f ca="1"/>
        <v>Bad</v>
      </c>
    </row>
    <row r="4847" spans="2:34">
      <c r="B4847" s="2">
        <f ca="1"/>
        <v>0.80008261767392241</v>
      </c>
      <c r="O4847" s="2">
        <f ca="1"/>
        <v>1.4934278086028785</v>
      </c>
      <c r="X4847" s="2">
        <f ca="1"/>
        <v>38.885928408894046</v>
      </c>
      <c r="AG4847" s="2">
        <f ca="1"/>
        <v>0.91316825478243802</v>
      </c>
      <c r="AH4847" s="2" t="str">
        <f ca="1"/>
        <v>Bad</v>
      </c>
    </row>
    <row r="4848" spans="2:34">
      <c r="B4848" s="2">
        <f ca="1"/>
        <v>0.50433680377447909</v>
      </c>
      <c r="O4848" s="2">
        <f ca="1"/>
        <v>-1.4204505427069163</v>
      </c>
      <c r="X4848" s="2">
        <f ca="1"/>
        <v>44.06180359983712</v>
      </c>
      <c r="AG4848" s="2">
        <f ca="1"/>
        <v>1.0272048493580321E-2</v>
      </c>
      <c r="AH4848" s="2" t="str">
        <f ca="1"/>
        <v>Good</v>
      </c>
    </row>
    <row r="4849" spans="2:34">
      <c r="B4849" s="2">
        <f ca="1"/>
        <v>0.49230530721082055</v>
      </c>
      <c r="O4849" s="2">
        <f ca="1"/>
        <v>0.42269755051115471</v>
      </c>
      <c r="X4849" s="2">
        <f ca="1"/>
        <v>36.021935635216323</v>
      </c>
      <c r="AG4849" s="2">
        <f ca="1"/>
        <v>0.54655684678479299</v>
      </c>
      <c r="AH4849" s="2" t="str">
        <f ca="1"/>
        <v>Bad</v>
      </c>
    </row>
    <row r="4850" spans="2:34">
      <c r="B4850" s="2">
        <f ca="1"/>
        <v>0.34843991879731773</v>
      </c>
      <c r="O4850" s="2">
        <f ca="1"/>
        <v>0.44539061899612697</v>
      </c>
      <c r="X4850" s="2">
        <f ca="1"/>
        <v>70.136076368418841</v>
      </c>
      <c r="AG4850" s="2">
        <f ca="1"/>
        <v>0.53685243428536489</v>
      </c>
      <c r="AH4850" s="2" t="str">
        <f ca="1"/>
        <v>Bad</v>
      </c>
    </row>
    <row r="4851" spans="2:34">
      <c r="B4851" s="2">
        <f ca="1"/>
        <v>0.43209623724342117</v>
      </c>
      <c r="O4851" s="2">
        <f ca="1"/>
        <v>1.9125992707110575</v>
      </c>
      <c r="X4851" s="2">
        <f ca="1"/>
        <v>44.890460783447104</v>
      </c>
      <c r="AG4851" s="2">
        <f ca="1"/>
        <v>0.70192622619917566</v>
      </c>
      <c r="AH4851" s="2" t="str">
        <f ca="1"/>
        <v>Bad</v>
      </c>
    </row>
    <row r="4852" spans="2:34">
      <c r="B4852" s="2">
        <f ca="1"/>
        <v>0.5397428126259094</v>
      </c>
      <c r="O4852" s="2">
        <f ca="1"/>
        <v>1.2321300858592772</v>
      </c>
      <c r="X4852" s="2">
        <f ca="1"/>
        <v>49.712269163121647</v>
      </c>
      <c r="AG4852" s="2">
        <f ca="1"/>
        <v>0.84634902293385261</v>
      </c>
      <c r="AH4852" s="2" t="str">
        <f ca="1"/>
        <v>Bad</v>
      </c>
    </row>
    <row r="4853" spans="2:34">
      <c r="B4853" s="2">
        <f ca="1"/>
        <v>0.59888822420464938</v>
      </c>
      <c r="O4853" s="2">
        <f ca="1"/>
        <v>0.20569004549212816</v>
      </c>
      <c r="X4853" s="2">
        <f ca="1"/>
        <v>33.284576989684879</v>
      </c>
      <c r="AG4853" s="2">
        <f ca="1"/>
        <v>0.30561053801670357</v>
      </c>
      <c r="AH4853" s="2" t="str">
        <f ca="1"/>
        <v>OK</v>
      </c>
    </row>
    <row r="4854" spans="2:34">
      <c r="B4854" s="2">
        <f ca="1"/>
        <v>0.4766140829918275</v>
      </c>
      <c r="O4854" s="2">
        <f ca="1"/>
        <v>0.56104581707618983</v>
      </c>
      <c r="X4854" s="2">
        <f ca="1"/>
        <v>44.192296945593334</v>
      </c>
      <c r="AG4854" s="2">
        <f ca="1"/>
        <v>0.19242052233920526</v>
      </c>
      <c r="AH4854" s="2" t="str">
        <f ca="1"/>
        <v>OK</v>
      </c>
    </row>
    <row r="4855" spans="2:34">
      <c r="B4855" s="2">
        <f ca="1"/>
        <v>0.59048928775406684</v>
      </c>
      <c r="O4855" s="2">
        <f ca="1"/>
        <v>-0.56585731767863279</v>
      </c>
      <c r="X4855" s="2">
        <f ca="1"/>
        <v>39.144507890932012</v>
      </c>
      <c r="AG4855" s="2">
        <f ca="1"/>
        <v>3.8861670104602286E-2</v>
      </c>
      <c r="AH4855" s="2" t="str">
        <f ca="1"/>
        <v>Good</v>
      </c>
    </row>
    <row r="4856" spans="2:34">
      <c r="B4856" s="2">
        <f ca="1"/>
        <v>0.61942747658135699</v>
      </c>
      <c r="O4856" s="2">
        <f ca="1"/>
        <v>0.50932084786042253</v>
      </c>
      <c r="X4856" s="2">
        <f ca="1"/>
        <v>53.551045691684919</v>
      </c>
      <c r="AG4856" s="2">
        <f ca="1"/>
        <v>0.904671840392969</v>
      </c>
      <c r="AH4856" s="2" t="str">
        <f ca="1"/>
        <v>Bad</v>
      </c>
    </row>
    <row r="4857" spans="2:34">
      <c r="B4857" s="2">
        <f ca="1"/>
        <v>0.92933567946757512</v>
      </c>
      <c r="O4857" s="2">
        <f ca="1"/>
        <v>-0.48419580077403929</v>
      </c>
      <c r="X4857" s="2">
        <f ca="1"/>
        <v>65.898325157540157</v>
      </c>
      <c r="AG4857" s="2">
        <f ca="1"/>
        <v>0.26252173072635165</v>
      </c>
      <c r="AH4857" s="2" t="str">
        <f ca="1"/>
        <v>OK</v>
      </c>
    </row>
    <row r="4858" spans="2:34">
      <c r="B4858" s="2">
        <f ca="1"/>
        <v>5.0650686157281077E-2</v>
      </c>
      <c r="O4858" s="2">
        <f ca="1"/>
        <v>-0.19744634742423905</v>
      </c>
      <c r="X4858" s="2">
        <f ca="1"/>
        <v>32.446905065617464</v>
      </c>
      <c r="AG4858" s="2">
        <f ca="1"/>
        <v>0.21920630159950449</v>
      </c>
      <c r="AH4858" s="2" t="str">
        <f ca="1"/>
        <v>OK</v>
      </c>
    </row>
    <row r="4859" spans="2:34">
      <c r="B4859" s="2">
        <f ca="1"/>
        <v>0.26283745536553371</v>
      </c>
      <c r="O4859" s="2">
        <f ca="1"/>
        <v>0.2231202879921711</v>
      </c>
      <c r="X4859" s="2">
        <f ca="1"/>
        <v>29.445085257817322</v>
      </c>
      <c r="AG4859" s="2">
        <f ca="1"/>
        <v>0.88951888116598088</v>
      </c>
      <c r="AH4859" s="2" t="str">
        <f ca="1"/>
        <v>Bad</v>
      </c>
    </row>
    <row r="4860" spans="2:34">
      <c r="B4860" s="2">
        <f ca="1"/>
        <v>0.88982555659873319</v>
      </c>
      <c r="O4860" s="2">
        <f ca="1"/>
        <v>-0.72637112423925843</v>
      </c>
      <c r="X4860" s="2">
        <f ca="1"/>
        <v>45.646972376992679</v>
      </c>
      <c r="AG4860" s="2">
        <f ca="1"/>
        <v>0.27417659915142689</v>
      </c>
      <c r="AH4860" s="2" t="str">
        <f ca="1"/>
        <v>OK</v>
      </c>
    </row>
    <row r="4861" spans="2:34">
      <c r="B4861" s="2">
        <f ca="1"/>
        <v>4.7307779029989616E-2</v>
      </c>
      <c r="O4861" s="2">
        <f ca="1"/>
        <v>2.5909271292168027E-2</v>
      </c>
      <c r="X4861" s="2">
        <f ca="1"/>
        <v>21.424799780995563</v>
      </c>
      <c r="AG4861" s="2">
        <f ca="1"/>
        <v>0.23792178285684162</v>
      </c>
      <c r="AH4861" s="2" t="str">
        <f ca="1"/>
        <v>OK</v>
      </c>
    </row>
    <row r="4862" spans="2:34">
      <c r="B4862" s="2">
        <f ca="1"/>
        <v>0.61578481550313824</v>
      </c>
      <c r="O4862" s="2">
        <f ca="1"/>
        <v>1.0032948327710087</v>
      </c>
      <c r="X4862" s="2">
        <f ca="1"/>
        <v>59.042253365319802</v>
      </c>
      <c r="AG4862" s="2">
        <f ca="1"/>
        <v>0.58731925376002958</v>
      </c>
      <c r="AH4862" s="2" t="str">
        <f ca="1"/>
        <v>Bad</v>
      </c>
    </row>
    <row r="4863" spans="2:34">
      <c r="B4863" s="2">
        <f ca="1"/>
        <v>0.99031562065602641</v>
      </c>
      <c r="O4863" s="2">
        <f ca="1"/>
        <v>-0.5206271624507478</v>
      </c>
      <c r="X4863" s="2">
        <f ca="1"/>
        <v>60.853647486146237</v>
      </c>
      <c r="AG4863" s="2">
        <f ca="1"/>
        <v>8.4345210775190749E-2</v>
      </c>
      <c r="AH4863" s="2" t="str">
        <f ca="1"/>
        <v>OK</v>
      </c>
    </row>
    <row r="4864" spans="2:34">
      <c r="B4864" s="2">
        <f ca="1"/>
        <v>0.10516803133469677</v>
      </c>
      <c r="O4864" s="2">
        <f ca="1"/>
        <v>-1.2268452602821811</v>
      </c>
      <c r="X4864" s="2">
        <f ca="1"/>
        <v>47.150237649944671</v>
      </c>
      <c r="AG4864" s="2">
        <f ca="1"/>
        <v>0.94490877514777938</v>
      </c>
      <c r="AH4864" s="2" t="str">
        <f ca="1"/>
        <v>Bad</v>
      </c>
    </row>
    <row r="4865" spans="2:34">
      <c r="B4865" s="2">
        <f ca="1"/>
        <v>0.41343739490999409</v>
      </c>
      <c r="O4865" s="2">
        <f ca="1"/>
        <v>-7.6427189886651245E-2</v>
      </c>
      <c r="X4865" s="2">
        <f ca="1"/>
        <v>54.821490569373843</v>
      </c>
      <c r="AG4865" s="2">
        <f ca="1"/>
        <v>0.61540221998825539</v>
      </c>
      <c r="AH4865" s="2" t="str">
        <f ca="1"/>
        <v>Bad</v>
      </c>
    </row>
    <row r="4866" spans="2:34">
      <c r="B4866" s="2">
        <f ca="1"/>
        <v>0.34010542492257723</v>
      </c>
      <c r="O4866" s="2">
        <f ca="1"/>
        <v>0.36947222760458709</v>
      </c>
      <c r="X4866" s="2">
        <f ca="1"/>
        <v>23.931986868050519</v>
      </c>
      <c r="AG4866" s="2">
        <f ca="1"/>
        <v>0.18035288207533595</v>
      </c>
      <c r="AH4866" s="2" t="str">
        <f ca="1"/>
        <v>OK</v>
      </c>
    </row>
    <row r="4867" spans="2:34">
      <c r="B4867" s="2">
        <f ca="1"/>
        <v>0.93765527690332617</v>
      </c>
      <c r="O4867" s="2">
        <f ca="1"/>
        <v>-0.76391213305165506</v>
      </c>
      <c r="X4867" s="2">
        <f ca="1"/>
        <v>46.993637141304859</v>
      </c>
      <c r="AG4867" s="2">
        <f ca="1"/>
        <v>0.15948520397494104</v>
      </c>
      <c r="AH4867" s="2" t="str">
        <f ca="1"/>
        <v>OK</v>
      </c>
    </row>
    <row r="4868" spans="2:34">
      <c r="B4868" s="2">
        <f ca="1"/>
        <v>9.1339292567746977E-3</v>
      </c>
      <c r="O4868" s="2">
        <f ca="1"/>
        <v>0.3355684654718305</v>
      </c>
      <c r="X4868" s="2">
        <f ca="1"/>
        <v>42.837973092964077</v>
      </c>
      <c r="AG4868" s="2">
        <f ca="1"/>
        <v>3.9367644241726341E-2</v>
      </c>
      <c r="AH4868" s="2" t="str">
        <f ca="1"/>
        <v>Good</v>
      </c>
    </row>
    <row r="4869" spans="2:34">
      <c r="B4869" s="2">
        <f ca="1"/>
        <v>0.38889786067313081</v>
      </c>
      <c r="O4869" s="2">
        <f ca="1"/>
        <v>-0.22442485809397367</v>
      </c>
      <c r="X4869" s="2">
        <f ca="1"/>
        <v>27.959308401876783</v>
      </c>
      <c r="AG4869" s="2">
        <f ca="1"/>
        <v>0.77450403248992328</v>
      </c>
      <c r="AH4869" s="2" t="str">
        <f ca="1"/>
        <v>Bad</v>
      </c>
    </row>
    <row r="4870" spans="2:34">
      <c r="B4870" s="2">
        <f ca="1"/>
        <v>0.85443128646103017</v>
      </c>
      <c r="O4870" s="2">
        <f ca="1"/>
        <v>1.48324918130881</v>
      </c>
      <c r="X4870" s="2">
        <f ca="1"/>
        <v>63.571598126420852</v>
      </c>
      <c r="AG4870" s="2">
        <f ca="1"/>
        <v>0.16784783294895411</v>
      </c>
      <c r="AH4870" s="2" t="str">
        <f ca="1"/>
        <v>OK</v>
      </c>
    </row>
    <row r="4871" spans="2:34">
      <c r="B4871" s="2">
        <f ca="1"/>
        <v>0.53431096034082337</v>
      </c>
      <c r="O4871" s="2">
        <f ca="1"/>
        <v>1.7524779006109406</v>
      </c>
      <c r="X4871" s="2">
        <f ca="1"/>
        <v>71.720407078799823</v>
      </c>
      <c r="AG4871" s="2">
        <f ca="1"/>
        <v>0.70107028363830137</v>
      </c>
      <c r="AH4871" s="2" t="str">
        <f ca="1"/>
        <v>Bad</v>
      </c>
    </row>
    <row r="4872" spans="2:34">
      <c r="B4872" s="2">
        <f ca="1"/>
        <v>0.83614499971271061</v>
      </c>
      <c r="O4872" s="2">
        <f ca="1"/>
        <v>-0.96987768276695197</v>
      </c>
      <c r="X4872" s="2">
        <f ca="1"/>
        <v>35.532976278809983</v>
      </c>
      <c r="AG4872" s="2">
        <f ca="1"/>
        <v>0.54553598355888577</v>
      </c>
      <c r="AH4872" s="2" t="str">
        <f ca="1"/>
        <v>Bad</v>
      </c>
    </row>
    <row r="4873" spans="2:34">
      <c r="B4873" s="2">
        <f ca="1"/>
        <v>0.36707009341407426</v>
      </c>
      <c r="O4873" s="2">
        <f ca="1"/>
        <v>-7.3554128365975524E-2</v>
      </c>
      <c r="X4873" s="2">
        <f ca="1"/>
        <v>62.941522008825146</v>
      </c>
      <c r="AG4873" s="2">
        <f ca="1"/>
        <v>0.13755071462415125</v>
      </c>
      <c r="AH4873" s="2" t="str">
        <f ca="1"/>
        <v>OK</v>
      </c>
    </row>
    <row r="4874" spans="2:34">
      <c r="B4874" s="2">
        <f ca="1"/>
        <v>0.45959084176804232</v>
      </c>
      <c r="O4874" s="2">
        <f ca="1"/>
        <v>-0.35053041095607573</v>
      </c>
      <c r="X4874" s="2">
        <f ca="1"/>
        <v>43.925043917016438</v>
      </c>
      <c r="AG4874" s="2">
        <f ca="1"/>
        <v>0.22014509010525507</v>
      </c>
      <c r="AH4874" s="2" t="str">
        <f ca="1"/>
        <v>OK</v>
      </c>
    </row>
    <row r="4875" spans="2:34">
      <c r="B4875" s="2">
        <f ca="1"/>
        <v>0.9907428823986657</v>
      </c>
      <c r="O4875" s="2">
        <f ca="1"/>
        <v>1.516203344873492</v>
      </c>
      <c r="X4875" s="2">
        <f ca="1"/>
        <v>78.121143669029337</v>
      </c>
      <c r="AG4875" s="2">
        <f ca="1"/>
        <v>0.46371456934920574</v>
      </c>
      <c r="AH4875" s="2" t="str">
        <f ca="1"/>
        <v>Bad</v>
      </c>
    </row>
    <row r="4876" spans="2:34">
      <c r="B4876" s="2">
        <f ca="1"/>
        <v>0.69785264119648249</v>
      </c>
      <c r="O4876" s="2">
        <f ca="1"/>
        <v>-1.7312246004335823</v>
      </c>
      <c r="X4876" s="2">
        <f ca="1"/>
        <v>31.806225516418401</v>
      </c>
      <c r="AG4876" s="2">
        <f ca="1"/>
        <v>0.31727701412025366</v>
      </c>
      <c r="AH4876" s="2" t="str">
        <f ca="1"/>
        <v>OK</v>
      </c>
    </row>
    <row r="4877" spans="2:34">
      <c r="B4877" s="2">
        <f ca="1"/>
        <v>9.1221808637677038E-2</v>
      </c>
      <c r="O4877" s="2">
        <f ca="1"/>
        <v>-1.2337923978093857</v>
      </c>
      <c r="X4877" s="2">
        <f ca="1"/>
        <v>34.434457257056089</v>
      </c>
      <c r="AG4877" s="2">
        <f ca="1"/>
        <v>0.98425531617921291</v>
      </c>
      <c r="AH4877" s="2" t="str">
        <f ca="1"/>
        <v>Bad</v>
      </c>
    </row>
    <row r="4878" spans="2:34">
      <c r="B4878" s="2">
        <f ca="1"/>
        <v>0.39359403170632845</v>
      </c>
      <c r="O4878" s="2">
        <f ca="1"/>
        <v>1.0643755056413231</v>
      </c>
      <c r="X4878" s="2">
        <f ca="1"/>
        <v>77.25236816123018</v>
      </c>
      <c r="AG4878" s="2">
        <f ca="1"/>
        <v>0.40173800672130233</v>
      </c>
      <c r="AH4878" s="2" t="str">
        <f ca="1"/>
        <v>Bad</v>
      </c>
    </row>
    <row r="4879" spans="2:34">
      <c r="B4879" s="2">
        <f ca="1"/>
        <v>3.4836833990141258E-2</v>
      </c>
      <c r="O4879" s="2">
        <f ca="1"/>
        <v>0.71818321763736026</v>
      </c>
      <c r="X4879" s="2">
        <f ca="1"/>
        <v>70.123168090055131</v>
      </c>
      <c r="AG4879" s="2">
        <f ca="1"/>
        <v>0.59560481214165262</v>
      </c>
      <c r="AH4879" s="2" t="str">
        <f ca="1"/>
        <v>Bad</v>
      </c>
    </row>
    <row r="4880" spans="2:34">
      <c r="B4880" s="2">
        <f ca="1"/>
        <v>0.30417567723533168</v>
      </c>
      <c r="O4880" s="2">
        <f ca="1"/>
        <v>0.68593538256001452</v>
      </c>
      <c r="X4880" s="2">
        <f ca="1"/>
        <v>35.068777236094164</v>
      </c>
      <c r="AG4880" s="2">
        <f ca="1"/>
        <v>0.29913103571747679</v>
      </c>
      <c r="AH4880" s="2" t="str">
        <f ca="1"/>
        <v>OK</v>
      </c>
    </row>
    <row r="4881" spans="2:34">
      <c r="B4881" s="2">
        <f ca="1"/>
        <v>0.39534531360659653</v>
      </c>
      <c r="O4881" s="2">
        <f ca="1"/>
        <v>-1.025587192954124</v>
      </c>
      <c r="X4881" s="2">
        <f ca="1"/>
        <v>37.94008943782093</v>
      </c>
      <c r="AG4881" s="2">
        <f ca="1"/>
        <v>0.31104508390144958</v>
      </c>
      <c r="AH4881" s="2" t="str">
        <f ca="1"/>
        <v>OK</v>
      </c>
    </row>
    <row r="4882" spans="2:34">
      <c r="B4882" s="2">
        <f ca="1"/>
        <v>0.33173118825049075</v>
      </c>
      <c r="O4882" s="2">
        <f ca="1"/>
        <v>-0.45420855942416327</v>
      </c>
      <c r="X4882" s="2">
        <f ca="1"/>
        <v>56.178120062326961</v>
      </c>
      <c r="AG4882" s="2">
        <f ca="1"/>
        <v>1.7534326527981481E-3</v>
      </c>
      <c r="AH4882" s="2" t="str">
        <f ca="1"/>
        <v>Good</v>
      </c>
    </row>
    <row r="4883" spans="2:34">
      <c r="B4883" s="2">
        <f ca="1"/>
        <v>0.54011567129599958</v>
      </c>
      <c r="O4883" s="2">
        <f ca="1"/>
        <v>-0.8839587475915931</v>
      </c>
      <c r="X4883" s="2">
        <f ca="1"/>
        <v>40.87574017703502</v>
      </c>
      <c r="AG4883" s="2">
        <f ca="1"/>
        <v>0.52109251924102029</v>
      </c>
      <c r="AH4883" s="2" t="str">
        <f ca="1"/>
        <v>Bad</v>
      </c>
    </row>
    <row r="4884" spans="2:34">
      <c r="B4884" s="2">
        <f ca="1"/>
        <v>0.37261092582456756</v>
      </c>
      <c r="O4884" s="2">
        <f ca="1"/>
        <v>0.17106659166379432</v>
      </c>
      <c r="X4884" s="2">
        <f ca="1"/>
        <v>73.706996894577529</v>
      </c>
      <c r="AG4884" s="2">
        <f ca="1"/>
        <v>0.51578192519345389</v>
      </c>
      <c r="AH4884" s="2" t="str">
        <f ca="1"/>
        <v>Bad</v>
      </c>
    </row>
    <row r="4885" spans="2:34">
      <c r="B4885" s="2">
        <f ca="1"/>
        <v>0.91923297401270632</v>
      </c>
      <c r="O4885" s="2">
        <f ca="1"/>
        <v>-0.36844301192219231</v>
      </c>
      <c r="X4885" s="2">
        <f ca="1"/>
        <v>51.156630552894711</v>
      </c>
      <c r="AG4885" s="2">
        <f ca="1"/>
        <v>0.22509302699353473</v>
      </c>
      <c r="AH4885" s="2" t="str">
        <f ca="1"/>
        <v>OK</v>
      </c>
    </row>
    <row r="4886" spans="2:34">
      <c r="B4886" s="2">
        <f ca="1"/>
        <v>0.26852271830883656</v>
      </c>
      <c r="O4886" s="2">
        <f ca="1"/>
        <v>-0.34434647341058588</v>
      </c>
      <c r="X4886" s="2">
        <f ca="1"/>
        <v>53.40907845784767</v>
      </c>
      <c r="AG4886" s="2">
        <f ca="1"/>
        <v>0.10416460794686455</v>
      </c>
      <c r="AH4886" s="2" t="str">
        <f ca="1"/>
        <v>OK</v>
      </c>
    </row>
    <row r="4887" spans="2:34">
      <c r="B4887" s="2">
        <f ca="1"/>
        <v>0.653416415087688</v>
      </c>
      <c r="O4887" s="2">
        <f ca="1"/>
        <v>-0.6252920946658661</v>
      </c>
      <c r="X4887" s="2">
        <f ca="1"/>
        <v>48.407683925304724</v>
      </c>
      <c r="AG4887" s="2">
        <f ca="1"/>
        <v>0.20784984537736317</v>
      </c>
      <c r="AH4887" s="2" t="str">
        <f ca="1"/>
        <v>OK</v>
      </c>
    </row>
    <row r="4888" spans="2:34">
      <c r="B4888" s="2">
        <f ca="1"/>
        <v>0.44748748527150339</v>
      </c>
      <c r="O4888" s="2">
        <f ca="1"/>
        <v>-1.0264427244734138</v>
      </c>
      <c r="X4888" s="2">
        <f ca="1"/>
        <v>24.250409967480987</v>
      </c>
      <c r="AG4888" s="2">
        <f ca="1"/>
        <v>0.57675674620325479</v>
      </c>
      <c r="AH4888" s="2" t="str">
        <f ca="1"/>
        <v>Bad</v>
      </c>
    </row>
    <row r="4889" spans="2:34">
      <c r="B4889" s="2">
        <f ca="1"/>
        <v>0.4017939698971893</v>
      </c>
      <c r="O4889" s="2">
        <f ca="1"/>
        <v>7.6749231198895332E-2</v>
      </c>
      <c r="X4889" s="2">
        <f ca="1"/>
        <v>40.478540483968303</v>
      </c>
      <c r="AG4889" s="2">
        <f ca="1"/>
        <v>0.60598981854220391</v>
      </c>
      <c r="AH4889" s="2" t="str">
        <f ca="1"/>
        <v>Bad</v>
      </c>
    </row>
    <row r="4890" spans="2:34">
      <c r="B4890" s="2">
        <f ca="1"/>
        <v>0.36900663254699761</v>
      </c>
      <c r="O4890" s="2">
        <f ca="1"/>
        <v>0.73201392847375257</v>
      </c>
      <c r="X4890" s="2">
        <f ca="1"/>
        <v>36.013766973277711</v>
      </c>
      <c r="AG4890" s="2">
        <f ca="1"/>
        <v>0.94245218999308045</v>
      </c>
      <c r="AH4890" s="2" t="str">
        <f ca="1"/>
        <v>Bad</v>
      </c>
    </row>
    <row r="4891" spans="2:34">
      <c r="B4891" s="2">
        <f ca="1"/>
        <v>0.74709331627231301</v>
      </c>
      <c r="O4891" s="2">
        <f ca="1"/>
        <v>0.5423956923954556</v>
      </c>
      <c r="X4891" s="2">
        <f ca="1"/>
        <v>29.324042499729916</v>
      </c>
      <c r="AG4891" s="2">
        <f ca="1"/>
        <v>0.12012010336920853</v>
      </c>
      <c r="AH4891" s="2" t="str">
        <f ca="1"/>
        <v>OK</v>
      </c>
    </row>
    <row r="4892" spans="2:34">
      <c r="B4892" s="2">
        <f ca="1"/>
        <v>0.69930723129021444</v>
      </c>
      <c r="O4892" s="2">
        <f ca="1"/>
        <v>-0.26353549682750355</v>
      </c>
      <c r="X4892" s="2">
        <f ca="1"/>
        <v>89.819546585213061</v>
      </c>
      <c r="AG4892" s="2">
        <f ca="1"/>
        <v>8.278007962901146E-2</v>
      </c>
      <c r="AH4892" s="2" t="str">
        <f ca="1"/>
        <v>OK</v>
      </c>
    </row>
    <row r="4893" spans="2:34">
      <c r="B4893" s="2">
        <f ca="1"/>
        <v>0.33184877076267227</v>
      </c>
      <c r="O4893" s="2">
        <f ca="1"/>
        <v>-1.502397512409736</v>
      </c>
      <c r="X4893" s="2">
        <f ca="1"/>
        <v>63.316959594903992</v>
      </c>
      <c r="AG4893" s="2">
        <f ca="1"/>
        <v>0.59674539943346772</v>
      </c>
      <c r="AH4893" s="2" t="str">
        <f ca="1"/>
        <v>Bad</v>
      </c>
    </row>
    <row r="4894" spans="2:34">
      <c r="B4894" s="2">
        <f ca="1"/>
        <v>0.28766842000319959</v>
      </c>
      <c r="O4894" s="2">
        <f ca="1"/>
        <v>-0.67666762957746507</v>
      </c>
      <c r="X4894" s="2">
        <f ca="1"/>
        <v>93.887189465059734</v>
      </c>
      <c r="AG4894" s="2">
        <f ca="1"/>
        <v>0.743594217449846</v>
      </c>
      <c r="AH4894" s="2" t="str">
        <f ca="1"/>
        <v>Bad</v>
      </c>
    </row>
    <row r="4895" spans="2:34">
      <c r="B4895" s="2">
        <f ca="1"/>
        <v>0.94266563797320635</v>
      </c>
      <c r="O4895" s="2">
        <f ca="1"/>
        <v>-0.22865465491590425</v>
      </c>
      <c r="X4895" s="2">
        <f ca="1"/>
        <v>68.859186104303305</v>
      </c>
      <c r="AG4895" s="2">
        <f ca="1"/>
        <v>0.61454653003866833</v>
      </c>
      <c r="AH4895" s="2" t="str">
        <f ca="1"/>
        <v>Bad</v>
      </c>
    </row>
    <row r="4896" spans="2:34">
      <c r="B4896" s="2">
        <f ca="1"/>
        <v>0.83972074772209071</v>
      </c>
      <c r="O4896" s="2">
        <f ca="1"/>
        <v>-0.10447136237240998</v>
      </c>
      <c r="X4896" s="2">
        <f ca="1"/>
        <v>63.359400765966996</v>
      </c>
      <c r="AG4896" s="2">
        <f ca="1"/>
        <v>7.3199765553638274E-2</v>
      </c>
      <c r="AH4896" s="2" t="str">
        <f ca="1"/>
        <v>OK</v>
      </c>
    </row>
    <row r="4897" spans="2:34">
      <c r="B4897" s="2">
        <f ca="1"/>
        <v>0.92827210403918325</v>
      </c>
      <c r="O4897" s="2">
        <f ca="1"/>
        <v>1.8276801270036083</v>
      </c>
      <c r="X4897" s="2">
        <f ca="1"/>
        <v>50.790785312816368</v>
      </c>
      <c r="AG4897" s="2">
        <f ca="1"/>
        <v>0.50727921961155964</v>
      </c>
      <c r="AH4897" s="2" t="str">
        <f ca="1"/>
        <v>Bad</v>
      </c>
    </row>
    <row r="4898" spans="2:34">
      <c r="B4898" s="2">
        <f ca="1"/>
        <v>0.65241070998261019</v>
      </c>
      <c r="O4898" s="2">
        <f ca="1"/>
        <v>-0.21241202203835707</v>
      </c>
      <c r="X4898" s="2">
        <f ca="1"/>
        <v>76.196777511067637</v>
      </c>
      <c r="AG4898" s="2">
        <f ca="1"/>
        <v>1.2485801732176061E-3</v>
      </c>
      <c r="AH4898" s="2" t="str">
        <f ca="1"/>
        <v>Good</v>
      </c>
    </row>
    <row r="4899" spans="2:34">
      <c r="B4899" s="2">
        <f ca="1"/>
        <v>0.93570738756700944</v>
      </c>
      <c r="O4899" s="2">
        <f ca="1"/>
        <v>-0.37332723023202524</v>
      </c>
      <c r="X4899" s="2">
        <f ca="1"/>
        <v>75.60691500559652</v>
      </c>
      <c r="AG4899" s="2">
        <f ca="1"/>
        <v>0.36944029443734516</v>
      </c>
      <c r="AH4899" s="2" t="str">
        <f ca="1"/>
        <v>OK</v>
      </c>
    </row>
    <row r="4900" spans="2:34">
      <c r="B4900" s="2">
        <f ca="1"/>
        <v>0.74296598264846447</v>
      </c>
      <c r="O4900" s="2">
        <f ca="1"/>
        <v>1.7115020039082536</v>
      </c>
      <c r="X4900" s="2">
        <f ca="1"/>
        <v>44.816115605406665</v>
      </c>
      <c r="AG4900" s="2">
        <f ca="1"/>
        <v>0.86107977503633326</v>
      </c>
      <c r="AH4900" s="2" t="str">
        <f ca="1"/>
        <v>Bad</v>
      </c>
    </row>
    <row r="4901" spans="2:34">
      <c r="B4901" s="2">
        <f ca="1"/>
        <v>0.39978353898055152</v>
      </c>
      <c r="O4901" s="2">
        <f ca="1"/>
        <v>3.2159319729404549E-2</v>
      </c>
      <c r="X4901" s="2">
        <f ca="1"/>
        <v>50.564348942108673</v>
      </c>
      <c r="AG4901" s="2">
        <f ca="1"/>
        <v>0.93457600765342153</v>
      </c>
      <c r="AH4901" s="2" t="str">
        <f ca="1"/>
        <v>Bad</v>
      </c>
    </row>
    <row r="4902" spans="2:34">
      <c r="B4902" s="2">
        <f ca="1"/>
        <v>0.38238556746017727</v>
      </c>
      <c r="O4902" s="2">
        <f ca="1"/>
        <v>1.3249367016104685</v>
      </c>
      <c r="X4902" s="2">
        <f ca="1"/>
        <v>38.023675550293348</v>
      </c>
      <c r="AG4902" s="2">
        <f ca="1"/>
        <v>0.88888157700258175</v>
      </c>
      <c r="AH4902" s="2" t="str">
        <f ca="1"/>
        <v>Bad</v>
      </c>
    </row>
    <row r="4903" spans="2:34">
      <c r="B4903" s="2">
        <f ca="1"/>
        <v>0.77968186382222315</v>
      </c>
      <c r="O4903" s="2">
        <f ca="1"/>
        <v>1.666106498025967</v>
      </c>
      <c r="X4903" s="2">
        <f ca="1"/>
        <v>63.47715365695808</v>
      </c>
      <c r="AG4903" s="2">
        <f ca="1"/>
        <v>0.54557902047562012</v>
      </c>
      <c r="AH4903" s="2" t="str">
        <f ca="1"/>
        <v>Bad</v>
      </c>
    </row>
    <row r="4904" spans="2:34">
      <c r="B4904" s="2">
        <f ca="1"/>
        <v>0.11227804872484071</v>
      </c>
      <c r="O4904" s="2">
        <f ca="1"/>
        <v>-1.3142634625185707</v>
      </c>
      <c r="X4904" s="2">
        <f ca="1"/>
        <v>88.991323052188932</v>
      </c>
      <c r="AG4904" s="2">
        <f ca="1"/>
        <v>0.12342688149885839</v>
      </c>
      <c r="AH4904" s="2" t="str">
        <f ca="1"/>
        <v>OK</v>
      </c>
    </row>
    <row r="4905" spans="2:34">
      <c r="B4905" s="2">
        <f ca="1"/>
        <v>0.20931980378719794</v>
      </c>
      <c r="O4905" s="2">
        <f ca="1"/>
        <v>1.1897227539971664</v>
      </c>
      <c r="X4905" s="2">
        <f ca="1"/>
        <v>37.611772204747396</v>
      </c>
      <c r="AG4905" s="2">
        <f ca="1"/>
        <v>0.7472906544886615</v>
      </c>
      <c r="AH4905" s="2" t="str">
        <f ca="1"/>
        <v>Bad</v>
      </c>
    </row>
    <row r="4906" spans="2:34">
      <c r="B4906" s="2">
        <f ca="1"/>
        <v>0.56162486625461994</v>
      </c>
      <c r="O4906" s="2">
        <f ca="1"/>
        <v>0.27658200158589219</v>
      </c>
      <c r="X4906" s="2">
        <f ca="1"/>
        <v>47.209921530003157</v>
      </c>
      <c r="AG4906" s="2">
        <f ca="1"/>
        <v>0.70961663661008978</v>
      </c>
      <c r="AH4906" s="2" t="str">
        <f ca="1"/>
        <v>Bad</v>
      </c>
    </row>
    <row r="4907" spans="2:34">
      <c r="B4907" s="2">
        <f ca="1"/>
        <v>0.38356814961777208</v>
      </c>
      <c r="O4907" s="2">
        <f ca="1"/>
        <v>-0.26222459579353125</v>
      </c>
      <c r="X4907" s="2">
        <f ca="1"/>
        <v>70.274695029095653</v>
      </c>
      <c r="AG4907" s="2">
        <f ca="1"/>
        <v>0.35662533085284265</v>
      </c>
      <c r="AH4907" s="2" t="str">
        <f ca="1"/>
        <v>OK</v>
      </c>
    </row>
    <row r="4908" spans="2:34">
      <c r="B4908" s="2">
        <f ca="1"/>
        <v>0.34995735716430021</v>
      </c>
      <c r="O4908" s="2">
        <f ca="1"/>
        <v>-0.55800431126994399</v>
      </c>
      <c r="X4908" s="2">
        <f ca="1"/>
        <v>77.289136471571155</v>
      </c>
      <c r="AG4908" s="2">
        <f ca="1"/>
        <v>0.48117019086875801</v>
      </c>
      <c r="AH4908" s="2" t="str">
        <f ca="1"/>
        <v>Bad</v>
      </c>
    </row>
    <row r="4909" spans="2:34">
      <c r="B4909" s="2">
        <f ca="1"/>
        <v>0.31668149923082223</v>
      </c>
      <c r="O4909" s="2">
        <f ca="1"/>
        <v>0.49158812146927949</v>
      </c>
      <c r="X4909" s="2">
        <f ca="1"/>
        <v>59.466970786047753</v>
      </c>
      <c r="AG4909" s="2">
        <f ca="1"/>
        <v>0.19363570240319516</v>
      </c>
      <c r="AH4909" s="2" t="str">
        <f ca="1"/>
        <v>OK</v>
      </c>
    </row>
    <row r="4910" spans="2:34">
      <c r="B4910" s="2">
        <f ca="1"/>
        <v>0.49969125739316222</v>
      </c>
      <c r="O4910" s="2">
        <f ca="1"/>
        <v>0.20184347814377215</v>
      </c>
      <c r="X4910" s="2">
        <f ca="1"/>
        <v>52.499999078358783</v>
      </c>
      <c r="AG4910" s="2">
        <f ca="1"/>
        <v>0.67702685481516967</v>
      </c>
      <c r="AH4910" s="2" t="str">
        <f ca="1"/>
        <v>Bad</v>
      </c>
    </row>
    <row r="4911" spans="2:34">
      <c r="B4911" s="2">
        <f ca="1"/>
        <v>0.15379864550718381</v>
      </c>
      <c r="O4911" s="2">
        <f ca="1"/>
        <v>0.20006021652608216</v>
      </c>
      <c r="X4911" s="2">
        <f ca="1"/>
        <v>77.695337766296561</v>
      </c>
      <c r="AG4911" s="2">
        <f ca="1"/>
        <v>0.34412264369256484</v>
      </c>
      <c r="AH4911" s="2" t="str">
        <f ca="1"/>
        <v>OK</v>
      </c>
    </row>
    <row r="4912" spans="2:34">
      <c r="B4912" s="2">
        <f ca="1"/>
        <v>0.11749643220606254</v>
      </c>
      <c r="O4912" s="2">
        <f ca="1"/>
        <v>0.3754986887932969</v>
      </c>
      <c r="X4912" s="2">
        <f ca="1"/>
        <v>28.700216784931627</v>
      </c>
      <c r="AG4912" s="2">
        <f ca="1"/>
        <v>0.6326656107762294</v>
      </c>
      <c r="AH4912" s="2" t="str">
        <f ca="1"/>
        <v>Bad</v>
      </c>
    </row>
    <row r="4913" spans="2:34">
      <c r="B4913" s="2">
        <f ca="1"/>
        <v>0.95533821618485781</v>
      </c>
      <c r="O4913" s="2">
        <f ca="1"/>
        <v>-4.3402913125251963E-2</v>
      </c>
      <c r="X4913" s="2">
        <f ca="1"/>
        <v>70.075760076373157</v>
      </c>
      <c r="AG4913" s="2">
        <f ca="1"/>
        <v>0.92313620922493378</v>
      </c>
      <c r="AH4913" s="2" t="str">
        <f ca="1"/>
        <v>Bad</v>
      </c>
    </row>
    <row r="4914" spans="2:34">
      <c r="B4914" s="2">
        <f ca="1"/>
        <v>0.29839561801428549</v>
      </c>
      <c r="O4914" s="2">
        <f ca="1"/>
        <v>-0.30597247645191067</v>
      </c>
      <c r="X4914" s="2">
        <f ca="1"/>
        <v>62.642872034949697</v>
      </c>
      <c r="AG4914" s="2">
        <f ca="1"/>
        <v>0.15305357478917747</v>
      </c>
      <c r="AH4914" s="2" t="str">
        <f ca="1"/>
        <v>OK</v>
      </c>
    </row>
    <row r="4915" spans="2:34">
      <c r="B4915" s="2">
        <f ca="1"/>
        <v>0.81954492774303822</v>
      </c>
      <c r="O4915" s="2">
        <f ca="1"/>
        <v>0.64383412757304181</v>
      </c>
      <c r="X4915" s="2">
        <f ca="1"/>
        <v>60.670747467128876</v>
      </c>
      <c r="AG4915" s="2">
        <f ca="1"/>
        <v>0.50246865913105587</v>
      </c>
      <c r="AH4915" s="2" t="str">
        <f ca="1"/>
        <v>Bad</v>
      </c>
    </row>
    <row r="4916" spans="2:34">
      <c r="B4916" s="2">
        <f ca="1"/>
        <v>0.19246661178077074</v>
      </c>
      <c r="O4916" s="2">
        <f ca="1"/>
        <v>-0.67526881049114007</v>
      </c>
      <c r="X4916" s="2">
        <f ca="1"/>
        <v>59.801278400689306</v>
      </c>
      <c r="AG4916" s="2">
        <f ca="1"/>
        <v>0.37311691827451643</v>
      </c>
      <c r="AH4916" s="2" t="str">
        <f ca="1"/>
        <v>OK</v>
      </c>
    </row>
    <row r="4917" spans="2:34">
      <c r="B4917" s="2">
        <f ca="1"/>
        <v>0.82605817664486669</v>
      </c>
      <c r="O4917" s="2">
        <f ca="1"/>
        <v>0.67270893081495786</v>
      </c>
      <c r="X4917" s="2">
        <f ca="1"/>
        <v>40.91906125597874</v>
      </c>
      <c r="AG4917" s="2">
        <f ca="1"/>
        <v>0.52990817330465778</v>
      </c>
      <c r="AH4917" s="2" t="str">
        <f ca="1"/>
        <v>Bad</v>
      </c>
    </row>
    <row r="4918" spans="2:34">
      <c r="B4918" s="2">
        <f ca="1"/>
        <v>0.29263033241765957</v>
      </c>
      <c r="O4918" s="2">
        <f ca="1"/>
        <v>-0.29418761218228906</v>
      </c>
      <c r="X4918" s="2">
        <f ca="1"/>
        <v>61.804869181444275</v>
      </c>
      <c r="AG4918" s="2">
        <f ca="1"/>
        <v>0.54732249801540789</v>
      </c>
      <c r="AH4918" s="2" t="str">
        <f ca="1"/>
        <v>Bad</v>
      </c>
    </row>
    <row r="4919" spans="2:34">
      <c r="B4919" s="2">
        <f ca="1"/>
        <v>0.85373487608882126</v>
      </c>
      <c r="O4919" s="2">
        <f ca="1"/>
        <v>-0.44213820588609198</v>
      </c>
      <c r="X4919" s="2">
        <f ca="1"/>
        <v>19.18184331977805</v>
      </c>
      <c r="AG4919" s="2">
        <f ca="1"/>
        <v>0.25484688747329609</v>
      </c>
      <c r="AH4919" s="2" t="str">
        <f ca="1"/>
        <v>OK</v>
      </c>
    </row>
    <row r="4920" spans="2:34">
      <c r="B4920" s="2">
        <f ca="1"/>
        <v>0.16852452143436714</v>
      </c>
      <c r="O4920" s="2">
        <f ca="1"/>
        <v>0.98498328920967881</v>
      </c>
      <c r="X4920" s="2">
        <f ca="1"/>
        <v>50.201843281798958</v>
      </c>
      <c r="AG4920" s="2">
        <f ca="1"/>
        <v>0.42692657991854532</v>
      </c>
      <c r="AH4920" s="2" t="str">
        <f ca="1"/>
        <v>Bad</v>
      </c>
    </row>
    <row r="4921" spans="2:34">
      <c r="B4921" s="2">
        <f ca="1"/>
        <v>0.55356429528688222</v>
      </c>
      <c r="O4921" s="2">
        <f ca="1"/>
        <v>0.57208744635244191</v>
      </c>
      <c r="X4921" s="2">
        <f ca="1"/>
        <v>25.748354790062958</v>
      </c>
      <c r="AG4921" s="2">
        <f ca="1"/>
        <v>4.3377880710395944E-2</v>
      </c>
      <c r="AH4921" s="2" t="str">
        <f ca="1"/>
        <v>Good</v>
      </c>
    </row>
    <row r="4922" spans="2:34">
      <c r="B4922" s="2">
        <f ca="1"/>
        <v>4.9839354969658523E-2</v>
      </c>
      <c r="O4922" s="2">
        <f ca="1"/>
        <v>1.1859617721176317</v>
      </c>
      <c r="X4922" s="2">
        <f ca="1"/>
        <v>64.344568464222775</v>
      </c>
      <c r="AG4922" s="2">
        <f ca="1"/>
        <v>0.75142287699521559</v>
      </c>
      <c r="AH4922" s="2" t="str">
        <f ca="1"/>
        <v>Bad</v>
      </c>
    </row>
    <row r="4923" spans="2:34">
      <c r="B4923" s="2">
        <f ca="1"/>
        <v>0.81228308614767686</v>
      </c>
      <c r="O4923" s="2">
        <f ca="1"/>
        <v>1.0630296687860683</v>
      </c>
      <c r="X4923" s="2">
        <f ca="1"/>
        <v>91.037717549117446</v>
      </c>
      <c r="AG4923" s="2">
        <f ca="1"/>
        <v>0.37741371413545277</v>
      </c>
      <c r="AH4923" s="2" t="str">
        <f ca="1"/>
        <v>OK</v>
      </c>
    </row>
    <row r="4924" spans="2:34">
      <c r="B4924" s="2">
        <f ca="1"/>
        <v>0.64965885727179495</v>
      </c>
      <c r="O4924" s="2">
        <f ca="1"/>
        <v>0.41573262718015069</v>
      </c>
      <c r="X4924" s="2">
        <f ca="1"/>
        <v>30.564603392011186</v>
      </c>
      <c r="AG4924" s="2">
        <f ca="1"/>
        <v>0.80384201203531602</v>
      </c>
      <c r="AH4924" s="2" t="str">
        <f ca="1"/>
        <v>Bad</v>
      </c>
    </row>
    <row r="4925" spans="2:34">
      <c r="B4925" s="2">
        <f ca="1"/>
        <v>0.1223969177585269</v>
      </c>
      <c r="O4925" s="2">
        <f ca="1"/>
        <v>-0.41127730369447346</v>
      </c>
      <c r="X4925" s="2">
        <f ca="1"/>
        <v>40.166385807518751</v>
      </c>
      <c r="AG4925" s="2">
        <f ca="1"/>
        <v>0.31497942209737606</v>
      </c>
      <c r="AH4925" s="2" t="str">
        <f ca="1"/>
        <v>OK</v>
      </c>
    </row>
    <row r="4926" spans="2:34">
      <c r="B4926" s="2">
        <f ca="1"/>
        <v>0.30987088491113202</v>
      </c>
      <c r="O4926" s="2">
        <f ca="1"/>
        <v>1.1923598670258411</v>
      </c>
      <c r="X4926" s="2">
        <f ca="1"/>
        <v>48.577458429364057</v>
      </c>
      <c r="AG4926" s="2">
        <f ca="1"/>
        <v>0.510979652039937</v>
      </c>
      <c r="AH4926" s="2" t="str">
        <f ca="1"/>
        <v>Bad</v>
      </c>
    </row>
    <row r="4927" spans="2:34">
      <c r="B4927" s="2">
        <f ca="1"/>
        <v>0.97303679263219611</v>
      </c>
      <c r="O4927" s="2">
        <f ca="1"/>
        <v>-0.35889906268142124</v>
      </c>
      <c r="X4927" s="2">
        <f ca="1"/>
        <v>52.167614223076029</v>
      </c>
      <c r="AG4927" s="2">
        <f ca="1"/>
        <v>0.29968164262639352</v>
      </c>
      <c r="AH4927" s="2" t="str">
        <f ca="1"/>
        <v>OK</v>
      </c>
    </row>
    <row r="4928" spans="2:34">
      <c r="B4928" s="2">
        <f ca="1"/>
        <v>0.32602045320114459</v>
      </c>
      <c r="O4928" s="2">
        <f ca="1"/>
        <v>-0.80145662096874026</v>
      </c>
      <c r="X4928" s="2">
        <f ca="1"/>
        <v>76.707020940796639</v>
      </c>
      <c r="AG4928" s="2">
        <f ca="1"/>
        <v>0.13361996613375182</v>
      </c>
      <c r="AH4928" s="2" t="str">
        <f ca="1"/>
        <v>OK</v>
      </c>
    </row>
    <row r="4929" spans="2:34">
      <c r="B4929" s="2">
        <f ca="1"/>
        <v>0.88648223245845759</v>
      </c>
      <c r="O4929" s="2">
        <f ca="1"/>
        <v>-1.1384061131295258</v>
      </c>
      <c r="X4929" s="2">
        <f ca="1"/>
        <v>55.108914459570293</v>
      </c>
      <c r="AG4929" s="2">
        <f ca="1"/>
        <v>0.43822007083458847</v>
      </c>
      <c r="AH4929" s="2" t="str">
        <f ca="1"/>
        <v>Bad</v>
      </c>
    </row>
    <row r="4930" spans="2:34">
      <c r="B4930" s="2">
        <f ca="1"/>
        <v>0.23958738725074347</v>
      </c>
      <c r="O4930" s="2">
        <f ca="1"/>
        <v>0.44200281491715943</v>
      </c>
      <c r="X4930" s="2">
        <f ca="1"/>
        <v>44.324771187840412</v>
      </c>
      <c r="AG4930" s="2">
        <f ca="1"/>
        <v>0.16297761040404124</v>
      </c>
      <c r="AH4930" s="2" t="str">
        <f ca="1"/>
        <v>OK</v>
      </c>
    </row>
    <row r="4931" spans="2:34">
      <c r="B4931" s="2">
        <f ca="1"/>
        <v>0.62423157983105737</v>
      </c>
      <c r="O4931" s="2">
        <f ca="1"/>
        <v>-0.22848731157054569</v>
      </c>
      <c r="X4931" s="2">
        <f ca="1"/>
        <v>45.790836179801211</v>
      </c>
      <c r="AG4931" s="2">
        <f ca="1"/>
        <v>0.38926869702458888</v>
      </c>
      <c r="AH4931" s="2" t="str">
        <f ca="1"/>
        <v>OK</v>
      </c>
    </row>
    <row r="4932" spans="2:34">
      <c r="B4932" s="2">
        <f ca="1"/>
        <v>0.87270381040704548</v>
      </c>
      <c r="O4932" s="2">
        <f ca="1"/>
        <v>-0.91269165307534084</v>
      </c>
      <c r="X4932" s="2">
        <f ca="1"/>
        <v>84.265198743102786</v>
      </c>
      <c r="AG4932" s="2">
        <f ca="1"/>
        <v>0.97876545318648156</v>
      </c>
      <c r="AH4932" s="2" t="str">
        <f ca="1"/>
        <v>Bad</v>
      </c>
    </row>
    <row r="4933" spans="2:34">
      <c r="B4933" s="2">
        <f ca="1"/>
        <v>0.25462059448933938</v>
      </c>
      <c r="O4933" s="2">
        <f ca="1"/>
        <v>-1.9227769535914254</v>
      </c>
      <c r="X4933" s="2">
        <f ca="1"/>
        <v>33.595579794190996</v>
      </c>
      <c r="AG4933" s="2">
        <f ca="1"/>
        <v>0.91270291118639157</v>
      </c>
      <c r="AH4933" s="2" t="str">
        <f ca="1"/>
        <v>Bad</v>
      </c>
    </row>
    <row r="4934" spans="2:34">
      <c r="B4934" s="2">
        <f ca="1"/>
        <v>0.75260904272105367</v>
      </c>
      <c r="O4934" s="2">
        <f ca="1"/>
        <v>1.8579651266886283</v>
      </c>
      <c r="X4934" s="2">
        <f ca="1"/>
        <v>75.11296971909016</v>
      </c>
      <c r="AG4934" s="2">
        <f ca="1"/>
        <v>0.11180886316038996</v>
      </c>
      <c r="AH4934" s="2" t="str">
        <f ca="1"/>
        <v>OK</v>
      </c>
    </row>
    <row r="4935" spans="2:34">
      <c r="B4935" s="2">
        <f ca="1"/>
        <v>0.3371006638163474</v>
      </c>
      <c r="O4935" s="2">
        <f ca="1"/>
        <v>1.1412269995626318</v>
      </c>
      <c r="X4935" s="2">
        <f ca="1"/>
        <v>26.501488914282003</v>
      </c>
      <c r="AG4935" s="2">
        <f ca="1"/>
        <v>0.26187195326147927</v>
      </c>
      <c r="AH4935" s="2" t="str">
        <f ca="1"/>
        <v>OK</v>
      </c>
    </row>
    <row r="4936" spans="2:34">
      <c r="B4936" s="2">
        <f ca="1"/>
        <v>0.92255967013308449</v>
      </c>
      <c r="O4936" s="2">
        <f ca="1"/>
        <v>-1.2400488553791658</v>
      </c>
      <c r="X4936" s="2">
        <f ca="1"/>
        <v>37.305867482683496</v>
      </c>
      <c r="AG4936" s="2">
        <f ca="1"/>
        <v>0.56487540505620881</v>
      </c>
      <c r="AH4936" s="2" t="str">
        <f ca="1"/>
        <v>Bad</v>
      </c>
    </row>
    <row r="4937" spans="2:34">
      <c r="B4937" s="2">
        <f ca="1"/>
        <v>0.24539540267625615</v>
      </c>
      <c r="O4937" s="2">
        <f ca="1"/>
        <v>0.37560082140135775</v>
      </c>
      <c r="X4937" s="2">
        <f ca="1"/>
        <v>53.08640593052418</v>
      </c>
      <c r="AG4937" s="2">
        <f ca="1"/>
        <v>0.62561840504553534</v>
      </c>
      <c r="AH4937" s="2" t="str">
        <f ca="1"/>
        <v>Bad</v>
      </c>
    </row>
    <row r="4938" spans="2:34">
      <c r="B4938" s="2">
        <f ca="1"/>
        <v>0.75718285999272972</v>
      </c>
      <c r="O4938" s="2">
        <f ca="1"/>
        <v>-1.5106023181268988</v>
      </c>
      <c r="X4938" s="2">
        <f ca="1"/>
        <v>69.210483113419031</v>
      </c>
      <c r="AG4938" s="2">
        <f ca="1"/>
        <v>0.98159902216465578</v>
      </c>
      <c r="AH4938" s="2" t="str">
        <f ca="1"/>
        <v>Bad</v>
      </c>
    </row>
    <row r="4939" spans="2:34">
      <c r="B4939" s="2">
        <f ca="1"/>
        <v>0.12956969414857422</v>
      </c>
      <c r="O4939" s="2">
        <f ca="1"/>
        <v>-0.16701443795792378</v>
      </c>
      <c r="X4939" s="2">
        <f ca="1"/>
        <v>44.335414241685967</v>
      </c>
      <c r="AG4939" s="2">
        <f ca="1"/>
        <v>5.2901818619251362E-2</v>
      </c>
      <c r="AH4939" s="2" t="str">
        <f ca="1"/>
        <v>OK</v>
      </c>
    </row>
    <row r="4940" spans="2:34">
      <c r="B4940" s="2">
        <f ca="1"/>
        <v>0.2390951249734361</v>
      </c>
      <c r="O4940" s="2">
        <f ca="1"/>
        <v>-0.58419921359299842</v>
      </c>
      <c r="X4940" s="2">
        <f ca="1"/>
        <v>40.171768766026503</v>
      </c>
      <c r="AG4940" s="2">
        <f ca="1"/>
        <v>0.45638998987502699</v>
      </c>
      <c r="AH4940" s="2" t="str">
        <f ca="1"/>
        <v>Bad</v>
      </c>
    </row>
    <row r="4941" spans="2:34">
      <c r="B4941" s="2">
        <f ca="1"/>
        <v>0.55329643462189404</v>
      </c>
      <c r="O4941" s="2">
        <f ca="1"/>
        <v>6.9151192386332189E-2</v>
      </c>
      <c r="X4941" s="2">
        <f ca="1"/>
        <v>25.574991686562537</v>
      </c>
      <c r="AG4941" s="2">
        <f ca="1"/>
        <v>0.72049250701544287</v>
      </c>
      <c r="AH4941" s="2" t="str">
        <f ca="1"/>
        <v>Bad</v>
      </c>
    </row>
    <row r="4942" spans="2:34">
      <c r="B4942" s="2">
        <f ca="1"/>
        <v>0.76341220723576964</v>
      </c>
      <c r="O4942" s="2">
        <f ca="1"/>
        <v>1.350154505290543E-2</v>
      </c>
      <c r="X4942" s="2">
        <f ca="1"/>
        <v>61.186219728790697</v>
      </c>
      <c r="AG4942" s="2">
        <f ca="1"/>
        <v>0.33669646124975672</v>
      </c>
      <c r="AH4942" s="2" t="str">
        <f ca="1"/>
        <v>OK</v>
      </c>
    </row>
    <row r="4943" spans="2:34">
      <c r="B4943" s="2">
        <f ca="1"/>
        <v>0.27375791303453112</v>
      </c>
      <c r="O4943" s="2">
        <f ca="1"/>
        <v>0.62556509820897654</v>
      </c>
      <c r="X4943" s="2">
        <f ca="1"/>
        <v>76.923443976679152</v>
      </c>
      <c r="AG4943" s="2">
        <f ca="1"/>
        <v>0.22722216009826335</v>
      </c>
      <c r="AH4943" s="2" t="str">
        <f ca="1"/>
        <v>OK</v>
      </c>
    </row>
    <row r="4944" spans="2:34">
      <c r="B4944" s="2">
        <f ca="1"/>
        <v>0.33895936434470397</v>
      </c>
      <c r="O4944" s="2">
        <f ca="1"/>
        <v>-0.29780099689801059</v>
      </c>
      <c r="X4944" s="2">
        <f ca="1"/>
        <v>42.770233300284616</v>
      </c>
      <c r="AG4944" s="2">
        <f ca="1"/>
        <v>0.18509525453715558</v>
      </c>
      <c r="AH4944" s="2" t="str">
        <f ca="1"/>
        <v>OK</v>
      </c>
    </row>
    <row r="4945" spans="2:34">
      <c r="B4945" s="2">
        <f ca="1"/>
        <v>0.41405490047972271</v>
      </c>
      <c r="O4945" s="2">
        <f ca="1"/>
        <v>-0.38064766232300351</v>
      </c>
      <c r="X4945" s="2">
        <f ca="1"/>
        <v>45.560684625407639</v>
      </c>
      <c r="AG4945" s="2">
        <f ca="1"/>
        <v>0.77397608547099184</v>
      </c>
      <c r="AH4945" s="2" t="str">
        <f ca="1"/>
        <v>Bad</v>
      </c>
    </row>
    <row r="4946" spans="2:34">
      <c r="B4946" s="2">
        <f ca="1"/>
        <v>0.28565625862533173</v>
      </c>
      <c r="O4946" s="2">
        <f ca="1"/>
        <v>-0.48762748359000274</v>
      </c>
      <c r="X4946" s="2">
        <f ca="1"/>
        <v>61.454976181545589</v>
      </c>
      <c r="AG4946" s="2">
        <f ca="1"/>
        <v>0.9644868747322819</v>
      </c>
      <c r="AH4946" s="2" t="str">
        <f ca="1"/>
        <v>Bad</v>
      </c>
    </row>
    <row r="4947" spans="2:34">
      <c r="B4947" s="2">
        <f ca="1"/>
        <v>0.50682519172630913</v>
      </c>
      <c r="O4947" s="2">
        <f ca="1"/>
        <v>-1.9302646625398139E-2</v>
      </c>
      <c r="X4947" s="2">
        <f ca="1"/>
        <v>58.136843632973161</v>
      </c>
      <c r="AG4947" s="2">
        <f ca="1"/>
        <v>0.82721885127155459</v>
      </c>
      <c r="AH4947" s="2" t="str">
        <f ca="1"/>
        <v>Bad</v>
      </c>
    </row>
    <row r="4948" spans="2:34">
      <c r="B4948" s="2">
        <f ca="1"/>
        <v>0.8824642749294993</v>
      </c>
      <c r="O4948" s="2">
        <f ca="1"/>
        <v>-0.93066317097936657</v>
      </c>
      <c r="X4948" s="2">
        <f ca="1"/>
        <v>89.696060239777609</v>
      </c>
      <c r="AG4948" s="2">
        <f ca="1"/>
        <v>0.31366065764975204</v>
      </c>
      <c r="AH4948" s="2" t="str">
        <f ca="1"/>
        <v>OK</v>
      </c>
    </row>
    <row r="4949" spans="2:34">
      <c r="B4949" s="2">
        <f ca="1"/>
        <v>0.60755194829185566</v>
      </c>
      <c r="O4949" s="2">
        <f ca="1"/>
        <v>-0.37682948641269315</v>
      </c>
      <c r="X4949" s="2">
        <f ca="1"/>
        <v>45.418351879793953</v>
      </c>
      <c r="AG4949" s="2">
        <f ca="1"/>
        <v>0.13514106232602874</v>
      </c>
      <c r="AH4949" s="2" t="str">
        <f ca="1"/>
        <v>OK</v>
      </c>
    </row>
    <row r="4950" spans="2:34">
      <c r="B4950" s="2">
        <f ca="1"/>
        <v>0.41760253239392076</v>
      </c>
      <c r="O4950" s="2">
        <f ca="1"/>
        <v>-0.21651672317650833</v>
      </c>
      <c r="X4950" s="2">
        <f ca="1"/>
        <v>42.384549894066488</v>
      </c>
      <c r="AG4950" s="2">
        <f ca="1"/>
        <v>0.14243964927661645</v>
      </c>
      <c r="AH4950" s="2" t="str">
        <f ca="1"/>
        <v>OK</v>
      </c>
    </row>
    <row r="4951" spans="2:34">
      <c r="B4951" s="2">
        <f ca="1"/>
        <v>0.6252796341579252</v>
      </c>
      <c r="O4951" s="2">
        <f ca="1"/>
        <v>5.5409132150402496E-2</v>
      </c>
      <c r="X4951" s="2">
        <f ca="1"/>
        <v>40.477369413159145</v>
      </c>
      <c r="AG4951" s="2">
        <f ca="1"/>
        <v>0.77557298918194584</v>
      </c>
      <c r="AH4951" s="2" t="str">
        <f ca="1"/>
        <v>Bad</v>
      </c>
    </row>
    <row r="4952" spans="2:34">
      <c r="B4952" s="2">
        <f ca="1"/>
        <v>0.71613472858840277</v>
      </c>
      <c r="O4952" s="2">
        <f ca="1"/>
        <v>-1.9862661565518096</v>
      </c>
      <c r="X4952" s="2">
        <f ca="1"/>
        <v>39.900684526561975</v>
      </c>
      <c r="AG4952" s="2">
        <f ca="1"/>
        <v>0.81652074790436591</v>
      </c>
      <c r="AH4952" s="2" t="str">
        <f ca="1"/>
        <v>Bad</v>
      </c>
    </row>
    <row r="4953" spans="2:34">
      <c r="B4953" s="2">
        <f ca="1"/>
        <v>0.25159500797616952</v>
      </c>
      <c r="O4953" s="2">
        <f ca="1"/>
        <v>-0.29578276014518073</v>
      </c>
      <c r="X4953" s="2">
        <f ca="1"/>
        <v>53.633435161738454</v>
      </c>
      <c r="AG4953" s="2">
        <f ca="1"/>
        <v>0.27961424950870484</v>
      </c>
      <c r="AH4953" s="2" t="str">
        <f ca="1"/>
        <v>OK</v>
      </c>
    </row>
    <row r="4954" spans="2:34">
      <c r="B4954" s="2">
        <f ca="1"/>
        <v>0.4591924245710961</v>
      </c>
      <c r="O4954" s="2">
        <f ca="1"/>
        <v>1.5153970207905256</v>
      </c>
      <c r="X4954" s="2">
        <f ca="1"/>
        <v>26.82764383322613</v>
      </c>
      <c r="AG4954" s="2">
        <f ca="1"/>
        <v>0.63286137864995529</v>
      </c>
      <c r="AH4954" s="2" t="str">
        <f ca="1"/>
        <v>Bad</v>
      </c>
    </row>
    <row r="4955" spans="2:34">
      <c r="B4955" s="2">
        <f ca="1"/>
        <v>0.96437127284705482</v>
      </c>
      <c r="O4955" s="2">
        <f ca="1"/>
        <v>1.7080355527145821</v>
      </c>
      <c r="X4955" s="2">
        <f ca="1"/>
        <v>53.163614556139137</v>
      </c>
      <c r="AG4955" s="2">
        <f ca="1"/>
        <v>0.75584149287867164</v>
      </c>
      <c r="AH4955" s="2" t="str">
        <f ca="1"/>
        <v>Bad</v>
      </c>
    </row>
    <row r="4956" spans="2:34">
      <c r="B4956" s="2">
        <f ca="1"/>
        <v>0.6605008131069019</v>
      </c>
      <c r="O4956" s="2">
        <f ca="1"/>
        <v>-0.10878872540852608</v>
      </c>
      <c r="X4956" s="2">
        <f ca="1"/>
        <v>74.94214704131862</v>
      </c>
      <c r="AG4956" s="2">
        <f ca="1"/>
        <v>0.45316865583657373</v>
      </c>
      <c r="AH4956" s="2" t="str">
        <f ca="1"/>
        <v>Bad</v>
      </c>
    </row>
    <row r="4957" spans="2:34">
      <c r="B4957" s="2">
        <f ca="1"/>
        <v>0.37696651855168106</v>
      </c>
      <c r="O4957" s="2">
        <f ca="1"/>
        <v>-0.29957146802645257</v>
      </c>
      <c r="X4957" s="2">
        <f ca="1"/>
        <v>31.439319251833972</v>
      </c>
      <c r="AG4957" s="2">
        <f ca="1"/>
        <v>0.78588356006151394</v>
      </c>
      <c r="AH4957" s="2" t="str">
        <f ca="1"/>
        <v>Bad</v>
      </c>
    </row>
    <row r="4958" spans="2:34">
      <c r="B4958" s="2">
        <f ca="1"/>
        <v>0.86846321327422493</v>
      </c>
      <c r="O4958" s="2">
        <f ca="1"/>
        <v>-2.1216768216878052</v>
      </c>
      <c r="X4958" s="2">
        <f ca="1"/>
        <v>56.430902883051274</v>
      </c>
      <c r="AG4958" s="2">
        <f ca="1"/>
        <v>0.15784841003079086</v>
      </c>
      <c r="AH4958" s="2" t="str">
        <f ca="1"/>
        <v>OK</v>
      </c>
    </row>
    <row r="4959" spans="2:34">
      <c r="B4959" s="2">
        <f ca="1"/>
        <v>0.56541439163125462</v>
      </c>
      <c r="O4959" s="2">
        <f ca="1"/>
        <v>0.43726564298549109</v>
      </c>
      <c r="X4959" s="2">
        <f ca="1"/>
        <v>69.755060198007527</v>
      </c>
      <c r="AG4959" s="2">
        <f ca="1"/>
        <v>0.67320279113351278</v>
      </c>
      <c r="AH4959" s="2" t="str">
        <f ca="1"/>
        <v>Bad</v>
      </c>
    </row>
    <row r="4960" spans="2:34">
      <c r="B4960" s="2">
        <f ca="1"/>
        <v>0.87512491860459041</v>
      </c>
      <c r="O4960" s="2">
        <f ca="1"/>
        <v>-0.6019198740657753</v>
      </c>
      <c r="X4960" s="2">
        <f ca="1"/>
        <v>48.911418587141682</v>
      </c>
      <c r="AG4960" s="2">
        <f ca="1"/>
        <v>0.23607096022532148</v>
      </c>
      <c r="AH4960" s="2" t="str">
        <f ca="1"/>
        <v>OK</v>
      </c>
    </row>
    <row r="4961" spans="2:34">
      <c r="B4961" s="2">
        <f ca="1"/>
        <v>0.91682962046648497</v>
      </c>
      <c r="O4961" s="2">
        <f ca="1"/>
        <v>-0.48852633822775743</v>
      </c>
      <c r="X4961" s="2">
        <f ca="1"/>
        <v>37.678087198549825</v>
      </c>
      <c r="AG4961" s="2">
        <f ca="1"/>
        <v>0.58477476166957687</v>
      </c>
      <c r="AH4961" s="2" t="str">
        <f ca="1"/>
        <v>Bad</v>
      </c>
    </row>
    <row r="4962" spans="2:34">
      <c r="B4962" s="2">
        <f ca="1"/>
        <v>0.56788401179427739</v>
      </c>
      <c r="O4962" s="2">
        <f ca="1"/>
        <v>2.2089484919270048</v>
      </c>
      <c r="X4962" s="2">
        <f ca="1"/>
        <v>80.827844631126567</v>
      </c>
      <c r="AG4962" s="2">
        <f ca="1"/>
        <v>0.86233063420725742</v>
      </c>
      <c r="AH4962" s="2" t="str">
        <f ca="1"/>
        <v>Bad</v>
      </c>
    </row>
    <row r="4963" spans="2:34">
      <c r="B4963" s="2">
        <f ca="1"/>
        <v>0.97926022908590959</v>
      </c>
      <c r="O4963" s="2">
        <f ca="1"/>
        <v>-1.3266708462225354</v>
      </c>
      <c r="X4963" s="2">
        <f ca="1"/>
        <v>74.079786985307166</v>
      </c>
      <c r="AG4963" s="2">
        <f ca="1"/>
        <v>0.72065741294900776</v>
      </c>
      <c r="AH4963" s="2" t="str">
        <f ca="1"/>
        <v>Bad</v>
      </c>
    </row>
    <row r="4964" spans="2:34">
      <c r="B4964" s="2">
        <f ca="1"/>
        <v>0.20012695737089614</v>
      </c>
      <c r="O4964" s="2">
        <f ca="1"/>
        <v>-0.49682500958422227</v>
      </c>
      <c r="X4964" s="2">
        <f ca="1"/>
        <v>80.271975298556242</v>
      </c>
      <c r="AG4964" s="2">
        <f ca="1"/>
        <v>0.95314180180544472</v>
      </c>
      <c r="AH4964" s="2" t="str">
        <f ca="1"/>
        <v>Bad</v>
      </c>
    </row>
    <row r="4965" spans="2:34">
      <c r="B4965" s="2">
        <f ca="1"/>
        <v>0.79830183705482716</v>
      </c>
      <c r="O4965" s="2">
        <f ca="1"/>
        <v>0.80404259431815439</v>
      </c>
      <c r="X4965" s="2">
        <f ca="1"/>
        <v>20.361715397880594</v>
      </c>
      <c r="AG4965" s="2">
        <f ca="1"/>
        <v>0.75742296044831336</v>
      </c>
      <c r="AH4965" s="2" t="str">
        <f ca="1"/>
        <v>Bad</v>
      </c>
    </row>
    <row r="4966" spans="2:34">
      <c r="B4966" s="2">
        <f ca="1"/>
        <v>2.398427684535509E-2</v>
      </c>
      <c r="O4966" s="2">
        <f ca="1"/>
        <v>-1.0837158341746145</v>
      </c>
      <c r="X4966" s="2">
        <f ca="1"/>
        <v>56.073626665272968</v>
      </c>
      <c r="AG4966" s="2">
        <f ca="1"/>
        <v>0.83936582921949254</v>
      </c>
      <c r="AH4966" s="2" t="str">
        <f ca="1"/>
        <v>Bad</v>
      </c>
    </row>
    <row r="4967" spans="2:34">
      <c r="B4967" s="2">
        <f ca="1"/>
        <v>0.51627132668174913</v>
      </c>
      <c r="O4967" s="2">
        <f ca="1"/>
        <v>0.84377223461196471</v>
      </c>
      <c r="X4967" s="2">
        <f ca="1"/>
        <v>44.65188678671182</v>
      </c>
      <c r="AG4967" s="2">
        <f ca="1"/>
        <v>1.3916115491024117E-2</v>
      </c>
      <c r="AH4967" s="2" t="str">
        <f ca="1"/>
        <v>Good</v>
      </c>
    </row>
    <row r="4968" spans="2:34">
      <c r="B4968" s="2">
        <f ca="1"/>
        <v>0.90526370023913216</v>
      </c>
      <c r="O4968" s="2">
        <f ca="1"/>
        <v>1.6942187607418498E-2</v>
      </c>
      <c r="X4968" s="2">
        <f ca="1"/>
        <v>23.577580308566212</v>
      </c>
      <c r="AG4968" s="2">
        <f ca="1"/>
        <v>0.54283124545057815</v>
      </c>
      <c r="AH4968" s="2" t="str">
        <f ca="1"/>
        <v>Bad</v>
      </c>
    </row>
    <row r="4969" spans="2:34">
      <c r="B4969" s="2">
        <f ca="1"/>
        <v>0.20616879217630668</v>
      </c>
      <c r="O4969" s="2">
        <f ca="1"/>
        <v>-2.4266909242299719</v>
      </c>
      <c r="X4969" s="2">
        <f ca="1"/>
        <v>58.426668911725159</v>
      </c>
      <c r="AG4969" s="2">
        <f ca="1"/>
        <v>0.83003832723139115</v>
      </c>
      <c r="AH4969" s="2" t="str">
        <f ca="1"/>
        <v>Bad</v>
      </c>
    </row>
    <row r="4970" spans="2:34">
      <c r="B4970" s="2">
        <f ca="1"/>
        <v>0.53370300274513838</v>
      </c>
      <c r="O4970" s="2">
        <f ca="1"/>
        <v>0.9084113727437465</v>
      </c>
      <c r="X4970" s="2">
        <f ca="1"/>
        <v>59.555083384464695</v>
      </c>
      <c r="AG4970" s="2">
        <f ca="1"/>
        <v>0.67570799682011629</v>
      </c>
      <c r="AH4970" s="2" t="str">
        <f ca="1"/>
        <v>Bad</v>
      </c>
    </row>
    <row r="4971" spans="2:34">
      <c r="B4971" s="2">
        <f ca="1"/>
        <v>0.40639637191216749</v>
      </c>
      <c r="O4971" s="2">
        <f ca="1"/>
        <v>-1.0173818556776026</v>
      </c>
      <c r="X4971" s="2">
        <f ca="1"/>
        <v>40.264585473979942</v>
      </c>
      <c r="AG4971" s="2">
        <f ca="1"/>
        <v>0.81444993281041245</v>
      </c>
      <c r="AH4971" s="2" t="str">
        <f ca="1"/>
        <v>Bad</v>
      </c>
    </row>
    <row r="4972" spans="2:34">
      <c r="B4972" s="2">
        <f ca="1"/>
        <v>0.24093686367241252</v>
      </c>
      <c r="O4972" s="2">
        <f ca="1"/>
        <v>-2.0360860665894185</v>
      </c>
      <c r="X4972" s="2">
        <f ca="1"/>
        <v>47.576864899194049</v>
      </c>
      <c r="AG4972" s="2">
        <f ca="1"/>
        <v>0.68906722867645231</v>
      </c>
      <c r="AH4972" s="2" t="str">
        <f ca="1"/>
        <v>Bad</v>
      </c>
    </row>
    <row r="4973" spans="2:34">
      <c r="B4973" s="2">
        <f ca="1"/>
        <v>0.90779054468282672</v>
      </c>
      <c r="O4973" s="2">
        <f ca="1"/>
        <v>1.3607091371040374</v>
      </c>
      <c r="X4973" s="2">
        <f ca="1"/>
        <v>63.006149839571499</v>
      </c>
      <c r="AG4973" s="2">
        <f ca="1"/>
        <v>0.49185208789798618</v>
      </c>
      <c r="AH4973" s="2" t="str">
        <f ca="1"/>
        <v>Bad</v>
      </c>
    </row>
    <row r="4974" spans="2:34">
      <c r="B4974" s="2">
        <f ca="1"/>
        <v>0.91305308046697209</v>
      </c>
      <c r="O4974" s="2">
        <f ca="1"/>
        <v>-2.0177092949328324</v>
      </c>
      <c r="X4974" s="2">
        <f ca="1"/>
        <v>20.094162592940599</v>
      </c>
      <c r="AG4974" s="2">
        <f ca="1"/>
        <v>0.21829054281285099</v>
      </c>
      <c r="AH4974" s="2" t="str">
        <f ca="1"/>
        <v>OK</v>
      </c>
    </row>
    <row r="4975" spans="2:34">
      <c r="B4975" s="2">
        <f ca="1"/>
        <v>0.95984105494392025</v>
      </c>
      <c r="O4975" s="2">
        <f ca="1"/>
        <v>-6.4352928034121418E-2</v>
      </c>
      <c r="X4975" s="2">
        <f ca="1"/>
        <v>45.286317733834153</v>
      </c>
      <c r="AG4975" s="2">
        <f ca="1"/>
        <v>0.76330110668788698</v>
      </c>
      <c r="AH4975" s="2" t="str">
        <f ca="1"/>
        <v>Bad</v>
      </c>
    </row>
    <row r="4976" spans="2:34">
      <c r="B4976" s="2">
        <f ca="1"/>
        <v>0.76001506615162939</v>
      </c>
      <c r="O4976" s="2">
        <f ca="1"/>
        <v>0.54454928661461199</v>
      </c>
      <c r="X4976" s="2">
        <f ca="1"/>
        <v>59.882541539796847</v>
      </c>
      <c r="AG4976" s="2">
        <f ca="1"/>
        <v>0.33268478259662215</v>
      </c>
      <c r="AH4976" s="2" t="str">
        <f ca="1"/>
        <v>OK</v>
      </c>
    </row>
    <row r="4977" spans="2:34">
      <c r="B4977" s="2">
        <f ca="1"/>
        <v>0.15298126112725274</v>
      </c>
      <c r="O4977" s="2">
        <f ca="1"/>
        <v>-0.15890598541439471</v>
      </c>
      <c r="X4977" s="2">
        <f ca="1"/>
        <v>33.369600199510614</v>
      </c>
      <c r="AG4977" s="2">
        <f ca="1"/>
        <v>0.64426323658521434</v>
      </c>
      <c r="AH4977" s="2" t="str">
        <f ca="1"/>
        <v>Bad</v>
      </c>
    </row>
    <row r="4978" spans="2:34">
      <c r="B4978" s="2">
        <f ca="1"/>
        <v>0.85922303562829661</v>
      </c>
      <c r="O4978" s="2">
        <f ca="1"/>
        <v>-0.39552327760119638</v>
      </c>
      <c r="X4978" s="2">
        <f ca="1"/>
        <v>51.376060594819741</v>
      </c>
      <c r="AG4978" s="2">
        <f ca="1"/>
        <v>0.85556442314228898</v>
      </c>
      <c r="AH4978" s="2" t="str">
        <f ca="1"/>
        <v>Bad</v>
      </c>
    </row>
    <row r="4979" spans="2:34">
      <c r="B4979" s="2">
        <f ca="1"/>
        <v>0.7035199765395721</v>
      </c>
      <c r="O4979" s="2">
        <f ca="1"/>
        <v>1.2621942798036234</v>
      </c>
      <c r="X4979" s="2">
        <f ca="1"/>
        <v>37.955770112993406</v>
      </c>
      <c r="AG4979" s="2">
        <f ca="1"/>
        <v>0.37206961978335729</v>
      </c>
      <c r="AH4979" s="2" t="str">
        <f ca="1"/>
        <v>OK</v>
      </c>
    </row>
    <row r="4980" spans="2:34">
      <c r="B4980" s="2">
        <f ca="1"/>
        <v>0.45367321062995991</v>
      </c>
      <c r="O4980" s="2">
        <f ca="1"/>
        <v>0.6117491714508283</v>
      </c>
      <c r="X4980" s="2">
        <f ca="1"/>
        <v>54.104496652857428</v>
      </c>
      <c r="AG4980" s="2">
        <f ca="1"/>
        <v>9.7272474787550189E-2</v>
      </c>
      <c r="AH4980" s="2" t="str">
        <f ca="1"/>
        <v>OK</v>
      </c>
    </row>
    <row r="4981" spans="2:34">
      <c r="B4981" s="2">
        <f ca="1"/>
        <v>0.10508975383033947</v>
      </c>
      <c r="O4981" s="2">
        <f ca="1"/>
        <v>-0.14610251496395815</v>
      </c>
      <c r="X4981" s="2">
        <f ca="1"/>
        <v>81.670116481426902</v>
      </c>
      <c r="AG4981" s="2">
        <f ca="1"/>
        <v>0.51716206955901001</v>
      </c>
      <c r="AH4981" s="2" t="str">
        <f ca="1"/>
        <v>Bad</v>
      </c>
    </row>
    <row r="4982" spans="2:34">
      <c r="B4982" s="2">
        <f ca="1"/>
        <v>0.10386528208162549</v>
      </c>
      <c r="O4982" s="2">
        <f ca="1"/>
        <v>-0.23586654655484179</v>
      </c>
      <c r="X4982" s="2">
        <f ca="1"/>
        <v>40.49878526638453</v>
      </c>
      <c r="AG4982" s="2">
        <f ca="1"/>
        <v>7.566789305031052E-2</v>
      </c>
      <c r="AH4982" s="2" t="str">
        <f ca="1"/>
        <v>OK</v>
      </c>
    </row>
    <row r="4983" spans="2:34">
      <c r="B4983" s="2">
        <f ca="1"/>
        <v>0.93522669924025448</v>
      </c>
      <c r="O4983" s="2">
        <f ca="1"/>
        <v>-0.76223269149995931</v>
      </c>
      <c r="X4983" s="2">
        <f ca="1"/>
        <v>36.441606781109485</v>
      </c>
      <c r="AG4983" s="2">
        <f ca="1"/>
        <v>0.70996396374878445</v>
      </c>
      <c r="AH4983" s="2" t="str">
        <f ca="1"/>
        <v>Bad</v>
      </c>
    </row>
    <row r="4984" spans="2:34">
      <c r="B4984" s="2">
        <f ca="1"/>
        <v>0.20822858408483325</v>
      </c>
      <c r="O4984" s="2">
        <f ca="1"/>
        <v>-0.26293523171230848</v>
      </c>
      <c r="X4984" s="2">
        <f ca="1"/>
        <v>45.849543144883171</v>
      </c>
      <c r="AG4984" s="2">
        <f ca="1"/>
        <v>0.6201779211038565</v>
      </c>
      <c r="AH4984" s="2" t="str">
        <f ca="1"/>
        <v>Bad</v>
      </c>
    </row>
    <row r="4985" spans="2:34">
      <c r="B4985" s="2">
        <f ca="1"/>
        <v>9.1964767526885538E-2</v>
      </c>
      <c r="O4985" s="2">
        <f ca="1"/>
        <v>3.3150057590309284E-2</v>
      </c>
      <c r="X4985" s="2">
        <f ca="1"/>
        <v>26.397116540871572</v>
      </c>
      <c r="AG4985" s="2">
        <f ca="1"/>
        <v>5.4823287626434514E-2</v>
      </c>
      <c r="AH4985" s="2" t="str">
        <f ca="1"/>
        <v>OK</v>
      </c>
    </row>
    <row r="4986" spans="2:34">
      <c r="B4986" s="2">
        <f ca="1"/>
        <v>0.6430875012281525</v>
      </c>
      <c r="O4986" s="2">
        <f ca="1"/>
        <v>0.59307289297764754</v>
      </c>
      <c r="X4986" s="2">
        <f ca="1"/>
        <v>44.33022313461742</v>
      </c>
      <c r="AG4986" s="2">
        <f ca="1"/>
        <v>0.66109852171221362</v>
      </c>
      <c r="AH4986" s="2" t="str">
        <f ca="1"/>
        <v>Bad</v>
      </c>
    </row>
    <row r="4987" spans="2:34">
      <c r="B4987" s="2">
        <f ca="1"/>
        <v>0.51901704768503221</v>
      </c>
      <c r="O4987" s="2">
        <f ca="1"/>
        <v>2.5587472791336541E-2</v>
      </c>
      <c r="X4987" s="2">
        <f ca="1"/>
        <v>79.558681196882759</v>
      </c>
      <c r="AG4987" s="2">
        <f ca="1"/>
        <v>0.99229471330933383</v>
      </c>
      <c r="AH4987" s="2" t="str">
        <f ca="1"/>
        <v>Bad</v>
      </c>
    </row>
    <row r="4988" spans="2:34">
      <c r="B4988" s="2">
        <f ca="1"/>
        <v>0.90427366919368346</v>
      </c>
      <c r="O4988" s="2">
        <f ca="1"/>
        <v>0.31511151540803412</v>
      </c>
      <c r="X4988" s="2">
        <f ca="1"/>
        <v>40.645812084141539</v>
      </c>
      <c r="AG4988" s="2">
        <f ca="1"/>
        <v>0.86733522645096328</v>
      </c>
      <c r="AH4988" s="2" t="str">
        <f ca="1"/>
        <v>Bad</v>
      </c>
    </row>
    <row r="4989" spans="2:34">
      <c r="B4989" s="2">
        <f ca="1"/>
        <v>0.11840673851670025</v>
      </c>
      <c r="O4989" s="2">
        <f ca="1"/>
        <v>1.3361394857365896</v>
      </c>
      <c r="X4989" s="2">
        <f ca="1"/>
        <v>58.072600985664799</v>
      </c>
      <c r="AG4989" s="2">
        <f ca="1"/>
        <v>0.4903845870100092</v>
      </c>
      <c r="AH4989" s="2" t="str">
        <f ca="1"/>
        <v>Bad</v>
      </c>
    </row>
    <row r="4990" spans="2:34">
      <c r="B4990" s="2">
        <f ca="1"/>
        <v>0.9251532770424169</v>
      </c>
      <c r="O4990" s="2">
        <f ca="1"/>
        <v>4.3568570232321961E-3</v>
      </c>
      <c r="X4990" s="2">
        <f ca="1"/>
        <v>43.17749678792886</v>
      </c>
      <c r="AG4990" s="2">
        <f ca="1"/>
        <v>0.55260616614602753</v>
      </c>
      <c r="AH4990" s="2" t="str">
        <f ca="1"/>
        <v>Bad</v>
      </c>
    </row>
    <row r="4991" spans="2:34">
      <c r="B4991" s="2">
        <f ca="1"/>
        <v>0.99439454548994566</v>
      </c>
      <c r="O4991" s="2">
        <f ca="1"/>
        <v>8.169444121439131E-3</v>
      </c>
      <c r="X4991" s="2">
        <f ca="1"/>
        <v>38.8541510865874</v>
      </c>
      <c r="AG4991" s="2">
        <f ca="1"/>
        <v>0.84711955060224531</v>
      </c>
      <c r="AH4991" s="2" t="str">
        <f ca="1"/>
        <v>Bad</v>
      </c>
    </row>
    <row r="4992" spans="2:34">
      <c r="B4992" s="2">
        <f ca="1"/>
        <v>0.17715237167974474</v>
      </c>
      <c r="O4992" s="2">
        <f ca="1"/>
        <v>-6.0548360324311296E-2</v>
      </c>
      <c r="X4992" s="2">
        <f ca="1"/>
        <v>49.590019814386572</v>
      </c>
      <c r="AG4992" s="2">
        <f ca="1"/>
        <v>0.12761464138320955</v>
      </c>
      <c r="AH4992" s="2" t="str">
        <f ca="1"/>
        <v>OK</v>
      </c>
    </row>
    <row r="4993" spans="2:34">
      <c r="B4993" s="2">
        <f ca="1"/>
        <v>0.87075073270675873</v>
      </c>
      <c r="O4993" s="2">
        <f ca="1"/>
        <v>-1.9722866215727142</v>
      </c>
      <c r="X4993" s="2">
        <f ca="1"/>
        <v>64.066355403954489</v>
      </c>
      <c r="AG4993" s="2">
        <f ca="1"/>
        <v>0.30851215849041691</v>
      </c>
      <c r="AH4993" s="2" t="str">
        <f ca="1"/>
        <v>OK</v>
      </c>
    </row>
    <row r="4994" spans="2:34">
      <c r="B4994" s="2">
        <f ca="1"/>
        <v>0.50708321198174344</v>
      </c>
      <c r="O4994" s="2">
        <f ca="1"/>
        <v>1.3002007101835031</v>
      </c>
      <c r="X4994" s="2">
        <f ca="1"/>
        <v>45.314031184696432</v>
      </c>
      <c r="AG4994" s="2">
        <f ca="1"/>
        <v>0.98388270202713479</v>
      </c>
      <c r="AH4994" s="2" t="str">
        <f ca="1"/>
        <v>Bad</v>
      </c>
    </row>
    <row r="4995" spans="2:34">
      <c r="B4995" s="2">
        <f ca="1"/>
        <v>0.23432992370487749</v>
      </c>
      <c r="O4995" s="2">
        <f ca="1"/>
        <v>1.3184087778902767</v>
      </c>
      <c r="X4995" s="2">
        <f ca="1"/>
        <v>51.70267795507111</v>
      </c>
      <c r="AG4995" s="2">
        <f ca="1"/>
        <v>0.4498627383552054</v>
      </c>
      <c r="AH4995" s="2" t="str">
        <f ca="1"/>
        <v>Bad</v>
      </c>
    </row>
    <row r="4996" spans="2:34">
      <c r="B4996" s="2">
        <f ca="1"/>
        <v>0.99151347823039093</v>
      </c>
      <c r="O4996" s="2">
        <f ca="1"/>
        <v>0.78647042550243917</v>
      </c>
      <c r="X4996" s="2">
        <f ca="1"/>
        <v>34.313292588007648</v>
      </c>
      <c r="AG4996" s="2">
        <f ca="1"/>
        <v>0.6283562266443381</v>
      </c>
      <c r="AH4996" s="2" t="str">
        <f ca="1"/>
        <v>Bad</v>
      </c>
    </row>
    <row r="4997" spans="2:34">
      <c r="B4997" s="2">
        <f ca="1"/>
        <v>0.77475232322988719</v>
      </c>
      <c r="O4997" s="2">
        <f ca="1"/>
        <v>0.97101609897256957</v>
      </c>
      <c r="X4997" s="2">
        <f ca="1"/>
        <v>89.854486188465984</v>
      </c>
      <c r="AG4997" s="2">
        <f ca="1"/>
        <v>0.98475092999922986</v>
      </c>
      <c r="AH4997" s="2" t="str">
        <f ca="1"/>
        <v>Bad</v>
      </c>
    </row>
    <row r="4998" spans="2:34">
      <c r="B4998" s="2">
        <f ca="1"/>
        <v>0.82520226357467275</v>
      </c>
      <c r="O4998" s="2">
        <f ca="1"/>
        <v>0.18900299470624593</v>
      </c>
      <c r="X4998" s="2">
        <f ca="1"/>
        <v>56.728895724664838</v>
      </c>
      <c r="AG4998" s="2">
        <f ca="1"/>
        <v>0.69753991970858009</v>
      </c>
      <c r="AH4998" s="2" t="str">
        <f ca="1"/>
        <v>Bad</v>
      </c>
    </row>
    <row r="4999" spans="2:34">
      <c r="B4999" s="2">
        <f ca="1"/>
        <v>0.15005753083589179</v>
      </c>
      <c r="O4999" s="2">
        <f ca="1"/>
        <v>-0.68056749356682644</v>
      </c>
      <c r="X4999" s="2">
        <f ca="1"/>
        <v>58.928439396223702</v>
      </c>
      <c r="AG4999" s="2">
        <f ca="1"/>
        <v>0.47575880765139988</v>
      </c>
      <c r="AH4999" s="2" t="str">
        <f ca="1"/>
        <v>Bad</v>
      </c>
    </row>
    <row r="5000" spans="2:34">
      <c r="B5000" s="2">
        <f ca="1"/>
        <v>0.52939668878509938</v>
      </c>
      <c r="O5000" s="2">
        <f ca="1"/>
        <v>-0.16520439331659892</v>
      </c>
      <c r="X5000" s="2">
        <f ca="1"/>
        <v>68.432096538057777</v>
      </c>
      <c r="AG5000" s="2">
        <f ca="1"/>
        <v>0.86192152009485534</v>
      </c>
      <c r="AH5000" s="2" t="str">
        <f ca="1"/>
        <v>Bad</v>
      </c>
    </row>
    <row r="5001" spans="2:34">
      <c r="B5001" s="2">
        <f ca="1"/>
        <v>0.75872246484691597</v>
      </c>
      <c r="O5001" s="2">
        <f ca="1"/>
        <v>-1.0510078458896337</v>
      </c>
      <c r="X5001" s="2">
        <f ca="1"/>
        <v>38.05779432104157</v>
      </c>
      <c r="AG5001" s="2">
        <f ca="1"/>
        <v>0.37365620181963166</v>
      </c>
      <c r="AH5001" s="2" t="str">
        <f ca="1"/>
        <v>OK</v>
      </c>
    </row>
    <row r="5002" spans="2:34">
      <c r="B5002" s="2">
        <f ca="1"/>
        <v>0.48398874962630734</v>
      </c>
      <c r="O5002" s="2">
        <f ca="1"/>
        <v>-0.84353658319650715</v>
      </c>
      <c r="X5002" s="2">
        <f ca="1"/>
        <v>59.553362838224551</v>
      </c>
      <c r="AG5002" s="2">
        <f ca="1"/>
        <v>0.75218272704805855</v>
      </c>
      <c r="AH5002" s="2" t="str">
        <f ca="1"/>
        <v>Bad</v>
      </c>
    </row>
    <row r="5003" spans="2:34">
      <c r="B5003" s="2">
        <f ca="1"/>
        <v>0.86302399522224182</v>
      </c>
      <c r="O5003" s="2">
        <f ca="1"/>
        <v>-0.26563787046078807</v>
      </c>
      <c r="X5003" s="2">
        <f ca="1"/>
        <v>70.815473322084856</v>
      </c>
      <c r="AG5003" s="2">
        <f ca="1"/>
        <v>0.53101215411899427</v>
      </c>
      <c r="AH5003" s="2" t="str">
        <f ca="1"/>
        <v>Bad</v>
      </c>
    </row>
    <row r="5004" spans="2:34">
      <c r="B5004" s="2">
        <f ca="1"/>
        <v>0.15470651410367053</v>
      </c>
      <c r="O5004" s="2">
        <f ca="1"/>
        <v>0.83264085834517321</v>
      </c>
      <c r="X5004" s="2">
        <f ca="1"/>
        <v>67.574608185173943</v>
      </c>
      <c r="AG5004" s="2">
        <f ca="1"/>
        <v>0.49612966128822245</v>
      </c>
      <c r="AH5004" s="2" t="str">
        <f ca="1"/>
        <v>Bad</v>
      </c>
    </row>
    <row r="5005" spans="2:34">
      <c r="B5005" s="2">
        <f ca="1"/>
        <v>0.51191479802486728</v>
      </c>
      <c r="O5005" s="2">
        <f ca="1"/>
        <v>-0.49389119621000915</v>
      </c>
      <c r="X5005" s="2">
        <f ca="1"/>
        <v>66.16370510470378</v>
      </c>
      <c r="AG5005" s="2">
        <f ca="1"/>
        <v>0.41260327820853337</v>
      </c>
      <c r="AH5005" s="2" t="str">
        <f ca="1"/>
        <v>Bad</v>
      </c>
    </row>
    <row r="5006" spans="2:34">
      <c r="B5006" s="2">
        <f ca="1"/>
        <v>0.95278418682655941</v>
      </c>
      <c r="O5006" s="2">
        <f ca="1"/>
        <v>-0.82143907746662115</v>
      </c>
      <c r="X5006" s="2">
        <f ca="1"/>
        <v>54.079838272862958</v>
      </c>
      <c r="AG5006" s="2">
        <f ca="1"/>
        <v>0.90966844675190606</v>
      </c>
      <c r="AH5006" s="2" t="str">
        <f ca="1"/>
        <v>Bad</v>
      </c>
    </row>
    <row r="5007" spans="2:34">
      <c r="B5007" s="2">
        <f ca="1"/>
        <v>0.89067325849234691</v>
      </c>
      <c r="O5007" s="2">
        <f ca="1"/>
        <v>0.47839399796342086</v>
      </c>
      <c r="X5007" s="2">
        <f ca="1"/>
        <v>51.760087585180578</v>
      </c>
      <c r="AG5007" s="2">
        <f ca="1"/>
        <v>0.20194644344262724</v>
      </c>
      <c r="AH5007" s="2" t="str">
        <f ca="1"/>
        <v>OK</v>
      </c>
    </row>
    <row r="5008" spans="2:34">
      <c r="B5008" s="2">
        <f ca="1"/>
        <v>0.78398971106431214</v>
      </c>
      <c r="O5008" s="2">
        <f ca="1"/>
        <v>0.78282614598060474</v>
      </c>
      <c r="X5008" s="2">
        <f ca="1"/>
        <v>37.450668269193621</v>
      </c>
      <c r="AG5008" s="2">
        <f ca="1"/>
        <v>0.72668388803840123</v>
      </c>
      <c r="AH5008" s="2" t="str">
        <f ca="1"/>
        <v>Bad</v>
      </c>
    </row>
    <row r="5009" spans="2:34">
      <c r="B5009" s="2">
        <f ca="1"/>
        <v>0.93818514584583013</v>
      </c>
      <c r="O5009" s="2">
        <f ca="1"/>
        <v>1.0529603629728297</v>
      </c>
      <c r="X5009" s="2">
        <f ca="1"/>
        <v>42.370837281827022</v>
      </c>
      <c r="AG5009" s="2">
        <f ca="1"/>
        <v>0.18903967315062897</v>
      </c>
      <c r="AH5009" s="2" t="str">
        <f ca="1"/>
        <v>OK</v>
      </c>
    </row>
    <row r="5010" spans="2:34">
      <c r="B5010" s="2">
        <f ca="1"/>
        <v>0.95973042045077994</v>
      </c>
      <c r="O5010" s="2">
        <f ca="1"/>
        <v>-4.9517738920965622E-2</v>
      </c>
      <c r="X5010" s="2">
        <f ca="1"/>
        <v>38.792793826063061</v>
      </c>
      <c r="AG5010" s="2">
        <f ca="1"/>
        <v>0.74823641733042567</v>
      </c>
      <c r="AH5010" s="2" t="str">
        <f ca="1"/>
        <v>Bad</v>
      </c>
    </row>
    <row r="5011" spans="2:34">
      <c r="B5011" s="2">
        <f ca="1"/>
        <v>0.4670912596113348</v>
      </c>
      <c r="O5011" s="2">
        <f ca="1"/>
        <v>-0.93366331218893628</v>
      </c>
      <c r="X5011" s="2">
        <f ca="1"/>
        <v>48.144576280415933</v>
      </c>
      <c r="AG5011" s="2">
        <f ca="1"/>
        <v>0.22544484183541491</v>
      </c>
      <c r="AH5011" s="2" t="str">
        <f ca="1"/>
        <v>OK</v>
      </c>
    </row>
    <row r="5012" spans="2:34">
      <c r="B5012" s="2">
        <f ca="1"/>
        <v>0.89475760204153842</v>
      </c>
      <c r="O5012" s="2">
        <f ca="1"/>
        <v>-0.53360944244601172</v>
      </c>
      <c r="X5012" s="2">
        <f ca="1"/>
        <v>50.710482462788178</v>
      </c>
      <c r="AG5012" s="2">
        <f ca="1"/>
        <v>0.1500035907388082</v>
      </c>
      <c r="AH5012" s="2" t="str">
        <f ca="1"/>
        <v>OK</v>
      </c>
    </row>
    <row r="5013" spans="2:34">
      <c r="B5013" s="2">
        <f ca="1"/>
        <v>0.57032007634300808</v>
      </c>
      <c r="O5013" s="2">
        <f ca="1"/>
        <v>-0.27386481620052466</v>
      </c>
      <c r="X5013" s="2">
        <f ca="1"/>
        <v>44.859387195108589</v>
      </c>
      <c r="AG5013" s="2">
        <f ca="1"/>
        <v>0.32926795431275169</v>
      </c>
      <c r="AH5013" s="2" t="str">
        <f ca="1"/>
        <v>OK</v>
      </c>
    </row>
    <row r="5014" spans="2:34">
      <c r="B5014" s="2">
        <f ca="1"/>
        <v>0.9388278785568589</v>
      </c>
      <c r="O5014" s="2">
        <f ca="1"/>
        <v>-0.37271915340127465</v>
      </c>
      <c r="X5014" s="2">
        <f ca="1"/>
        <v>54.660841105963065</v>
      </c>
      <c r="AG5014" s="2">
        <f ca="1"/>
        <v>9.3573556635428989E-3</v>
      </c>
      <c r="AH5014" s="2" t="str">
        <f ca="1"/>
        <v>Good</v>
      </c>
    </row>
    <row r="5015" spans="2:34">
      <c r="B5015" s="2">
        <f ca="1"/>
        <v>0.36269469268105348</v>
      </c>
      <c r="O5015" s="2">
        <f ca="1"/>
        <v>0.68849706600190019</v>
      </c>
      <c r="X5015" s="2">
        <f ca="1"/>
        <v>52.338256171034132</v>
      </c>
      <c r="AG5015" s="2">
        <f ca="1"/>
        <v>0.3793722105211661</v>
      </c>
      <c r="AH5015" s="2" t="str">
        <f ca="1"/>
        <v>OK</v>
      </c>
    </row>
    <row r="5016" spans="2:34">
      <c r="B5016" s="2">
        <f ca="1"/>
        <v>0.30713560622608349</v>
      </c>
      <c r="O5016" s="2">
        <f ca="1"/>
        <v>-0.66711186253703914</v>
      </c>
      <c r="X5016" s="2">
        <f ca="1"/>
        <v>24.402680532123554</v>
      </c>
      <c r="AG5016" s="2">
        <f ca="1"/>
        <v>0.80847402891410836</v>
      </c>
      <c r="AH5016" s="2" t="str">
        <f ca="1"/>
        <v>Bad</v>
      </c>
    </row>
    <row r="5017" spans="2:34">
      <c r="B5017" s="2">
        <f ca="1"/>
        <v>0.15613196983582389</v>
      </c>
      <c r="O5017" s="2">
        <f ca="1"/>
        <v>0.18372224701781961</v>
      </c>
      <c r="X5017" s="2">
        <f ca="1"/>
        <v>50.686666569618083</v>
      </c>
      <c r="AG5017" s="2">
        <f ca="1"/>
        <v>0.32368855980787159</v>
      </c>
      <c r="AH5017" s="2" t="str">
        <f ca="1"/>
        <v>OK</v>
      </c>
    </row>
    <row r="5018" spans="2:34">
      <c r="B5018" s="2">
        <f ca="1"/>
        <v>0.31184440259543256</v>
      </c>
      <c r="O5018" s="2">
        <f ca="1"/>
        <v>1.8803092468709872</v>
      </c>
      <c r="X5018" s="2">
        <f ca="1"/>
        <v>48.586425968835727</v>
      </c>
      <c r="AG5018" s="2">
        <f ca="1"/>
        <v>3.8680043116684271E-2</v>
      </c>
      <c r="AH5018" s="2" t="str">
        <f ca="1"/>
        <v>Good</v>
      </c>
    </row>
    <row r="5019" spans="2:34">
      <c r="B5019" s="2">
        <f ca="1"/>
        <v>0.60825251785707746</v>
      </c>
      <c r="O5019" s="2">
        <f ca="1"/>
        <v>1.6274001778093383</v>
      </c>
      <c r="X5019" s="2">
        <f ca="1"/>
        <v>29.449394648925676</v>
      </c>
      <c r="AG5019" s="2">
        <f ca="1"/>
        <v>0.52914559253560833</v>
      </c>
      <c r="AH5019" s="2" t="str">
        <f ca="1"/>
        <v>Bad</v>
      </c>
    </row>
    <row r="5020" spans="2:34">
      <c r="B5020" s="2">
        <f ca="1"/>
        <v>0.62208971199260188</v>
      </c>
      <c r="O5020" s="2">
        <f ca="1"/>
        <v>0.90380769162772445</v>
      </c>
      <c r="X5020" s="2">
        <f ca="1"/>
        <v>41.924115949552565</v>
      </c>
      <c r="AG5020" s="2">
        <f ca="1"/>
        <v>0.56170114270151239</v>
      </c>
      <c r="AH5020" s="2" t="str">
        <f ca="1"/>
        <v>Bad</v>
      </c>
    </row>
    <row r="5021" spans="2:34">
      <c r="B5021" s="2">
        <f ca="1"/>
        <v>0.12437600394673098</v>
      </c>
      <c r="O5021" s="2">
        <f ca="1"/>
        <v>-0.12961863297984677</v>
      </c>
      <c r="X5021" s="2">
        <f ca="1"/>
        <v>42.894820220026489</v>
      </c>
      <c r="AG5021" s="2">
        <f ca="1"/>
        <v>0.5270526212681641</v>
      </c>
      <c r="AH5021" s="2" t="str">
        <f ca="1"/>
        <v>Bad</v>
      </c>
    </row>
    <row r="5022" spans="2:34">
      <c r="B5022" s="2">
        <f ca="1"/>
        <v>0.25964555425131808</v>
      </c>
      <c r="O5022" s="2">
        <f ca="1"/>
        <v>-1.1563511031730467</v>
      </c>
      <c r="X5022" s="2">
        <f ca="1"/>
        <v>51.519249717428863</v>
      </c>
      <c r="AG5022" s="2">
        <f ca="1"/>
        <v>0.72955655228899818</v>
      </c>
      <c r="AH5022" s="2" t="str">
        <f ca="1"/>
        <v>Bad</v>
      </c>
    </row>
    <row r="5023" spans="2:34">
      <c r="B5023" s="2">
        <f ca="1"/>
        <v>0.44506361729696531</v>
      </c>
      <c r="O5023" s="2">
        <f ca="1"/>
        <v>0.63989673847687178</v>
      </c>
      <c r="X5023" s="2">
        <f ca="1"/>
        <v>59.24228454611719</v>
      </c>
      <c r="AG5023" s="2">
        <f ca="1"/>
        <v>8.3580174977388788E-2</v>
      </c>
      <c r="AH5023" s="2" t="str">
        <f ca="1"/>
        <v>OK</v>
      </c>
    </row>
    <row r="5024" spans="2:34">
      <c r="B5024" s="2">
        <f ca="1"/>
        <v>0.31771877341908339</v>
      </c>
      <c r="O5024" s="2">
        <f ca="1"/>
        <v>0.33275453430404833</v>
      </c>
      <c r="X5024" s="2">
        <f ca="1"/>
        <v>71.281670740218857</v>
      </c>
      <c r="AG5024" s="2">
        <f ca="1"/>
        <v>0.95191739241868789</v>
      </c>
      <c r="AH5024" s="2" t="str">
        <f ca="1"/>
        <v>Bad</v>
      </c>
    </row>
    <row r="5025" spans="2:34">
      <c r="B5025" s="2">
        <f ca="1"/>
        <v>0.62915702268557561</v>
      </c>
      <c r="O5025" s="2">
        <f ca="1"/>
        <v>-3.1737041003594771E-2</v>
      </c>
      <c r="X5025" s="2">
        <f ca="1"/>
        <v>32.51555500051284</v>
      </c>
      <c r="AG5025" s="2">
        <f ca="1"/>
        <v>0.88189288734659854</v>
      </c>
      <c r="AH5025" s="2" t="str">
        <f ca="1"/>
        <v>Bad</v>
      </c>
    </row>
    <row r="5026" spans="2:34">
      <c r="B5026" s="2">
        <f ca="1"/>
        <v>0.37846622155862897</v>
      </c>
      <c r="O5026" s="2">
        <f ca="1"/>
        <v>-0.64309830265836898</v>
      </c>
      <c r="X5026" s="2">
        <f ca="1"/>
        <v>41.721291969787593</v>
      </c>
      <c r="AG5026" s="2">
        <f ca="1"/>
        <v>9.4370623863473391E-2</v>
      </c>
      <c r="AH5026" s="2" t="str">
        <f ca="1"/>
        <v>OK</v>
      </c>
    </row>
    <row r="5027" spans="2:34">
      <c r="B5027" s="2">
        <f ca="1"/>
        <v>0.46376623090914526</v>
      </c>
      <c r="O5027" s="2">
        <f ca="1"/>
        <v>1.3133655512745175</v>
      </c>
      <c r="X5027" s="2">
        <f ca="1"/>
        <v>49.340863492882491</v>
      </c>
      <c r="AG5027" s="2">
        <f ca="1"/>
        <v>0.79825294060663254</v>
      </c>
      <c r="AH5027" s="2" t="str">
        <f ca="1"/>
        <v>Bad</v>
      </c>
    </row>
    <row r="5028" spans="2:34">
      <c r="B5028" s="2">
        <f ca="1"/>
        <v>0.13699089211934834</v>
      </c>
      <c r="O5028" s="2">
        <f ca="1"/>
        <v>-1.5083961070564416</v>
      </c>
      <c r="X5028" s="2">
        <f ca="1"/>
        <v>41.539741128753597</v>
      </c>
      <c r="AG5028" s="2">
        <f ca="1"/>
        <v>0.80056906256727522</v>
      </c>
      <c r="AH5028" s="2" t="str">
        <f ca="1"/>
        <v>Bad</v>
      </c>
    </row>
    <row r="5029" spans="2:34">
      <c r="B5029" s="2">
        <f ca="1"/>
        <v>0.767410951669107</v>
      </c>
      <c r="O5029" s="2">
        <f ca="1"/>
        <v>-1.1833460425195024</v>
      </c>
      <c r="X5029" s="2">
        <f ca="1"/>
        <v>64.660422318992673</v>
      </c>
      <c r="AG5029" s="2">
        <f ca="1"/>
        <v>0.36813796837292667</v>
      </c>
      <c r="AH5029" s="2" t="str">
        <f ca="1"/>
        <v>OK</v>
      </c>
    </row>
    <row r="5030" spans="2:34">
      <c r="B5030" s="2">
        <f ca="1"/>
        <v>0.18744345271650631</v>
      </c>
      <c r="O5030" s="2">
        <f ca="1"/>
        <v>1.0751087180917818</v>
      </c>
      <c r="X5030" s="2">
        <f ca="1"/>
        <v>44.477377452540622</v>
      </c>
      <c r="AG5030" s="2">
        <f ca="1"/>
        <v>0.83135076978025979</v>
      </c>
      <c r="AH5030" s="2" t="str">
        <f ca="1"/>
        <v>Bad</v>
      </c>
    </row>
    <row r="5031" spans="2:34">
      <c r="B5031" s="2">
        <f ca="1"/>
        <v>0.20799703216010723</v>
      </c>
      <c r="O5031" s="2">
        <f ca="1"/>
        <v>0.82151899570985321</v>
      </c>
      <c r="X5031" s="2">
        <f ca="1"/>
        <v>41.673911428275467</v>
      </c>
      <c r="AG5031" s="2">
        <f ca="1"/>
        <v>7.3426469037341846E-2</v>
      </c>
      <c r="AH5031" s="2" t="str">
        <f ca="1"/>
        <v>OK</v>
      </c>
    </row>
    <row r="5032" spans="2:34">
      <c r="B5032" s="2">
        <f ca="1"/>
        <v>0.49867537540637796</v>
      </c>
      <c r="O5032" s="2">
        <f ca="1"/>
        <v>-0.43474746436389883</v>
      </c>
      <c r="X5032" s="2">
        <f ca="1"/>
        <v>71.71848885085295</v>
      </c>
      <c r="AG5032" s="2">
        <f ca="1"/>
        <v>0.4343099099891965</v>
      </c>
      <c r="AH5032" s="2" t="str">
        <f ca="1"/>
        <v>Bad</v>
      </c>
    </row>
    <row r="5033" spans="2:34">
      <c r="B5033" s="2">
        <f ca="1"/>
        <v>0.44329110802062366</v>
      </c>
      <c r="O5033" s="2">
        <f ca="1"/>
        <v>0.98717019283905305</v>
      </c>
      <c r="X5033" s="2">
        <f ca="1"/>
        <v>40.209885111158947</v>
      </c>
      <c r="AG5033" s="2">
        <f ca="1"/>
        <v>0.93462002821274015</v>
      </c>
      <c r="AH5033" s="2" t="str">
        <f ca="1"/>
        <v>Bad</v>
      </c>
    </row>
    <row r="5034" spans="2:34">
      <c r="B5034" s="2">
        <f ca="1"/>
        <v>0.92306597844307947</v>
      </c>
      <c r="O5034" s="2">
        <f ca="1"/>
        <v>1.674518930832692</v>
      </c>
      <c r="X5034" s="2">
        <f ca="1"/>
        <v>49.413190152192492</v>
      </c>
      <c r="AG5034" s="2">
        <f ca="1"/>
        <v>0.45120339966500156</v>
      </c>
      <c r="AH5034" s="2" t="str">
        <f ca="1"/>
        <v>Bad</v>
      </c>
    </row>
    <row r="5035" spans="2:34">
      <c r="B5035" s="2">
        <f ca="1"/>
        <v>0.86871717095125733</v>
      </c>
      <c r="O5035" s="2">
        <f ca="1"/>
        <v>-0.25348152902978205</v>
      </c>
      <c r="X5035" s="2">
        <f ca="1"/>
        <v>43.242113086859277</v>
      </c>
      <c r="AG5035" s="2">
        <f ca="1"/>
        <v>4.1121874981028705E-2</v>
      </c>
      <c r="AH5035" s="2" t="str">
        <f ca="1"/>
        <v>Good</v>
      </c>
    </row>
    <row r="5036" spans="2:34">
      <c r="B5036" s="2">
        <f ca="1"/>
        <v>0.16140421019958073</v>
      </c>
      <c r="O5036" s="2">
        <f ca="1"/>
        <v>-1.9214011663570465</v>
      </c>
      <c r="X5036" s="2">
        <f ca="1"/>
        <v>51.524964155475637</v>
      </c>
      <c r="AG5036" s="2">
        <f ca="1"/>
        <v>0.77231956133048763</v>
      </c>
      <c r="AH5036" s="2" t="str">
        <f ca="1"/>
        <v>Bad</v>
      </c>
    </row>
    <row r="5037" spans="2:34">
      <c r="B5037" s="2">
        <f ca="1"/>
        <v>0.95686873108681891</v>
      </c>
      <c r="O5037" s="2">
        <f ca="1"/>
        <v>0.21776776809247847</v>
      </c>
      <c r="X5037" s="2">
        <f ca="1"/>
        <v>43.355871360396911</v>
      </c>
      <c r="AG5037" s="2">
        <f ca="1"/>
        <v>0.82879399641309326</v>
      </c>
      <c r="AH5037" s="2" t="str">
        <f ca="1"/>
        <v>Bad</v>
      </c>
    </row>
    <row r="5038" spans="2:34">
      <c r="B5038" s="2">
        <f ca="1"/>
        <v>0.71767838414024498</v>
      </c>
      <c r="O5038" s="2">
        <f ca="1"/>
        <v>-1.1523575295836195</v>
      </c>
      <c r="X5038" s="2">
        <f ca="1"/>
        <v>36.476341151223821</v>
      </c>
      <c r="AG5038" s="2">
        <f ca="1"/>
        <v>0.17303917053802742</v>
      </c>
      <c r="AH5038" s="2" t="str">
        <f ca="1"/>
        <v>OK</v>
      </c>
    </row>
    <row r="5039" spans="2:34">
      <c r="B5039" s="2">
        <f ca="1"/>
        <v>0.65869009206279228</v>
      </c>
      <c r="O5039" s="2">
        <f ca="1"/>
        <v>-1.6934104490533315</v>
      </c>
      <c r="X5039" s="2">
        <f ca="1"/>
        <v>41.888561228321578</v>
      </c>
      <c r="AG5039" s="2">
        <f ca="1"/>
        <v>0.35064641156694254</v>
      </c>
      <c r="AH5039" s="2" t="str">
        <f ca="1"/>
        <v>OK</v>
      </c>
    </row>
    <row r="5040" spans="2:34">
      <c r="B5040" s="2">
        <f ca="1"/>
        <v>0.88665425476540682</v>
      </c>
      <c r="O5040" s="2">
        <f ca="1"/>
        <v>-0.99612815053340731</v>
      </c>
      <c r="X5040" s="2">
        <f ca="1"/>
        <v>41.217931959183538</v>
      </c>
      <c r="AG5040" s="2">
        <f ca="1"/>
        <v>0.1030651220393537</v>
      </c>
      <c r="AH5040" s="2" t="str">
        <f ca="1"/>
        <v>OK</v>
      </c>
    </row>
    <row r="5041" spans="2:34">
      <c r="B5041" s="2">
        <f ca="1"/>
        <v>0.16333029253310394</v>
      </c>
      <c r="O5041" s="2">
        <f ca="1"/>
        <v>0.50074463923704404</v>
      </c>
      <c r="X5041" s="2">
        <f ca="1"/>
        <v>26.758393487381497</v>
      </c>
      <c r="AG5041" s="2">
        <f ca="1"/>
        <v>0.85138389189980668</v>
      </c>
      <c r="AH5041" s="2" t="str">
        <f ca="1"/>
        <v>Bad</v>
      </c>
    </row>
    <row r="5042" spans="2:34">
      <c r="B5042" s="2">
        <f ca="1"/>
        <v>0.15510017137406096</v>
      </c>
      <c r="O5042" s="2">
        <f ca="1"/>
        <v>1.7655160371692922</v>
      </c>
      <c r="X5042" s="2">
        <f ca="1"/>
        <v>42.918462674957738</v>
      </c>
      <c r="AG5042" s="2">
        <f ca="1"/>
        <v>0.70323216517852671</v>
      </c>
      <c r="AH5042" s="2" t="str">
        <f ca="1"/>
        <v>Bad</v>
      </c>
    </row>
    <row r="5043" spans="2:34">
      <c r="B5043" s="2">
        <f ca="1"/>
        <v>0.55444477253112301</v>
      </c>
      <c r="O5043" s="2">
        <f ca="1"/>
        <v>-0.10722897483586125</v>
      </c>
      <c r="X5043" s="2">
        <f ca="1"/>
        <v>20.688712254127953</v>
      </c>
      <c r="AG5043" s="2">
        <f ca="1"/>
        <v>8.5272042256334002E-2</v>
      </c>
      <c r="AH5043" s="2" t="str">
        <f ca="1"/>
        <v>OK</v>
      </c>
    </row>
    <row r="5044" spans="2:34">
      <c r="B5044" s="2">
        <f ca="1"/>
        <v>0.16723789572334757</v>
      </c>
      <c r="O5044" s="2">
        <f ca="1"/>
        <v>-1.1843065189735087</v>
      </c>
      <c r="X5044" s="2">
        <f ca="1"/>
        <v>26.985601187242597</v>
      </c>
      <c r="AG5044" s="2">
        <f ca="1"/>
        <v>0.31242715578951508</v>
      </c>
      <c r="AH5044" s="2" t="str">
        <f ca="1"/>
        <v>OK</v>
      </c>
    </row>
    <row r="5045" spans="2:34">
      <c r="B5045" s="2">
        <f ca="1"/>
        <v>0.32593010254789867</v>
      </c>
      <c r="O5045" s="2">
        <f ca="1"/>
        <v>-0.51481207228747916</v>
      </c>
      <c r="X5045" s="2">
        <f ca="1"/>
        <v>50.636812857939766</v>
      </c>
      <c r="AG5045" s="2">
        <f ca="1"/>
        <v>0.10069026766505784</v>
      </c>
      <c r="AH5045" s="2" t="str">
        <f ca="1"/>
        <v>OK</v>
      </c>
    </row>
    <row r="5046" spans="2:34">
      <c r="B5046" s="2">
        <f ca="1"/>
        <v>0.67030931669027916</v>
      </c>
      <c r="O5046" s="2">
        <f ca="1"/>
        <v>-1.5622753470296753</v>
      </c>
      <c r="X5046" s="2">
        <f ca="1"/>
        <v>33.781445759244413</v>
      </c>
      <c r="AG5046" s="2">
        <f ca="1"/>
        <v>2.1668102019642088E-2</v>
      </c>
      <c r="AH5046" s="2" t="str">
        <f ca="1"/>
        <v>Good</v>
      </c>
    </row>
    <row r="5047" spans="2:34">
      <c r="B5047" s="2">
        <f ca="1"/>
        <v>0.31090026616595834</v>
      </c>
      <c r="O5047" s="2">
        <f ca="1"/>
        <v>1.9020059747814215</v>
      </c>
      <c r="X5047" s="2">
        <f ca="1"/>
        <v>69.169635233961984</v>
      </c>
      <c r="AG5047" s="2">
        <f ca="1"/>
        <v>0.71691139901968115</v>
      </c>
      <c r="AH5047" s="2" t="str">
        <f ca="1"/>
        <v>Bad</v>
      </c>
    </row>
    <row r="5048" spans="2:34">
      <c r="B5048" s="2">
        <f ca="1"/>
        <v>0.21786993858852521</v>
      </c>
      <c r="O5048" s="2">
        <f ca="1"/>
        <v>0.49974791015643183</v>
      </c>
      <c r="X5048" s="2">
        <f ca="1"/>
        <v>27.945615904300777</v>
      </c>
      <c r="AG5048" s="2">
        <f ca="1"/>
        <v>0.94888400159386355</v>
      </c>
      <c r="AH5048" s="2" t="str">
        <f ca="1"/>
        <v>Bad</v>
      </c>
    </row>
    <row r="5049" spans="2:34">
      <c r="B5049" s="2">
        <f ca="1"/>
        <v>0.61789260799817036</v>
      </c>
      <c r="O5049" s="2">
        <f ca="1"/>
        <v>-2.6602087339434598E-2</v>
      </c>
      <c r="X5049" s="2">
        <f ca="1"/>
        <v>55.477568849387509</v>
      </c>
      <c r="AG5049" s="2">
        <f ca="1"/>
        <v>0.83647789638605263</v>
      </c>
      <c r="AH5049" s="2" t="str">
        <f ca="1"/>
        <v>Bad</v>
      </c>
    </row>
    <row r="5050" spans="2:34">
      <c r="B5050" s="2">
        <f ca="1"/>
        <v>0.79554546676005722</v>
      </c>
      <c r="O5050" s="2">
        <f ca="1"/>
        <v>1.6550427374333128</v>
      </c>
      <c r="X5050" s="2">
        <f ca="1"/>
        <v>48.35846839140909</v>
      </c>
      <c r="AG5050" s="2">
        <f ca="1"/>
        <v>0.89304271392932133</v>
      </c>
      <c r="AH5050" s="2" t="str">
        <f ca="1"/>
        <v>Bad</v>
      </c>
    </row>
    <row r="5051" spans="2:34">
      <c r="B5051" s="2">
        <f ca="1"/>
        <v>0.34991995004851528</v>
      </c>
      <c r="O5051" s="2">
        <f ca="1"/>
        <v>-1.3812923484923167</v>
      </c>
      <c r="X5051" s="2">
        <f ca="1"/>
        <v>53.744386281015124</v>
      </c>
      <c r="AG5051" s="2">
        <f ca="1"/>
        <v>0.60424124647746869</v>
      </c>
      <c r="AH5051" s="2" t="str">
        <f ca="1"/>
        <v>Bad</v>
      </c>
    </row>
    <row r="5052" spans="2:34">
      <c r="B5052" s="2">
        <f ca="1"/>
        <v>0.55598132910610243</v>
      </c>
      <c r="O5052" s="2">
        <f ca="1"/>
        <v>0.98184261483158686</v>
      </c>
      <c r="X5052" s="2">
        <f ca="1"/>
        <v>81.042744126793949</v>
      </c>
      <c r="AG5052" s="2">
        <f ca="1"/>
        <v>0.93480748280346471</v>
      </c>
      <c r="AH5052" s="2" t="str">
        <f ca="1"/>
        <v>Bad</v>
      </c>
    </row>
    <row r="5053" spans="2:34">
      <c r="B5053" s="2">
        <f ca="1"/>
        <v>0.23429622248201998</v>
      </c>
      <c r="O5053" s="2">
        <f ca="1"/>
        <v>-1.4052017056692496</v>
      </c>
      <c r="X5053" s="2">
        <f ca="1"/>
        <v>76.543770200196164</v>
      </c>
      <c r="AG5053" s="2">
        <f ca="1"/>
        <v>0.3990190466223571</v>
      </c>
      <c r="AH5053" s="2" t="str">
        <f ca="1"/>
        <v>OK</v>
      </c>
    </row>
    <row r="5054" spans="2:34">
      <c r="B5054" s="2">
        <f ca="1"/>
        <v>0.30435190562783632</v>
      </c>
      <c r="O5054" s="2">
        <f ca="1"/>
        <v>-0.50172340061202125</v>
      </c>
      <c r="X5054" s="2">
        <f ca="1"/>
        <v>34.788381081608634</v>
      </c>
      <c r="AG5054" s="2">
        <f ca="1"/>
        <v>0.88665610010655316</v>
      </c>
      <c r="AH5054" s="2" t="str">
        <f ca="1"/>
        <v>Bad</v>
      </c>
    </row>
    <row r="5055" spans="2:34">
      <c r="B5055" s="2">
        <f ca="1"/>
        <v>0.44322681537998831</v>
      </c>
      <c r="O5055" s="2">
        <f ca="1"/>
        <v>-0.95609148892438878</v>
      </c>
      <c r="X5055" s="2">
        <f ca="1"/>
        <v>55.624526646673154</v>
      </c>
      <c r="AG5055" s="2">
        <f ca="1"/>
        <v>0.45905093527853769</v>
      </c>
      <c r="AH5055" s="2" t="str">
        <f ca="1"/>
        <v>Bad</v>
      </c>
    </row>
    <row r="5056" spans="2:34">
      <c r="B5056" s="2">
        <f ca="1"/>
        <v>0.91122746326704496</v>
      </c>
      <c r="O5056" s="2">
        <f ca="1"/>
        <v>-0.56571202441034407</v>
      </c>
      <c r="X5056" s="2">
        <f ca="1"/>
        <v>25.517136421358341</v>
      </c>
      <c r="AG5056" s="2">
        <f ca="1"/>
        <v>0.59693816896092344</v>
      </c>
      <c r="AH5056" s="2" t="str">
        <f ca="1"/>
        <v>Bad</v>
      </c>
    </row>
    <row r="5057" spans="2:34">
      <c r="B5057" s="2">
        <f ca="1"/>
        <v>0.89658680532449697</v>
      </c>
      <c r="O5057" s="2">
        <f ca="1"/>
        <v>-1.3883091344197669</v>
      </c>
      <c r="X5057" s="2">
        <f ca="1"/>
        <v>44.612687044306725</v>
      </c>
      <c r="AG5057" s="2">
        <f ca="1"/>
        <v>0.19850683365707433</v>
      </c>
      <c r="AH5057" s="2" t="str">
        <f ca="1"/>
        <v>OK</v>
      </c>
    </row>
    <row r="5058" spans="2:34">
      <c r="B5058" s="2">
        <f ca="1"/>
        <v>0.3708004239546836</v>
      </c>
      <c r="O5058" s="2">
        <f ca="1"/>
        <v>0.35047930914003772</v>
      </c>
      <c r="X5058" s="2">
        <f ca="1"/>
        <v>37.889966346883718</v>
      </c>
      <c r="AG5058" s="2">
        <f ca="1"/>
        <v>0.68385680033959084</v>
      </c>
      <c r="AH5058" s="2" t="str">
        <f ca="1"/>
        <v>Bad</v>
      </c>
    </row>
    <row r="5059" spans="2:34">
      <c r="B5059" s="2">
        <f ca="1"/>
        <v>0.28390904000959805</v>
      </c>
      <c r="O5059" s="2">
        <f ca="1"/>
        <v>-0.78902879399937043</v>
      </c>
      <c r="X5059" s="2">
        <f ca="1"/>
        <v>76.829772420441984</v>
      </c>
      <c r="AG5059" s="2">
        <f ca="1"/>
        <v>0.70680683490604079</v>
      </c>
      <c r="AH5059" s="2" t="str">
        <f ca="1"/>
        <v>Bad</v>
      </c>
    </row>
    <row r="5060" spans="2:34">
      <c r="B5060" s="2">
        <f ca="1"/>
        <v>0.88489731403058247</v>
      </c>
      <c r="O5060" s="2">
        <f ca="1"/>
        <v>-8.4931536579648859E-2</v>
      </c>
      <c r="X5060" s="2">
        <f ca="1"/>
        <v>55.911113867802378</v>
      </c>
      <c r="AG5060" s="2">
        <f ca="1"/>
        <v>0.1777601104915949</v>
      </c>
      <c r="AH5060" s="2" t="str">
        <f ca="1"/>
        <v>OK</v>
      </c>
    </row>
    <row r="5061" spans="2:34">
      <c r="B5061" s="2">
        <f ca="1"/>
        <v>0.49510281018052149</v>
      </c>
      <c r="O5061" s="2">
        <f ca="1"/>
        <v>-0.10073506068965253</v>
      </c>
      <c r="X5061" s="2">
        <f ca="1"/>
        <v>54.580748145560008</v>
      </c>
      <c r="AG5061" s="2">
        <f ca="1"/>
        <v>0.16014397002346392</v>
      </c>
      <c r="AH5061" s="2" t="str">
        <f ca="1"/>
        <v>OK</v>
      </c>
    </row>
    <row r="5062" spans="2:34">
      <c r="B5062" s="2">
        <f ca="1"/>
        <v>0.63180870270546619</v>
      </c>
      <c r="O5062" s="2">
        <f ca="1"/>
        <v>-1.3557247624701412</v>
      </c>
      <c r="X5062" s="2">
        <f ca="1"/>
        <v>47.902454413143154</v>
      </c>
      <c r="AG5062" s="2">
        <f ca="1"/>
        <v>0.5858074687931405</v>
      </c>
      <c r="AH5062" s="2" t="str">
        <f ca="1"/>
        <v>Bad</v>
      </c>
    </row>
    <row r="5063" spans="2:34">
      <c r="B5063" s="2">
        <f ca="1"/>
        <v>0.47335788440972215</v>
      </c>
      <c r="O5063" s="2">
        <f ca="1"/>
        <v>-1.4513885833691842</v>
      </c>
      <c r="X5063" s="2">
        <f ca="1"/>
        <v>53.473707894237457</v>
      </c>
      <c r="AG5063" s="2">
        <f ca="1"/>
        <v>0.82900518986712202</v>
      </c>
      <c r="AH5063" s="2" t="str">
        <f ca="1"/>
        <v>Bad</v>
      </c>
    </row>
    <row r="5064" spans="2:34">
      <c r="B5064" s="2">
        <f ca="1"/>
        <v>0.7647083905085843</v>
      </c>
      <c r="O5064" s="2">
        <f ca="1"/>
        <v>-0.36797758477263171</v>
      </c>
      <c r="X5064" s="2">
        <f ca="1"/>
        <v>34.078091537374647</v>
      </c>
      <c r="AG5064" s="2">
        <f ca="1"/>
        <v>0.88634891213704492</v>
      </c>
      <c r="AH5064" s="2" t="str">
        <f ca="1"/>
        <v>Bad</v>
      </c>
    </row>
    <row r="5065" spans="2:34">
      <c r="B5065" s="2">
        <f ca="1"/>
        <v>0.32144126957119612</v>
      </c>
      <c r="O5065" s="2">
        <f ca="1"/>
        <v>0.87544496640643721</v>
      </c>
      <c r="X5065" s="2">
        <f ca="1"/>
        <v>60.828297217218115</v>
      </c>
      <c r="AG5065" s="2">
        <f ca="1"/>
        <v>0.32878976068291732</v>
      </c>
      <c r="AH5065" s="2" t="str">
        <f ca="1"/>
        <v>OK</v>
      </c>
    </row>
    <row r="5066" spans="2:34">
      <c r="B5066" s="2">
        <f ca="1"/>
        <v>0.59559683189033219</v>
      </c>
      <c r="O5066" s="2">
        <f ca="1"/>
        <v>0.22017813040996875</v>
      </c>
      <c r="X5066" s="2">
        <f ca="1"/>
        <v>51.443745129525105</v>
      </c>
      <c r="AG5066" s="2">
        <f ca="1"/>
        <v>0.73250880358413717</v>
      </c>
      <c r="AH5066" s="2" t="str">
        <f ca="1"/>
        <v>Bad</v>
      </c>
    </row>
    <row r="5067" spans="2:34">
      <c r="B5067" s="2">
        <f ca="1"/>
        <v>0.15333745531832998</v>
      </c>
      <c r="O5067" s="2">
        <f ca="1"/>
        <v>-0.29567177757079899</v>
      </c>
      <c r="X5067" s="2">
        <f ca="1"/>
        <v>28.883368866586135</v>
      </c>
      <c r="AG5067" s="2">
        <f ca="1"/>
        <v>3.6895015961933453E-2</v>
      </c>
      <c r="AH5067" s="2" t="str">
        <f ca="1"/>
        <v>Good</v>
      </c>
    </row>
    <row r="5068" spans="2:34">
      <c r="B5068" s="2">
        <f ca="1"/>
        <v>0.30406345496855414</v>
      </c>
      <c r="O5068" s="2">
        <f ca="1"/>
        <v>0.60479116878887285</v>
      </c>
      <c r="X5068" s="2">
        <f ca="1"/>
        <v>55.240857558722027</v>
      </c>
      <c r="AG5068" s="2">
        <f ca="1"/>
        <v>0.44882402474553462</v>
      </c>
      <c r="AH5068" s="2" t="str">
        <f ca="1"/>
        <v>Bad</v>
      </c>
    </row>
    <row r="5069" spans="2:34">
      <c r="B5069" s="2">
        <f ca="1"/>
        <v>0.30216662560933449</v>
      </c>
      <c r="O5069" s="2">
        <f ca="1"/>
        <v>-0.48579627184001534</v>
      </c>
      <c r="X5069" s="2">
        <f ca="1"/>
        <v>58.086726342953028</v>
      </c>
      <c r="AG5069" s="2">
        <f ca="1"/>
        <v>0.80845863054924472</v>
      </c>
      <c r="AH5069" s="2" t="str">
        <f ca="1"/>
        <v>Bad</v>
      </c>
    </row>
    <row r="5070" spans="2:34">
      <c r="B5070" s="2">
        <f ca="1"/>
        <v>0.40196493137255018</v>
      </c>
      <c r="O5070" s="2">
        <f ca="1"/>
        <v>-0.42617707387218423</v>
      </c>
      <c r="X5070" s="2">
        <f ca="1"/>
        <v>65.219739255937</v>
      </c>
      <c r="AG5070" s="2">
        <f ca="1"/>
        <v>0.96816336844917994</v>
      </c>
      <c r="AH5070" s="2" t="str">
        <f ca="1"/>
        <v>Bad</v>
      </c>
    </row>
    <row r="5071" spans="2:34">
      <c r="B5071" s="2">
        <f ca="1"/>
        <v>0.78862409336370032</v>
      </c>
      <c r="O5071" s="2">
        <f ca="1"/>
        <v>-1.4024967353136484</v>
      </c>
      <c r="X5071" s="2">
        <f ca="1"/>
        <v>35.475670377798103</v>
      </c>
      <c r="AG5071" s="2">
        <f ca="1"/>
        <v>0.78473246452222467</v>
      </c>
      <c r="AH5071" s="2" t="str">
        <f ca="1"/>
        <v>Bad</v>
      </c>
    </row>
    <row r="5072" spans="2:34">
      <c r="B5072" s="2">
        <f ca="1"/>
        <v>0.78385925710975668</v>
      </c>
      <c r="O5072" s="2">
        <f ca="1"/>
        <v>5.8688110174521586E-2</v>
      </c>
      <c r="X5072" s="2">
        <f ca="1"/>
        <v>50.482737748194992</v>
      </c>
      <c r="AG5072" s="2">
        <f ca="1"/>
        <v>0.35077978338199456</v>
      </c>
      <c r="AH5072" s="2" t="str">
        <f ca="1"/>
        <v>OK</v>
      </c>
    </row>
    <row r="5073" spans="2:34">
      <c r="B5073" s="2">
        <f ca="1"/>
        <v>0.26818742195807754</v>
      </c>
      <c r="O5073" s="2">
        <f ca="1"/>
        <v>-0.11794353496121357</v>
      </c>
      <c r="X5073" s="2">
        <f ca="1"/>
        <v>42.183981621484833</v>
      </c>
      <c r="AG5073" s="2">
        <f ca="1"/>
        <v>0.76843709266045557</v>
      </c>
      <c r="AH5073" s="2" t="str">
        <f ca="1"/>
        <v>Bad</v>
      </c>
    </row>
    <row r="5074" spans="2:34">
      <c r="B5074" s="2">
        <f ca="1"/>
        <v>0.14933026060589882</v>
      </c>
      <c r="O5074" s="2">
        <f ca="1"/>
        <v>-0.17178869816459572</v>
      </c>
      <c r="X5074" s="2">
        <f ca="1"/>
        <v>44.970953643857428</v>
      </c>
      <c r="AG5074" s="2">
        <f ca="1"/>
        <v>0.22323042974802143</v>
      </c>
      <c r="AH5074" s="2" t="str">
        <f ca="1"/>
        <v>OK</v>
      </c>
    </row>
    <row r="5075" spans="2:34">
      <c r="B5075" s="2">
        <f ca="1"/>
        <v>5.4536690109855179E-2</v>
      </c>
      <c r="O5075" s="2">
        <f ca="1"/>
        <v>1.6801793046806306</v>
      </c>
      <c r="X5075" s="2">
        <f ca="1"/>
        <v>60.089859397668938</v>
      </c>
      <c r="AG5075" s="2">
        <f ca="1"/>
        <v>0.18894139828849332</v>
      </c>
      <c r="AH5075" s="2" t="str">
        <f ca="1"/>
        <v>OK</v>
      </c>
    </row>
    <row r="5076" spans="2:34">
      <c r="B5076" s="2">
        <f ca="1"/>
        <v>0.98566168115297415</v>
      </c>
      <c r="O5076" s="2">
        <f ca="1"/>
        <v>1.0621305489388781</v>
      </c>
      <c r="X5076" s="2">
        <f ca="1"/>
        <v>62.48147491498684</v>
      </c>
      <c r="AG5076" s="2">
        <f ca="1"/>
        <v>0.19193219016012941</v>
      </c>
      <c r="AH5076" s="2" t="str">
        <f ca="1"/>
        <v>OK</v>
      </c>
    </row>
    <row r="5077" spans="2:34">
      <c r="B5077" s="2">
        <f ca="1"/>
        <v>0.19956156168990891</v>
      </c>
      <c r="O5077" s="2">
        <f ca="1"/>
        <v>0.28628351521350742</v>
      </c>
      <c r="X5077" s="2">
        <f ca="1"/>
        <v>37.422884931040336</v>
      </c>
      <c r="AG5077" s="2">
        <f ca="1"/>
        <v>0.49694257396899677</v>
      </c>
      <c r="AH5077" s="2" t="str">
        <f ca="1"/>
        <v>Bad</v>
      </c>
    </row>
    <row r="5078" spans="2:34">
      <c r="B5078" s="2">
        <f ca="1"/>
        <v>0.35514947255896856</v>
      </c>
      <c r="O5078" s="2">
        <f ca="1"/>
        <v>-0.31790468691693269</v>
      </c>
      <c r="X5078" s="2">
        <f ca="1"/>
        <v>47.014791818383003</v>
      </c>
      <c r="AG5078" s="2">
        <f ca="1"/>
        <v>0.89177741572205727</v>
      </c>
      <c r="AH5078" s="2" t="str">
        <f ca="1"/>
        <v>Bad</v>
      </c>
    </row>
    <row r="5079" spans="2:34">
      <c r="B5079" s="2">
        <f ca="1"/>
        <v>0.44890893015093969</v>
      </c>
      <c r="O5079" s="2">
        <f ca="1"/>
        <v>0.99250699000767273</v>
      </c>
      <c r="X5079" s="2">
        <f ca="1"/>
        <v>70.87875683345446</v>
      </c>
      <c r="AG5079" s="2">
        <f ca="1"/>
        <v>0.27822539157160486</v>
      </c>
      <c r="AH5079" s="2" t="str">
        <f ca="1"/>
        <v>OK</v>
      </c>
    </row>
    <row r="5080" spans="2:34">
      <c r="B5080" s="2">
        <f ca="1"/>
        <v>0.88085422000843328</v>
      </c>
      <c r="O5080" s="2">
        <f ca="1"/>
        <v>-0.74026271377478792</v>
      </c>
      <c r="X5080" s="2">
        <f ca="1"/>
        <v>51.170178427116184</v>
      </c>
      <c r="AG5080" s="2">
        <f ca="1"/>
        <v>0.5007255940669566</v>
      </c>
      <c r="AH5080" s="2" t="str">
        <f ca="1"/>
        <v>Bad</v>
      </c>
    </row>
    <row r="5081" spans="2:34">
      <c r="B5081" s="2">
        <f ca="1"/>
        <v>2.1901169227000583E-2</v>
      </c>
      <c r="O5081" s="2">
        <f ca="1"/>
        <v>-0.31303814224073689</v>
      </c>
      <c r="X5081" s="2">
        <f ca="1"/>
        <v>27.579166116012669</v>
      </c>
      <c r="AG5081" s="2">
        <f ca="1"/>
        <v>0.29485367079758062</v>
      </c>
      <c r="AH5081" s="2" t="str">
        <f ca="1"/>
        <v>OK</v>
      </c>
    </row>
    <row r="5082" spans="2:34">
      <c r="B5082" s="2">
        <f ca="1"/>
        <v>0.71657037944544233</v>
      </c>
      <c r="O5082" s="2">
        <f ca="1"/>
        <v>0.80607787995457425</v>
      </c>
      <c r="X5082" s="2">
        <f ca="1"/>
        <v>52.016379205425601</v>
      </c>
      <c r="AG5082" s="2">
        <f ca="1"/>
        <v>0.82490698718390076</v>
      </c>
      <c r="AH5082" s="2" t="str">
        <f ca="1"/>
        <v>Bad</v>
      </c>
    </row>
    <row r="5083" spans="2:34">
      <c r="B5083" s="2">
        <f ca="1"/>
        <v>0.21497242811124972</v>
      </c>
      <c r="O5083" s="2">
        <f ca="1"/>
        <v>-2.27301057055542</v>
      </c>
      <c r="X5083" s="2">
        <f ca="1"/>
        <v>39.064592578877445</v>
      </c>
      <c r="AG5083" s="2">
        <f ca="1"/>
        <v>0.19673527169178606</v>
      </c>
      <c r="AH5083" s="2" t="str">
        <f ca="1"/>
        <v>OK</v>
      </c>
    </row>
    <row r="5084" spans="2:34">
      <c r="B5084" s="2">
        <f ca="1"/>
        <v>0.6292141835099101</v>
      </c>
      <c r="O5084" s="2">
        <f ca="1"/>
        <v>0.30255017620088959</v>
      </c>
      <c r="X5084" s="2">
        <f ca="1"/>
        <v>46.654848637648854</v>
      </c>
      <c r="AG5084" s="2">
        <f ca="1"/>
        <v>0.70464027124450856</v>
      </c>
      <c r="AH5084" s="2" t="str">
        <f ca="1"/>
        <v>Bad</v>
      </c>
    </row>
    <row r="5085" spans="2:34">
      <c r="B5085" s="2">
        <f ca="1"/>
        <v>0.10393535255590258</v>
      </c>
      <c r="O5085" s="2">
        <f ca="1"/>
        <v>0.2249801240127445</v>
      </c>
      <c r="X5085" s="2">
        <f ca="1"/>
        <v>45.05098350653347</v>
      </c>
      <c r="AG5085" s="2">
        <f ca="1"/>
        <v>0.7664655575041599</v>
      </c>
      <c r="AH5085" s="2" t="str">
        <f ca="1"/>
        <v>Bad</v>
      </c>
    </row>
    <row r="5086" spans="2:34">
      <c r="B5086" s="2">
        <f ca="1"/>
        <v>0.85707319119205083</v>
      </c>
      <c r="O5086" s="2">
        <f ca="1"/>
        <v>-0.9935287372127527</v>
      </c>
      <c r="X5086" s="2">
        <f ca="1"/>
        <v>53.270415319293363</v>
      </c>
      <c r="AG5086" s="2">
        <f ca="1"/>
        <v>0.15428818953196721</v>
      </c>
      <c r="AH5086" s="2" t="str">
        <f ca="1"/>
        <v>OK</v>
      </c>
    </row>
    <row r="5087" spans="2:34">
      <c r="B5087" s="2">
        <f ca="1"/>
        <v>0.20451123071760802</v>
      </c>
      <c r="O5087" s="2">
        <f ca="1"/>
        <v>0.58825719033257018</v>
      </c>
      <c r="X5087" s="2">
        <f ca="1"/>
        <v>30.875831143348634</v>
      </c>
      <c r="AG5087" s="2">
        <f ca="1"/>
        <v>0.41635161108940655</v>
      </c>
      <c r="AH5087" s="2" t="str">
        <f ca="1"/>
        <v>Bad</v>
      </c>
    </row>
    <row r="5088" spans="2:34">
      <c r="B5088" s="2">
        <f ca="1"/>
        <v>0.63207719820787034</v>
      </c>
      <c r="O5088" s="2">
        <f ca="1"/>
        <v>-0.30335832411672492</v>
      </c>
      <c r="X5088" s="2">
        <f ca="1"/>
        <v>38.685958137716952</v>
      </c>
      <c r="AG5088" s="2">
        <f ca="1"/>
        <v>0.2322592345068053</v>
      </c>
      <c r="AH5088" s="2" t="str">
        <f ca="1"/>
        <v>OK</v>
      </c>
    </row>
    <row r="5089" spans="2:34">
      <c r="B5089" s="2">
        <f ca="1"/>
        <v>0.75334782995523919</v>
      </c>
      <c r="O5089" s="2">
        <f ca="1"/>
        <v>-1.7627388347833011</v>
      </c>
      <c r="X5089" s="2">
        <f ca="1"/>
        <v>47.828283472168913</v>
      </c>
      <c r="AG5089" s="2">
        <f ca="1"/>
        <v>0.42768243269829354</v>
      </c>
      <c r="AH5089" s="2" t="str">
        <f ca="1"/>
        <v>Bad</v>
      </c>
    </row>
    <row r="5090" spans="2:34">
      <c r="B5090" s="2">
        <f ca="1"/>
        <v>0.77741860812018992</v>
      </c>
      <c r="O5090" s="2">
        <f ca="1"/>
        <v>0.29451294039031534</v>
      </c>
      <c r="X5090" s="2">
        <f ca="1"/>
        <v>56.656291176020204</v>
      </c>
      <c r="AG5090" s="2">
        <f ca="1"/>
        <v>0.76422603344594031</v>
      </c>
      <c r="AH5090" s="2" t="str">
        <f ca="1"/>
        <v>Bad</v>
      </c>
    </row>
    <row r="5091" spans="2:34">
      <c r="B5091" s="2">
        <f ca="1"/>
        <v>0.18065066584670708</v>
      </c>
      <c r="O5091" s="2">
        <f ca="1"/>
        <v>0.36551170131196992</v>
      </c>
      <c r="X5091" s="2">
        <f ca="1"/>
        <v>61.473698067432316</v>
      </c>
      <c r="AG5091" s="2">
        <f ca="1"/>
        <v>0.52684729100826755</v>
      </c>
      <c r="AH5091" s="2" t="str">
        <f ca="1"/>
        <v>Bad</v>
      </c>
    </row>
    <row r="5092" spans="2:34">
      <c r="B5092" s="2">
        <f ca="1"/>
        <v>0.41094815703025533</v>
      </c>
      <c r="O5092" s="2">
        <f ca="1"/>
        <v>-0.36404896572270745</v>
      </c>
      <c r="X5092" s="2">
        <f ca="1"/>
        <v>32.398699725337281</v>
      </c>
      <c r="AG5092" s="2">
        <f ca="1"/>
        <v>0.29545234135948384</v>
      </c>
      <c r="AH5092" s="2" t="str">
        <f ca="1"/>
        <v>OK</v>
      </c>
    </row>
    <row r="5093" spans="2:34">
      <c r="B5093" s="2">
        <f ca="1"/>
        <v>0.40561413310511552</v>
      </c>
      <c r="O5093" s="2">
        <f ca="1"/>
        <v>-9.4763751041381558E-2</v>
      </c>
      <c r="X5093" s="2">
        <f ca="1"/>
        <v>46.222113864802161</v>
      </c>
      <c r="AG5093" s="2">
        <f ca="1"/>
        <v>0.5479632314825007</v>
      </c>
      <c r="AH5093" s="2" t="str">
        <f ca="1"/>
        <v>Bad</v>
      </c>
    </row>
    <row r="5094" spans="2:34">
      <c r="B5094" s="2">
        <f ca="1"/>
        <v>0.63830435785543571</v>
      </c>
      <c r="O5094" s="2">
        <f ca="1"/>
        <v>-1.7202521944280711</v>
      </c>
      <c r="X5094" s="2">
        <f ca="1"/>
        <v>48.234793527680146</v>
      </c>
      <c r="AG5094" s="2">
        <f ca="1"/>
        <v>0.78459094939357921</v>
      </c>
      <c r="AH5094" s="2" t="str">
        <f ca="1"/>
        <v>Bad</v>
      </c>
    </row>
    <row r="5095" spans="2:34">
      <c r="B5095" s="2">
        <f ca="1"/>
        <v>3.6758802666041479E-2</v>
      </c>
      <c r="O5095" s="2">
        <f ca="1"/>
        <v>-1.2434610536669366</v>
      </c>
      <c r="X5095" s="2">
        <f ca="1"/>
        <v>76.10925540262302</v>
      </c>
      <c r="AG5095" s="2">
        <f ca="1"/>
        <v>0.54258047414012056</v>
      </c>
      <c r="AH5095" s="2" t="str">
        <f ca="1"/>
        <v>Bad</v>
      </c>
    </row>
    <row r="5096" spans="2:34">
      <c r="B5096" s="2">
        <f ca="1"/>
        <v>0.17250156639711323</v>
      </c>
      <c r="O5096" s="2">
        <f ca="1"/>
        <v>-0.55857008121747809</v>
      </c>
      <c r="X5096" s="2">
        <f ca="1"/>
        <v>52.647996768014366</v>
      </c>
      <c r="AG5096" s="2">
        <f ca="1"/>
        <v>0.30620130373984078</v>
      </c>
      <c r="AH5096" s="2" t="str">
        <f ca="1"/>
        <v>OK</v>
      </c>
    </row>
    <row r="5097" spans="2:34">
      <c r="B5097" s="2">
        <f ca="1"/>
        <v>0.73573460234544807</v>
      </c>
      <c r="O5097" s="2">
        <f ca="1"/>
        <v>-4.7642677792385082E-2</v>
      </c>
      <c r="X5097" s="2">
        <f ca="1"/>
        <v>37.815550254696831</v>
      </c>
      <c r="AG5097" s="2">
        <f ca="1"/>
        <v>0.65637740858530202</v>
      </c>
      <c r="AH5097" s="2" t="str">
        <f ca="1"/>
        <v>Bad</v>
      </c>
    </row>
    <row r="5098" spans="2:34">
      <c r="B5098" s="2">
        <f ca="1"/>
        <v>0.10194979238712398</v>
      </c>
      <c r="O5098" s="2">
        <f ca="1"/>
        <v>0.58910968715053902</v>
      </c>
      <c r="X5098" s="2">
        <f ca="1"/>
        <v>44.041957789697165</v>
      </c>
      <c r="AG5098" s="2">
        <f ca="1"/>
        <v>0.94529326715870199</v>
      </c>
      <c r="AH5098" s="2" t="str">
        <f ca="1"/>
        <v>Bad</v>
      </c>
    </row>
    <row r="5099" spans="2:34">
      <c r="B5099" s="2">
        <f ca="1"/>
        <v>0.35855657555032083</v>
      </c>
      <c r="O5099" s="2">
        <f ca="1"/>
        <v>0.85394070716589043</v>
      </c>
      <c r="X5099" s="2">
        <f ca="1"/>
        <v>35.025174096728854</v>
      </c>
      <c r="AG5099" s="2">
        <f ca="1"/>
        <v>0.38061864632715903</v>
      </c>
      <c r="AH5099" s="2" t="str">
        <f ca="1"/>
        <v>OK</v>
      </c>
    </row>
    <row r="5100" spans="2:34">
      <c r="B5100" s="2">
        <f ca="1"/>
        <v>0.32120935765629888</v>
      </c>
      <c r="O5100" s="2">
        <f ca="1"/>
        <v>0.37547008060783532</v>
      </c>
      <c r="X5100" s="2">
        <f ca="1"/>
        <v>45.935431945261492</v>
      </c>
      <c r="AG5100" s="2">
        <f ca="1"/>
        <v>0.40493887498404213</v>
      </c>
      <c r="AH5100" s="2" t="str">
        <f ca="1"/>
        <v>Bad</v>
      </c>
    </row>
    <row r="5101" spans="2:34">
      <c r="B5101" s="2">
        <f ca="1"/>
        <v>9.8507331031126411E-2</v>
      </c>
      <c r="O5101" s="2">
        <f ca="1"/>
        <v>-1.0081203280205802</v>
      </c>
      <c r="X5101" s="2">
        <f ca="1"/>
        <v>34.739408058390467</v>
      </c>
      <c r="AG5101" s="2">
        <f ca="1"/>
        <v>0.87864322386886462</v>
      </c>
      <c r="AH5101" s="2" t="str">
        <f ca="1"/>
        <v>Bad</v>
      </c>
    </row>
    <row r="5102" spans="2:34">
      <c r="B5102" s="2">
        <f ca="1"/>
        <v>0.46150881310885716</v>
      </c>
      <c r="O5102" s="2">
        <f ca="1"/>
        <v>-1.6763279412037888</v>
      </c>
      <c r="X5102" s="2">
        <f ca="1"/>
        <v>33.581522094068461</v>
      </c>
      <c r="AG5102" s="2">
        <f ca="1"/>
        <v>0.61958371726769124</v>
      </c>
      <c r="AH5102" s="2" t="str">
        <f ca="1"/>
        <v>Bad</v>
      </c>
    </row>
    <row r="5103" spans="2:34">
      <c r="B5103" s="2">
        <f ca="1"/>
        <v>0.33913353176101468</v>
      </c>
      <c r="O5103" s="2">
        <f ca="1"/>
        <v>-1.0449318079043566</v>
      </c>
      <c r="X5103" s="2">
        <f ca="1"/>
        <v>41.613388667924099</v>
      </c>
      <c r="AG5103" s="2">
        <f ca="1"/>
        <v>0.46769038351017267</v>
      </c>
      <c r="AH5103" s="2" t="str">
        <f ca="1"/>
        <v>Bad</v>
      </c>
    </row>
    <row r="5104" spans="2:34">
      <c r="B5104" s="2">
        <f ca="1"/>
        <v>0.98930152197197208</v>
      </c>
      <c r="O5104" s="2">
        <f ca="1"/>
        <v>-0.14830915753797017</v>
      </c>
      <c r="X5104" s="2">
        <f ca="1"/>
        <v>47.973917348766108</v>
      </c>
      <c r="AG5104" s="2">
        <f ca="1"/>
        <v>0.96592894571650656</v>
      </c>
      <c r="AH5104" s="2" t="str">
        <f ca="1"/>
        <v>Bad</v>
      </c>
    </row>
    <row r="5105" spans="2:34">
      <c r="B5105" s="2">
        <f ca="1"/>
        <v>0.95970801141248319</v>
      </c>
      <c r="O5105" s="2">
        <f ca="1"/>
        <v>-1.12874552119244</v>
      </c>
      <c r="X5105" s="2">
        <f ca="1"/>
        <v>56.041257229156514</v>
      </c>
      <c r="AG5105" s="2">
        <f ca="1"/>
        <v>0.57066201498584501</v>
      </c>
      <c r="AH5105" s="2" t="str">
        <f ca="1"/>
        <v>Bad</v>
      </c>
    </row>
    <row r="5106" spans="2:34">
      <c r="B5106" s="2">
        <f ca="1"/>
        <v>0.17629491590362134</v>
      </c>
      <c r="O5106" s="2">
        <f ca="1"/>
        <v>-0.76268622661481589</v>
      </c>
      <c r="X5106" s="2">
        <f ca="1"/>
        <v>66.544058110673049</v>
      </c>
      <c r="AG5106" s="2">
        <f ca="1"/>
        <v>0.41885577289021692</v>
      </c>
      <c r="AH5106" s="2" t="str">
        <f ca="1"/>
        <v>Bad</v>
      </c>
    </row>
    <row r="5107" spans="2:34">
      <c r="B5107" s="2">
        <f ca="1"/>
        <v>0.42432953194932987</v>
      </c>
      <c r="O5107" s="2">
        <f ca="1"/>
        <v>0.27266113714228946</v>
      </c>
      <c r="X5107" s="2">
        <f ca="1"/>
        <v>42.471818650244806</v>
      </c>
      <c r="AG5107" s="2">
        <f ca="1"/>
        <v>0.83253144385025846</v>
      </c>
      <c r="AH5107" s="2" t="str">
        <f ca="1"/>
        <v>Bad</v>
      </c>
    </row>
    <row r="5108" spans="2:34">
      <c r="B5108" s="2">
        <f ca="1"/>
        <v>0.94156129470659167</v>
      </c>
      <c r="O5108" s="2">
        <f ca="1"/>
        <v>-0.71834041307415186</v>
      </c>
      <c r="X5108" s="2">
        <f ca="1"/>
        <v>24.219313583378749</v>
      </c>
      <c r="AG5108" s="2">
        <f ca="1"/>
        <v>0.83330906424488504</v>
      </c>
      <c r="AH5108" s="2" t="str">
        <f ca="1"/>
        <v>Bad</v>
      </c>
    </row>
    <row r="5109" spans="2:34">
      <c r="B5109" s="2">
        <f ca="1"/>
        <v>3.115259579839913E-2</v>
      </c>
      <c r="O5109" s="2">
        <f ca="1"/>
        <v>0.50334229542255093</v>
      </c>
      <c r="X5109" s="2">
        <f ca="1"/>
        <v>31.167689998156956</v>
      </c>
      <c r="AG5109" s="2">
        <f ca="1"/>
        <v>0.93689370076250533</v>
      </c>
      <c r="AH5109" s="2" t="str">
        <f ca="1"/>
        <v>Bad</v>
      </c>
    </row>
    <row r="5110" spans="2:34">
      <c r="B5110" s="2">
        <f ca="1"/>
        <v>0.48468746726171896</v>
      </c>
      <c r="O5110" s="2">
        <f ca="1"/>
        <v>1.2902356875257386</v>
      </c>
      <c r="X5110" s="2">
        <f ca="1"/>
        <v>49.415203136661532</v>
      </c>
      <c r="AG5110" s="2">
        <f ca="1"/>
        <v>0.58176399474744001</v>
      </c>
      <c r="AH5110" s="2" t="str">
        <f ca="1"/>
        <v>Bad</v>
      </c>
    </row>
    <row r="5111" spans="2:34">
      <c r="B5111" s="2">
        <f ca="1"/>
        <v>0.66162469925541467</v>
      </c>
      <c r="O5111" s="2">
        <f ca="1"/>
        <v>-0.47306364183312821</v>
      </c>
      <c r="X5111" s="2">
        <f ca="1"/>
        <v>83.430596774498667</v>
      </c>
      <c r="AG5111" s="2">
        <f ca="1"/>
        <v>0.1757271265948992</v>
      </c>
      <c r="AH5111" s="2" t="str">
        <f ca="1"/>
        <v>OK</v>
      </c>
    </row>
    <row r="5112" spans="2:34">
      <c r="B5112" s="2">
        <f ca="1"/>
        <v>0.64035720245143768</v>
      </c>
      <c r="O5112" s="2">
        <f ca="1"/>
        <v>0.83322115681014486</v>
      </c>
      <c r="X5112" s="2">
        <f ca="1"/>
        <v>60.106744294750818</v>
      </c>
      <c r="AG5112" s="2">
        <f ca="1"/>
        <v>0.62671177754505436</v>
      </c>
      <c r="AH5112" s="2" t="str">
        <f ca="1"/>
        <v>Bad</v>
      </c>
    </row>
    <row r="5113" spans="2:34">
      <c r="B5113" s="2">
        <f ca="1"/>
        <v>0.67893570230245492</v>
      </c>
      <c r="O5113" s="2">
        <f ca="1"/>
        <v>-0.847144867787052</v>
      </c>
      <c r="X5113" s="2">
        <f ca="1"/>
        <v>67.656588266047407</v>
      </c>
      <c r="AG5113" s="2">
        <f ca="1"/>
        <v>0.26549849235877843</v>
      </c>
      <c r="AH5113" s="2" t="str">
        <f ca="1"/>
        <v>OK</v>
      </c>
    </row>
    <row r="5114" spans="2:34">
      <c r="B5114" s="2">
        <f ca="1"/>
        <v>0.98233951255313912</v>
      </c>
      <c r="O5114" s="2">
        <f ca="1"/>
        <v>-0.86621092150090939</v>
      </c>
      <c r="X5114" s="2">
        <f ca="1"/>
        <v>74.452099524426856</v>
      </c>
      <c r="AG5114" s="2">
        <f ca="1"/>
        <v>0.45094729732881222</v>
      </c>
      <c r="AH5114" s="2" t="str">
        <f ca="1"/>
        <v>Bad</v>
      </c>
    </row>
    <row r="5115" spans="2:34">
      <c r="B5115" s="2">
        <f ca="1"/>
        <v>0.41036323828788435</v>
      </c>
      <c r="O5115" s="2">
        <f ca="1"/>
        <v>-0.16992781349156527</v>
      </c>
      <c r="X5115" s="2">
        <f ca="1"/>
        <v>51.31235115954852</v>
      </c>
      <c r="AG5115" s="2">
        <f ca="1"/>
        <v>0.35323275957490008</v>
      </c>
      <c r="AH5115" s="2" t="str">
        <f ca="1"/>
        <v>OK</v>
      </c>
    </row>
    <row r="5116" spans="2:34">
      <c r="B5116" s="2">
        <f ca="1"/>
        <v>0.23107600274158524</v>
      </c>
      <c r="O5116" s="2">
        <f ca="1"/>
        <v>-1.2124054627950618</v>
      </c>
      <c r="X5116" s="2">
        <f ca="1"/>
        <v>70.205854426924773</v>
      </c>
      <c r="AG5116" s="2">
        <f ca="1"/>
        <v>0.30300432735570459</v>
      </c>
      <c r="AH5116" s="2" t="str">
        <f ca="1"/>
        <v>OK</v>
      </c>
    </row>
    <row r="5117" spans="2:34">
      <c r="B5117" s="2">
        <f ca="1"/>
        <v>0.85084405540148578</v>
      </c>
      <c r="O5117" s="2">
        <f ca="1"/>
        <v>-7.9476119515551596E-3</v>
      </c>
      <c r="X5117" s="2">
        <f ca="1"/>
        <v>57.790871747939377</v>
      </c>
      <c r="AG5117" s="2">
        <f ca="1"/>
        <v>9.2331205215367307E-2</v>
      </c>
      <c r="AH5117" s="2" t="str">
        <f ca="1"/>
        <v>OK</v>
      </c>
    </row>
    <row r="5118" spans="2:34">
      <c r="B5118" s="2">
        <f ca="1"/>
        <v>0.29453497904972648</v>
      </c>
      <c r="O5118" s="2">
        <f ca="1"/>
        <v>7.8888866686361428E-2</v>
      </c>
      <c r="X5118" s="2">
        <f ca="1"/>
        <v>46.036014970223007</v>
      </c>
      <c r="AG5118" s="2">
        <f ca="1"/>
        <v>0.65435045005465597</v>
      </c>
      <c r="AH5118" s="2" t="str">
        <f ca="1"/>
        <v>Bad</v>
      </c>
    </row>
    <row r="5119" spans="2:34">
      <c r="B5119" s="2">
        <f ca="1"/>
        <v>0.35939260811942808</v>
      </c>
      <c r="O5119" s="2">
        <f ca="1"/>
        <v>-0.42744310414215914</v>
      </c>
      <c r="X5119" s="2">
        <f ca="1"/>
        <v>67.146265916389524</v>
      </c>
      <c r="AG5119" s="2">
        <f ca="1"/>
        <v>0.37760335494863106</v>
      </c>
      <c r="AH5119" s="2" t="str">
        <f ca="1"/>
        <v>OK</v>
      </c>
    </row>
    <row r="5120" spans="2:34">
      <c r="B5120" s="2">
        <f ca="1"/>
        <v>0.57026209435382702</v>
      </c>
      <c r="O5120" s="2">
        <f ca="1"/>
        <v>3.0476587494597016E-2</v>
      </c>
      <c r="X5120" s="2">
        <f ca="1"/>
        <v>36.698488728789393</v>
      </c>
      <c r="AG5120" s="2">
        <f ca="1"/>
        <v>2.6857755497858182E-2</v>
      </c>
      <c r="AH5120" s="2" t="str">
        <f ca="1"/>
        <v>Good</v>
      </c>
    </row>
    <row r="5121" spans="2:34">
      <c r="B5121" s="2">
        <f ca="1"/>
        <v>0.32287108709672863</v>
      </c>
      <c r="O5121" s="2">
        <f ca="1"/>
        <v>0.76610304055956435</v>
      </c>
      <c r="X5121" s="2">
        <f ca="1"/>
        <v>37.471081807568069</v>
      </c>
      <c r="AG5121" s="2">
        <f ca="1"/>
        <v>5.1896932026622933E-2</v>
      </c>
      <c r="AH5121" s="2" t="str">
        <f ca="1"/>
        <v>OK</v>
      </c>
    </row>
    <row r="5122" spans="2:34">
      <c r="B5122" s="2">
        <f ca="1"/>
        <v>0.55441651386604218</v>
      </c>
      <c r="O5122" s="2">
        <f ca="1"/>
        <v>0.23646195613043075</v>
      </c>
      <c r="X5122" s="2">
        <f ca="1"/>
        <v>45.579391804500695</v>
      </c>
      <c r="AG5122" s="2">
        <f ca="1"/>
        <v>0.72029081752567747</v>
      </c>
      <c r="AH5122" s="2" t="str">
        <f ca="1"/>
        <v>Bad</v>
      </c>
    </row>
    <row r="5123" spans="2:34">
      <c r="B5123" s="2">
        <f ca="1"/>
        <v>0.97057799660385724</v>
      </c>
      <c r="O5123" s="2">
        <f ca="1"/>
        <v>-0.35023867534631969</v>
      </c>
      <c r="X5123" s="2">
        <f ca="1"/>
        <v>30.79817261739942</v>
      </c>
      <c r="AG5123" s="2">
        <f ca="1"/>
        <v>0.94131129422848825</v>
      </c>
      <c r="AH5123" s="2" t="str">
        <f ca="1"/>
        <v>Bad</v>
      </c>
    </row>
    <row r="5124" spans="2:34">
      <c r="B5124" s="2">
        <f ca="1"/>
        <v>0.78050026171895381</v>
      </c>
      <c r="O5124" s="2">
        <f ca="1"/>
        <v>7.193346306480132E-2</v>
      </c>
      <c r="X5124" s="2">
        <f ca="1"/>
        <v>48.452267004504733</v>
      </c>
      <c r="AG5124" s="2">
        <f ca="1"/>
        <v>0.4818495125297364</v>
      </c>
      <c r="AH5124" s="2" t="str">
        <f ca="1"/>
        <v>Bad</v>
      </c>
    </row>
    <row r="5125" spans="2:34">
      <c r="B5125" s="2">
        <f ca="1"/>
        <v>8.9161705678914016E-2</v>
      </c>
      <c r="O5125" s="2">
        <f ca="1"/>
        <v>-1.2544295947357758</v>
      </c>
      <c r="X5125" s="2">
        <f ca="1"/>
        <v>51.347970043867683</v>
      </c>
      <c r="AG5125" s="2">
        <f ca="1"/>
        <v>0.81997978386081671</v>
      </c>
      <c r="AH5125" s="2" t="str">
        <f ca="1"/>
        <v>Bad</v>
      </c>
    </row>
    <row r="5126" spans="2:34">
      <c r="B5126" s="2">
        <f ca="1"/>
        <v>0.96715192251837756</v>
      </c>
      <c r="O5126" s="2">
        <f ca="1"/>
        <v>1.6270607896629412</v>
      </c>
      <c r="X5126" s="2">
        <f ca="1"/>
        <v>45.905619245169397</v>
      </c>
      <c r="AG5126" s="2">
        <f ca="1"/>
        <v>0.67632780006220683</v>
      </c>
      <c r="AH5126" s="2" t="str">
        <f ca="1"/>
        <v>Bad</v>
      </c>
    </row>
    <row r="5127" spans="2:34">
      <c r="B5127" s="2">
        <f ca="1"/>
        <v>0.76577783181801773</v>
      </c>
      <c r="O5127" s="2">
        <f ca="1"/>
        <v>-0.41997459885651528</v>
      </c>
      <c r="X5127" s="2">
        <f ca="1"/>
        <v>80.076170402713757</v>
      </c>
      <c r="AG5127" s="2">
        <f ca="1"/>
        <v>0.19895665362815862</v>
      </c>
      <c r="AH5127" s="2" t="str">
        <f ca="1"/>
        <v>OK</v>
      </c>
    </row>
    <row r="5128" spans="2:34">
      <c r="B5128" s="2">
        <f ca="1"/>
        <v>7.515841008644597E-2</v>
      </c>
      <c r="O5128" s="2">
        <f ca="1"/>
        <v>0.41618377188400507</v>
      </c>
      <c r="X5128" s="2">
        <f ca="1"/>
        <v>34.671455706242277</v>
      </c>
      <c r="AG5128" s="2">
        <f ca="1"/>
        <v>0.65399989785844292</v>
      </c>
      <c r="AH5128" s="2" t="str">
        <f ca="1"/>
        <v>Bad</v>
      </c>
    </row>
    <row r="5129" spans="2:34">
      <c r="B5129" s="2">
        <f ca="1"/>
        <v>0.41174136169737396</v>
      </c>
      <c r="O5129" s="2">
        <f ca="1"/>
        <v>0.83279225906416843</v>
      </c>
      <c r="X5129" s="2">
        <f ca="1"/>
        <v>36.374709885416024</v>
      </c>
      <c r="AG5129" s="2">
        <f ca="1"/>
        <v>4.6442680752467158E-2</v>
      </c>
      <c r="AH5129" s="2" t="str">
        <f ca="1"/>
        <v>Good</v>
      </c>
    </row>
    <row r="5130" spans="2:34">
      <c r="B5130" s="2">
        <f ca="1"/>
        <v>0.47472320440866977</v>
      </c>
      <c r="O5130" s="2">
        <f ca="1"/>
        <v>-0.19742156959545754</v>
      </c>
      <c r="X5130" s="2">
        <f ca="1"/>
        <v>58.707691043413888</v>
      </c>
      <c r="AG5130" s="2">
        <f ca="1"/>
        <v>0.23157009288504926</v>
      </c>
      <c r="AH5130" s="2" t="str">
        <f ca="1"/>
        <v>OK</v>
      </c>
    </row>
    <row r="5131" spans="2:34">
      <c r="B5131" s="2">
        <f ca="1"/>
        <v>0.19485481352424161</v>
      </c>
      <c r="O5131" s="2">
        <f ca="1"/>
        <v>0.22250957313193062</v>
      </c>
      <c r="X5131" s="2">
        <f ca="1"/>
        <v>50.936562629769362</v>
      </c>
      <c r="AG5131" s="2">
        <f ca="1"/>
        <v>0.26269911397182955</v>
      </c>
      <c r="AH5131" s="2" t="str">
        <f ca="1"/>
        <v>OK</v>
      </c>
    </row>
    <row r="5132" spans="2:34">
      <c r="B5132" s="2">
        <f ca="1"/>
        <v>9.9642709471192692E-2</v>
      </c>
      <c r="O5132" s="2">
        <f ca="1"/>
        <v>0.42264836047851845</v>
      </c>
      <c r="X5132" s="2">
        <f ca="1"/>
        <v>35.157268451703104</v>
      </c>
      <c r="AG5132" s="2">
        <f ca="1"/>
        <v>0.32278919533011452</v>
      </c>
      <c r="AH5132" s="2" t="str">
        <f ca="1"/>
        <v>OK</v>
      </c>
    </row>
    <row r="5133" spans="2:34">
      <c r="B5133" s="2">
        <f ca="1"/>
        <v>0.68671886283723227</v>
      </c>
      <c r="O5133" s="2">
        <f ca="1"/>
        <v>-1.9138083939129331</v>
      </c>
      <c r="X5133" s="2">
        <f ca="1"/>
        <v>38.515327409552526</v>
      </c>
      <c r="AG5133" s="2">
        <f ca="1"/>
        <v>0.3315638813617543</v>
      </c>
      <c r="AH5133" s="2" t="str">
        <f ca="1"/>
        <v>OK</v>
      </c>
    </row>
    <row r="5134" spans="2:34">
      <c r="B5134" s="2">
        <f ca="1"/>
        <v>6.8840743290554229E-2</v>
      </c>
      <c r="O5134" s="2">
        <f ca="1"/>
        <v>0.86642691089719015</v>
      </c>
      <c r="X5134" s="2">
        <f ca="1"/>
        <v>85.384412185494654</v>
      </c>
      <c r="AG5134" s="2">
        <f ca="1"/>
        <v>0.34671057452209353</v>
      </c>
      <c r="AH5134" s="2" t="str">
        <f ca="1"/>
        <v>OK</v>
      </c>
    </row>
    <row r="5135" spans="2:34">
      <c r="B5135" s="2">
        <f ca="1"/>
        <v>0.30188497868962294</v>
      </c>
      <c r="O5135" s="2">
        <f ca="1"/>
        <v>-0.46914858907716295</v>
      </c>
      <c r="X5135" s="2">
        <f ca="1"/>
        <v>51.833966369794069</v>
      </c>
      <c r="AG5135" s="2">
        <f ca="1"/>
        <v>0.56342443310140178</v>
      </c>
      <c r="AH5135" s="2" t="str">
        <f ca="1"/>
        <v>Bad</v>
      </c>
    </row>
    <row r="5136" spans="2:34">
      <c r="B5136" s="2">
        <f ca="1"/>
        <v>0.39282517694082042</v>
      </c>
      <c r="O5136" s="2">
        <f ca="1"/>
        <v>-0.4773738307358838</v>
      </c>
      <c r="X5136" s="2">
        <f ca="1"/>
        <v>58.458169646940647</v>
      </c>
      <c r="AG5136" s="2">
        <f ca="1"/>
        <v>0.86455075769385159</v>
      </c>
      <c r="AH5136" s="2" t="str">
        <f ca="1"/>
        <v>Bad</v>
      </c>
    </row>
    <row r="5137" spans="2:34">
      <c r="B5137" s="2">
        <f ca="1"/>
        <v>0.80512963903184209</v>
      </c>
      <c r="O5137" s="2">
        <f ca="1"/>
        <v>0.20872735911712023</v>
      </c>
      <c r="X5137" s="2">
        <f ca="1"/>
        <v>54.235326847745654</v>
      </c>
      <c r="AG5137" s="2">
        <f ca="1"/>
        <v>0.8478741913489285</v>
      </c>
      <c r="AH5137" s="2" t="str">
        <f ca="1"/>
        <v>Bad</v>
      </c>
    </row>
    <row r="5138" spans="2:34">
      <c r="B5138" s="2">
        <f ca="1"/>
        <v>0.21311715855044966</v>
      </c>
      <c r="O5138" s="2">
        <f ca="1"/>
        <v>0.18821394888927695</v>
      </c>
      <c r="X5138" s="2">
        <f ca="1"/>
        <v>54.373273836045975</v>
      </c>
      <c r="AG5138" s="2">
        <f ca="1"/>
        <v>0.60851143521402196</v>
      </c>
      <c r="AH5138" s="2" t="str">
        <f ca="1"/>
        <v>Bad</v>
      </c>
    </row>
    <row r="5139" spans="2:34">
      <c r="B5139" s="2">
        <f ca="1"/>
        <v>0.74643117892448685</v>
      </c>
      <c r="O5139" s="2">
        <f ca="1"/>
        <v>1.2831748522599269</v>
      </c>
      <c r="X5139" s="2">
        <f ca="1"/>
        <v>34.937233582183211</v>
      </c>
      <c r="AG5139" s="2">
        <f ca="1"/>
        <v>0.74633142064143354</v>
      </c>
      <c r="AH5139" s="2" t="str">
        <f ca="1"/>
        <v>Bad</v>
      </c>
    </row>
    <row r="5140" spans="2:34">
      <c r="B5140" s="2">
        <f ca="1"/>
        <v>6.6106576521153038E-2</v>
      </c>
      <c r="O5140" s="2">
        <f ca="1"/>
        <v>-0.98730212935313566</v>
      </c>
      <c r="X5140" s="2">
        <f ca="1"/>
        <v>61.469281468515533</v>
      </c>
      <c r="AG5140" s="2">
        <f ca="1"/>
        <v>0.45224541231492887</v>
      </c>
      <c r="AH5140" s="2" t="str">
        <f ca="1"/>
        <v>Bad</v>
      </c>
    </row>
    <row r="5141" spans="2:34">
      <c r="B5141" s="2">
        <f ca="1"/>
        <v>0.74005154520487637</v>
      </c>
      <c r="O5141" s="2">
        <f ca="1"/>
        <v>-0.18437211618563856</v>
      </c>
      <c r="X5141" s="2">
        <f ca="1"/>
        <v>47.761969472805781</v>
      </c>
      <c r="AG5141" s="2">
        <f ca="1"/>
        <v>0.70837881012862924</v>
      </c>
      <c r="AH5141" s="2" t="str">
        <f ca="1"/>
        <v>Bad</v>
      </c>
    </row>
    <row r="5142" spans="2:34">
      <c r="B5142" s="2">
        <f ca="1"/>
        <v>0.4058632961196611</v>
      </c>
      <c r="O5142" s="2">
        <f ca="1"/>
        <v>1.6129044930810823</v>
      </c>
      <c r="X5142" s="2">
        <f ca="1"/>
        <v>27.771016269811717</v>
      </c>
      <c r="AG5142" s="2">
        <f ca="1"/>
        <v>0.11133096878329574</v>
      </c>
      <c r="AH5142" s="2" t="str">
        <f ca="1"/>
        <v>OK</v>
      </c>
    </row>
    <row r="5143" spans="2:34">
      <c r="B5143" s="2">
        <f ca="1"/>
        <v>0.65531308870707439</v>
      </c>
      <c r="O5143" s="2">
        <f ca="1"/>
        <v>-1.6149401008035473</v>
      </c>
      <c r="X5143" s="2">
        <f ca="1"/>
        <v>61.756472327999425</v>
      </c>
      <c r="AG5143" s="2">
        <f ca="1"/>
        <v>0.37796640353522082</v>
      </c>
      <c r="AH5143" s="2" t="str">
        <f ca="1"/>
        <v>OK</v>
      </c>
    </row>
    <row r="5144" spans="2:34">
      <c r="B5144" s="2">
        <f ca="1"/>
        <v>0.82354370483192674</v>
      </c>
      <c r="O5144" s="2">
        <f ca="1"/>
        <v>0.53585595976486444</v>
      </c>
      <c r="X5144" s="2">
        <f ca="1"/>
        <v>64.193304406813596</v>
      </c>
      <c r="AG5144" s="2">
        <f ca="1"/>
        <v>0.5567436561796042</v>
      </c>
      <c r="AH5144" s="2" t="str">
        <f ca="1"/>
        <v>Bad</v>
      </c>
    </row>
    <row r="5145" spans="2:34">
      <c r="B5145" s="2">
        <f ca="1"/>
        <v>8.9105515293900428E-2</v>
      </c>
      <c r="O5145" s="2">
        <f ca="1"/>
        <v>0.27445389091448635</v>
      </c>
      <c r="X5145" s="2">
        <f ca="1"/>
        <v>39.195031951347133</v>
      </c>
      <c r="AG5145" s="2">
        <f ca="1"/>
        <v>0.54967709013015331</v>
      </c>
      <c r="AH5145" s="2" t="str">
        <f ca="1"/>
        <v>Bad</v>
      </c>
    </row>
    <row r="5146" spans="2:34">
      <c r="B5146" s="2">
        <f ca="1"/>
        <v>0.22589518915934081</v>
      </c>
      <c r="O5146" s="2">
        <f ca="1"/>
        <v>1.8597990636655175E-2</v>
      </c>
      <c r="X5146" s="2">
        <f ca="1"/>
        <v>56.028637369147845</v>
      </c>
      <c r="AG5146" s="2">
        <f ca="1"/>
        <v>6.6096862118560917E-3</v>
      </c>
      <c r="AH5146" s="2" t="str">
        <f ca="1"/>
        <v>Good</v>
      </c>
    </row>
    <row r="5147" spans="2:34">
      <c r="B5147" s="2">
        <f ca="1"/>
        <v>0.5306454528291431</v>
      </c>
      <c r="O5147" s="2">
        <f ca="1"/>
        <v>2.1402119785718838</v>
      </c>
      <c r="X5147" s="2">
        <f ca="1"/>
        <v>64.574549319190126</v>
      </c>
      <c r="AG5147" s="2">
        <f ca="1"/>
        <v>0.43685384847710473</v>
      </c>
      <c r="AH5147" s="2" t="str">
        <f ca="1"/>
        <v>Bad</v>
      </c>
    </row>
    <row r="5148" spans="2:34">
      <c r="B5148" s="2">
        <f ca="1"/>
        <v>0.27646857040935191</v>
      </c>
      <c r="O5148" s="2">
        <f ca="1"/>
        <v>-0.55788552690413218</v>
      </c>
      <c r="X5148" s="2">
        <f ca="1"/>
        <v>55.658298636773736</v>
      </c>
      <c r="AG5148" s="2">
        <f ca="1"/>
        <v>0.86573048861031543</v>
      </c>
      <c r="AH5148" s="2" t="str">
        <f ca="1"/>
        <v>Bad</v>
      </c>
    </row>
    <row r="5149" spans="2:34">
      <c r="B5149" s="2">
        <f ca="1"/>
        <v>0.94459346869276883</v>
      </c>
      <c r="O5149" s="2">
        <f ca="1"/>
        <v>-0.14267242228819019</v>
      </c>
      <c r="X5149" s="2">
        <f ca="1"/>
        <v>26.205599632009296</v>
      </c>
      <c r="AG5149" s="2">
        <f ca="1"/>
        <v>0.32200649438969542</v>
      </c>
      <c r="AH5149" s="2" t="str">
        <f ca="1"/>
        <v>OK</v>
      </c>
    </row>
    <row r="5150" spans="2:34">
      <c r="B5150" s="2">
        <f ca="1"/>
        <v>0.82382090559390342</v>
      </c>
      <c r="O5150" s="2">
        <f ca="1"/>
        <v>-0.71556078651854049</v>
      </c>
      <c r="X5150" s="2">
        <f ca="1"/>
        <v>42.670911184972951</v>
      </c>
      <c r="AG5150" s="2">
        <f ca="1"/>
        <v>0.43381092819595857</v>
      </c>
      <c r="AH5150" s="2" t="str">
        <f ca="1"/>
        <v>Bad</v>
      </c>
    </row>
    <row r="5151" spans="2:34">
      <c r="B5151" s="2">
        <f ca="1"/>
        <v>8.8915755796128426E-2</v>
      </c>
      <c r="O5151" s="2">
        <f ca="1"/>
        <v>5.4941773718869422E-2</v>
      </c>
      <c r="X5151" s="2">
        <f ca="1"/>
        <v>38.583863792937251</v>
      </c>
      <c r="AG5151" s="2">
        <f ca="1"/>
        <v>0.36685400214892661</v>
      </c>
      <c r="AH5151" s="2" t="str">
        <f ca="1"/>
        <v>OK</v>
      </c>
    </row>
    <row r="5152" spans="2:34">
      <c r="B5152" s="2">
        <f ca="1"/>
        <v>0.19095496133482248</v>
      </c>
      <c r="O5152" s="2">
        <f ca="1"/>
        <v>-0.97611860301676545</v>
      </c>
      <c r="X5152" s="2">
        <f ca="1"/>
        <v>41.006792207283944</v>
      </c>
      <c r="AG5152" s="2">
        <f ca="1"/>
        <v>0.8216772412440434</v>
      </c>
      <c r="AH5152" s="2" t="str">
        <f ca="1"/>
        <v>Bad</v>
      </c>
    </row>
    <row r="5153" spans="2:34">
      <c r="B5153" s="2">
        <f ca="1"/>
        <v>0.52485078666927243</v>
      </c>
      <c r="O5153" s="2">
        <f ca="1"/>
        <v>-7.7745235894747522E-2</v>
      </c>
      <c r="X5153" s="2">
        <f ca="1"/>
        <v>42.285840596630216</v>
      </c>
      <c r="AG5153" s="2">
        <f ca="1"/>
        <v>0.49222114476724865</v>
      </c>
      <c r="AH5153" s="2" t="str">
        <f ca="1"/>
        <v>Bad</v>
      </c>
    </row>
    <row r="5154" spans="2:34">
      <c r="B5154" s="2">
        <f ca="1"/>
        <v>0.42227150557202919</v>
      </c>
      <c r="O5154" s="2">
        <f ca="1"/>
        <v>0.15527837230318359</v>
      </c>
      <c r="X5154" s="2">
        <f ca="1"/>
        <v>65.628229977212939</v>
      </c>
      <c r="AG5154" s="2">
        <f ca="1"/>
        <v>0.71418968330390808</v>
      </c>
      <c r="AH5154" s="2" t="str">
        <f ca="1"/>
        <v>Bad</v>
      </c>
    </row>
    <row r="5155" spans="2:34">
      <c r="B5155" s="2">
        <f ca="1"/>
        <v>0.59844296469139424</v>
      </c>
      <c r="O5155" s="2">
        <f ca="1"/>
        <v>-4.7251831889607389E-2</v>
      </c>
      <c r="X5155" s="2">
        <f ca="1"/>
        <v>25.270486531411663</v>
      </c>
      <c r="AG5155" s="2">
        <f ca="1"/>
        <v>0.99896183521009441</v>
      </c>
      <c r="AH5155" s="2" t="str">
        <f ca="1"/>
        <v>Bad</v>
      </c>
    </row>
    <row r="5156" spans="2:34">
      <c r="B5156" s="2">
        <f ca="1"/>
        <v>0.4563359431134022</v>
      </c>
      <c r="O5156" s="2">
        <f ca="1"/>
        <v>-0.48281377495496286</v>
      </c>
      <c r="X5156" s="2">
        <f ca="1"/>
        <v>39.129857318163758</v>
      </c>
      <c r="AG5156" s="2">
        <f ca="1"/>
        <v>0.98778373391229835</v>
      </c>
      <c r="AH5156" s="2" t="str">
        <f ca="1"/>
        <v>Bad</v>
      </c>
    </row>
    <row r="5157" spans="2:34">
      <c r="B5157" s="2">
        <f ca="1"/>
        <v>0.9063006129959712</v>
      </c>
      <c r="O5157" s="2">
        <f ca="1"/>
        <v>0.85029206540422431</v>
      </c>
      <c r="X5157" s="2">
        <f ca="1"/>
        <v>44.402781716374122</v>
      </c>
      <c r="AG5157" s="2">
        <f ca="1"/>
        <v>0.42161293575471226</v>
      </c>
      <c r="AH5157" s="2" t="str">
        <f ca="1"/>
        <v>Bad</v>
      </c>
    </row>
    <row r="5158" spans="2:34">
      <c r="B5158" s="2">
        <f ca="1"/>
        <v>0.21150319697523323</v>
      </c>
      <c r="O5158" s="2">
        <f ca="1"/>
        <v>-1.9096422104238826</v>
      </c>
      <c r="X5158" s="2">
        <f ca="1"/>
        <v>59.50937341598059</v>
      </c>
      <c r="AG5158" s="2">
        <f ca="1"/>
        <v>0.34683323535687172</v>
      </c>
      <c r="AH5158" s="2" t="str">
        <f ca="1"/>
        <v>OK</v>
      </c>
    </row>
    <row r="5159" spans="2:34">
      <c r="B5159" s="2">
        <f ca="1"/>
        <v>0.53391507711317754</v>
      </c>
      <c r="O5159" s="2">
        <f ca="1"/>
        <v>1.7670373559709065</v>
      </c>
      <c r="X5159" s="2">
        <f ca="1"/>
        <v>33.973075886618943</v>
      </c>
      <c r="AG5159" s="2">
        <f ca="1"/>
        <v>0.65976511702312823</v>
      </c>
      <c r="AH5159" s="2" t="str">
        <f ca="1"/>
        <v>Bad</v>
      </c>
    </row>
    <row r="5160" spans="2:34">
      <c r="B5160" s="2">
        <f ca="1"/>
        <v>8.6534641438276383E-2</v>
      </c>
      <c r="O5160" s="2">
        <f ca="1"/>
        <v>-1.3042841945458907</v>
      </c>
      <c r="X5160" s="2">
        <f ca="1"/>
        <v>41.254525959911419</v>
      </c>
      <c r="AG5160" s="2">
        <f ca="1"/>
        <v>0.89664532495333682</v>
      </c>
      <c r="AH5160" s="2" t="str">
        <f ca="1"/>
        <v>Bad</v>
      </c>
    </row>
    <row r="5161" spans="2:34">
      <c r="B5161" s="2">
        <f ca="1"/>
        <v>0.41528034659363078</v>
      </c>
      <c r="O5161" s="2">
        <f ca="1"/>
        <v>0.24624935209787144</v>
      </c>
      <c r="X5161" s="2">
        <f ca="1"/>
        <v>40.973864094916685</v>
      </c>
      <c r="AG5161" s="2">
        <f ca="1"/>
        <v>0.32303170913814472</v>
      </c>
      <c r="AH5161" s="2" t="str">
        <f ca="1"/>
        <v>OK</v>
      </c>
    </row>
    <row r="5162" spans="2:34">
      <c r="B5162" s="2">
        <f ca="1"/>
        <v>0.52944189820144816</v>
      </c>
      <c r="O5162" s="2">
        <f ca="1"/>
        <v>-2.1692748879113166</v>
      </c>
      <c r="X5162" s="2">
        <f ca="1"/>
        <v>45.520048183853497</v>
      </c>
      <c r="AG5162" s="2">
        <f ca="1"/>
        <v>0.76821700895546674</v>
      </c>
      <c r="AH5162" s="2" t="str">
        <f ca="1"/>
        <v>Bad</v>
      </c>
    </row>
    <row r="5163" spans="2:34">
      <c r="B5163" s="2">
        <f ca="1"/>
        <v>4.0047806343102454E-2</v>
      </c>
      <c r="O5163" s="2">
        <f ca="1"/>
        <v>1.2584901896473575</v>
      </c>
      <c r="X5163" s="2">
        <f ca="1"/>
        <v>49.987715949997842</v>
      </c>
      <c r="AG5163" s="2">
        <f ca="1"/>
        <v>0.39270804280673777</v>
      </c>
      <c r="AH5163" s="2" t="str">
        <f ca="1"/>
        <v>OK</v>
      </c>
    </row>
    <row r="5164" spans="2:34">
      <c r="B5164" s="2">
        <f ca="1"/>
        <v>0.33576146906059545</v>
      </c>
      <c r="O5164" s="2">
        <f ca="1"/>
        <v>0.55081836606075618</v>
      </c>
      <c r="X5164" s="2">
        <f ca="1"/>
        <v>46.247990658458029</v>
      </c>
      <c r="AG5164" s="2">
        <f ca="1"/>
        <v>0.33300687934523454</v>
      </c>
      <c r="AH5164" s="2" t="str">
        <f ca="1"/>
        <v>OK</v>
      </c>
    </row>
    <row r="5165" spans="2:34">
      <c r="B5165" s="2">
        <f ca="1"/>
        <v>0.86443618168696368</v>
      </c>
      <c r="O5165" s="2">
        <f ca="1"/>
        <v>-2.1115864620794795</v>
      </c>
      <c r="X5165" s="2">
        <f ca="1"/>
        <v>21.393002931922751</v>
      </c>
      <c r="AG5165" s="2">
        <f ca="1"/>
        <v>0.66221938172746864</v>
      </c>
      <c r="AH5165" s="2" t="str">
        <f ca="1"/>
        <v>Bad</v>
      </c>
    </row>
    <row r="5166" spans="2:34">
      <c r="B5166" s="2">
        <f ca="1"/>
        <v>0.87680472500378048</v>
      </c>
      <c r="O5166" s="2">
        <f ca="1"/>
        <v>-0.91756841574645698</v>
      </c>
      <c r="X5166" s="2">
        <f ca="1"/>
        <v>63.173200164180827</v>
      </c>
      <c r="AG5166" s="2">
        <f ca="1"/>
        <v>0.68177327020463641</v>
      </c>
      <c r="AH5166" s="2" t="str">
        <f ca="1"/>
        <v>Bad</v>
      </c>
    </row>
    <row r="5167" spans="2:34">
      <c r="B5167" s="2">
        <f ca="1"/>
        <v>0.87157130280029205</v>
      </c>
      <c r="O5167" s="2">
        <f ca="1"/>
        <v>-1.0505933580856288</v>
      </c>
      <c r="X5167" s="2">
        <f ca="1"/>
        <v>41.268674747263397</v>
      </c>
      <c r="AG5167" s="2">
        <f ca="1"/>
        <v>0.87880106902438904</v>
      </c>
      <c r="AH5167" s="2" t="str">
        <f ca="1"/>
        <v>Bad</v>
      </c>
    </row>
    <row r="5168" spans="2:34">
      <c r="B5168" s="2">
        <f ca="1"/>
        <v>0.29407320961230621</v>
      </c>
      <c r="O5168" s="2">
        <f ca="1"/>
        <v>-0.14170846152261715</v>
      </c>
      <c r="X5168" s="2">
        <f ca="1"/>
        <v>39.80493338424985</v>
      </c>
      <c r="AG5168" s="2">
        <f ca="1"/>
        <v>0.97527582622541331</v>
      </c>
      <c r="AH5168" s="2" t="str">
        <f ca="1"/>
        <v>Bad</v>
      </c>
    </row>
    <row r="5169" spans="2:34">
      <c r="B5169" s="2">
        <f ca="1"/>
        <v>0.86826788057523507</v>
      </c>
      <c r="O5169" s="2">
        <f ca="1"/>
        <v>1.5757442406635246E-2</v>
      </c>
      <c r="X5169" s="2">
        <f ca="1"/>
        <v>37.662637686065814</v>
      </c>
      <c r="AG5169" s="2">
        <f ca="1"/>
        <v>0.78612768844282521</v>
      </c>
      <c r="AH5169" s="2" t="str">
        <f ca="1"/>
        <v>Bad</v>
      </c>
    </row>
    <row r="5170" spans="2:34">
      <c r="B5170" s="2">
        <f ca="1"/>
        <v>0.96320980632340802</v>
      </c>
      <c r="O5170" s="2">
        <f ca="1"/>
        <v>0.60278453039627544</v>
      </c>
      <c r="X5170" s="2">
        <f ca="1"/>
        <v>19.926175655542774</v>
      </c>
      <c r="AG5170" s="2">
        <f ca="1"/>
        <v>0.66872521576036625</v>
      </c>
      <c r="AH5170" s="2" t="str">
        <f ca="1"/>
        <v>Bad</v>
      </c>
    </row>
    <row r="5171" spans="2:34">
      <c r="B5171" s="2">
        <f ca="1"/>
        <v>0.94689123722608581</v>
      </c>
      <c r="O5171" s="2">
        <f ca="1"/>
        <v>1.9002595105736004E-2</v>
      </c>
      <c r="X5171" s="2">
        <f ca="1"/>
        <v>48.321965857391874</v>
      </c>
      <c r="AG5171" s="2">
        <f ca="1"/>
        <v>0.90354023886049051</v>
      </c>
      <c r="AH5171" s="2" t="str">
        <f ca="1"/>
        <v>Bad</v>
      </c>
    </row>
    <row r="5172" spans="2:34">
      <c r="B5172" s="2">
        <f ca="1"/>
        <v>0.31983222201949268</v>
      </c>
      <c r="O5172" s="2">
        <f ca="1"/>
        <v>-0.70826963246369157</v>
      </c>
      <c r="X5172" s="2">
        <f ca="1"/>
        <v>75.224718523728185</v>
      </c>
      <c r="AG5172" s="2">
        <f ca="1"/>
        <v>0.63405912850670854</v>
      </c>
      <c r="AH5172" s="2" t="str">
        <f ca="1"/>
        <v>Bad</v>
      </c>
    </row>
    <row r="5173" spans="2:34">
      <c r="B5173" s="2">
        <f ca="1"/>
        <v>0.90788471908269863</v>
      </c>
      <c r="O5173" s="2">
        <f ca="1"/>
        <v>0.96876174373515656</v>
      </c>
      <c r="X5173" s="2">
        <f ca="1"/>
        <v>41.400168569242553</v>
      </c>
      <c r="AG5173" s="2">
        <f ca="1"/>
        <v>0.28943448259782967</v>
      </c>
      <c r="AH5173" s="2" t="str">
        <f ca="1"/>
        <v>OK</v>
      </c>
    </row>
    <row r="5174" spans="2:34">
      <c r="B5174" s="2">
        <f ca="1"/>
        <v>0.6104968932721011</v>
      </c>
      <c r="O5174" s="2">
        <f ca="1"/>
        <v>1.4358801754982384</v>
      </c>
      <c r="X5174" s="2">
        <f ca="1"/>
        <v>27.967545979646356</v>
      </c>
      <c r="AG5174" s="2">
        <f ca="1"/>
        <v>0.23876713800190985</v>
      </c>
      <c r="AH5174" s="2" t="str">
        <f ca="1"/>
        <v>OK</v>
      </c>
    </row>
    <row r="5175" spans="2:34">
      <c r="B5175" s="2">
        <f ca="1"/>
        <v>0.42260956508547443</v>
      </c>
      <c r="O5175" s="2">
        <f ca="1"/>
        <v>1.2737196170898122</v>
      </c>
      <c r="X5175" s="2">
        <f ca="1"/>
        <v>68.135591574538608</v>
      </c>
      <c r="AG5175" s="2">
        <f ca="1"/>
        <v>0.25825125735953769</v>
      </c>
      <c r="AH5175" s="2" t="str">
        <f ca="1"/>
        <v>OK</v>
      </c>
    </row>
    <row r="5176" spans="2:34">
      <c r="B5176" s="2">
        <f ca="1"/>
        <v>0.37325186920275488</v>
      </c>
      <c r="O5176" s="2">
        <f ca="1"/>
        <v>-0.96774447688648457</v>
      </c>
      <c r="X5176" s="2">
        <f ca="1"/>
        <v>43.11645393919359</v>
      </c>
      <c r="AG5176" s="2">
        <f ca="1"/>
        <v>0.70327368058814033</v>
      </c>
      <c r="AH5176" s="2" t="str">
        <f ca="1"/>
        <v>Bad</v>
      </c>
    </row>
    <row r="5177" spans="2:34">
      <c r="B5177" s="2">
        <f ca="1"/>
        <v>0.86454110317822797</v>
      </c>
      <c r="O5177" s="2">
        <f ca="1"/>
        <v>0.42911897537032845</v>
      </c>
      <c r="X5177" s="2">
        <f ca="1"/>
        <v>64.56760101882972</v>
      </c>
      <c r="AG5177" s="2">
        <f ca="1"/>
        <v>0.28816195574583037</v>
      </c>
      <c r="AH5177" s="2" t="str">
        <f ca="1"/>
        <v>OK</v>
      </c>
    </row>
    <row r="5178" spans="2:34">
      <c r="B5178" s="2">
        <f ca="1"/>
        <v>0.32909756167244297</v>
      </c>
      <c r="O5178" s="2">
        <f ca="1"/>
        <v>0.84186536345529461</v>
      </c>
      <c r="X5178" s="2">
        <f ca="1"/>
        <v>26.854500133282141</v>
      </c>
      <c r="AG5178" s="2">
        <f ca="1"/>
        <v>0.8562455918893217</v>
      </c>
      <c r="AH5178" s="2" t="str">
        <f ca="1"/>
        <v>Bad</v>
      </c>
    </row>
    <row r="5179" spans="2:34">
      <c r="B5179" s="2">
        <f ca="1"/>
        <v>0.79922445450675683</v>
      </c>
      <c r="O5179" s="2">
        <f ca="1"/>
        <v>-1.3697673113027229</v>
      </c>
      <c r="X5179" s="2">
        <f ca="1"/>
        <v>64.420206951077702</v>
      </c>
      <c r="AG5179" s="2">
        <f ca="1"/>
        <v>4.4896996262191458E-3</v>
      </c>
      <c r="AH5179" s="2" t="str">
        <f ca="1"/>
        <v>Good</v>
      </c>
    </row>
    <row r="5180" spans="2:34">
      <c r="B5180" s="2">
        <f ca="1"/>
        <v>0.58863125783390369</v>
      </c>
      <c r="O5180" s="2">
        <f ca="1"/>
        <v>0.10922256273270743</v>
      </c>
      <c r="X5180" s="2">
        <f ca="1"/>
        <v>68.011531509601127</v>
      </c>
      <c r="AG5180" s="2">
        <f ca="1"/>
        <v>0.45671869137860899</v>
      </c>
      <c r="AH5180" s="2" t="str">
        <f ca="1"/>
        <v>Bad</v>
      </c>
    </row>
    <row r="5181" spans="2:34">
      <c r="B5181" s="2">
        <f ca="1"/>
        <v>0.68303237347135637</v>
      </c>
      <c r="O5181" s="2">
        <f ca="1"/>
        <v>1.1484671391437296</v>
      </c>
      <c r="X5181" s="2">
        <f ca="1"/>
        <v>65.387682166091722</v>
      </c>
      <c r="AG5181" s="2">
        <f ca="1"/>
        <v>0.28503410640011784</v>
      </c>
      <c r="AH5181" s="2" t="str">
        <f ca="1"/>
        <v>OK</v>
      </c>
    </row>
    <row r="5182" spans="2:34">
      <c r="B5182" s="2">
        <f ca="1"/>
        <v>0.22320205706524976</v>
      </c>
      <c r="O5182" s="2">
        <f ca="1"/>
        <v>0.29485206734534836</v>
      </c>
      <c r="X5182" s="2">
        <f ca="1"/>
        <v>31.072660333816899</v>
      </c>
      <c r="AG5182" s="2">
        <f ca="1"/>
        <v>0.77779879359422543</v>
      </c>
      <c r="AH5182" s="2" t="str">
        <f ca="1"/>
        <v>Bad</v>
      </c>
    </row>
    <row r="5183" spans="2:34">
      <c r="B5183" s="2">
        <f ca="1"/>
        <v>0.72478716946867094</v>
      </c>
      <c r="O5183" s="2">
        <f ca="1"/>
        <v>0.37441283041170775</v>
      </c>
      <c r="X5183" s="2">
        <f ca="1"/>
        <v>55.6600594176426</v>
      </c>
      <c r="AG5183" s="2">
        <f ca="1"/>
        <v>0.61291010091193998</v>
      </c>
      <c r="AH5183" s="2" t="str">
        <f ca="1"/>
        <v>Bad</v>
      </c>
    </row>
    <row r="5184" spans="2:34">
      <c r="B5184" s="2">
        <f ca="1"/>
        <v>0.12619095929078061</v>
      </c>
      <c r="O5184" s="2">
        <f ca="1"/>
        <v>-0.97010479137043826</v>
      </c>
      <c r="X5184" s="2">
        <f ca="1"/>
        <v>45.102957906386649</v>
      </c>
      <c r="AG5184" s="2">
        <f ca="1"/>
        <v>0.46793999984652679</v>
      </c>
      <c r="AH5184" s="2" t="str">
        <f ca="1"/>
        <v>Bad</v>
      </c>
    </row>
    <row r="5185" spans="2:34">
      <c r="B5185" s="2">
        <f ca="1"/>
        <v>0.68222858565191191</v>
      </c>
      <c r="O5185" s="2">
        <f ca="1"/>
        <v>-1.1445878576755932</v>
      </c>
      <c r="X5185" s="2">
        <f ca="1"/>
        <v>42.606623981058817</v>
      </c>
      <c r="AG5185" s="2">
        <f ca="1"/>
        <v>0.97971750689082771</v>
      </c>
      <c r="AH5185" s="2" t="str">
        <f ca="1"/>
        <v>Bad</v>
      </c>
    </row>
    <row r="5186" spans="2:34">
      <c r="B5186" s="2">
        <f ca="1"/>
        <v>0.11489671652696987</v>
      </c>
      <c r="O5186" s="2">
        <f ca="1"/>
        <v>-0.30192181746828795</v>
      </c>
      <c r="X5186" s="2">
        <f ca="1"/>
        <v>24.429910147157248</v>
      </c>
      <c r="AG5186" s="2">
        <f ca="1"/>
        <v>0.97370633847223442</v>
      </c>
      <c r="AH5186" s="2" t="str">
        <f ca="1"/>
        <v>Bad</v>
      </c>
    </row>
    <row r="5187" spans="2:34">
      <c r="B5187" s="2">
        <f ca="1"/>
        <v>0.23945903191073592</v>
      </c>
      <c r="O5187" s="2">
        <f ca="1"/>
        <v>-7.3600775344874539E-2</v>
      </c>
      <c r="X5187" s="2">
        <f ca="1"/>
        <v>46.665490610500662</v>
      </c>
      <c r="AG5187" s="2">
        <f ca="1"/>
        <v>0.68770907574547802</v>
      </c>
      <c r="AH5187" s="2" t="str">
        <f ca="1"/>
        <v>Bad</v>
      </c>
    </row>
    <row r="5188" spans="2:34">
      <c r="B5188" s="2">
        <f ca="1"/>
        <v>0.22942154850587526</v>
      </c>
      <c r="O5188" s="2">
        <f ca="1"/>
        <v>-0.55753043165490224</v>
      </c>
      <c r="X5188" s="2">
        <f ca="1"/>
        <v>34.135265396705449</v>
      </c>
      <c r="AG5188" s="2">
        <f ca="1"/>
        <v>0.1943748271553396</v>
      </c>
      <c r="AH5188" s="2" t="str">
        <f ca="1"/>
        <v>OK</v>
      </c>
    </row>
    <row r="5189" spans="2:34">
      <c r="B5189" s="2">
        <f ca="1"/>
        <v>8.2495105154880788E-2</v>
      </c>
      <c r="O5189" s="2">
        <f ca="1"/>
        <v>1.1906204721663307</v>
      </c>
      <c r="X5189" s="2">
        <f ca="1"/>
        <v>66.699094720782</v>
      </c>
      <c r="AG5189" s="2">
        <f ca="1"/>
        <v>5.7425278293395055E-2</v>
      </c>
      <c r="AH5189" s="2" t="str">
        <f ca="1"/>
        <v>OK</v>
      </c>
    </row>
    <row r="5190" spans="2:34">
      <c r="B5190" s="2">
        <f ca="1"/>
        <v>0.4625220987800529</v>
      </c>
      <c r="O5190" s="2">
        <f ca="1"/>
        <v>-0.89608708901318668</v>
      </c>
      <c r="X5190" s="2">
        <f ca="1"/>
        <v>56.299471093533356</v>
      </c>
      <c r="AG5190" s="2">
        <f ca="1"/>
        <v>0.96559407177356138</v>
      </c>
      <c r="AH5190" s="2" t="str">
        <f ca="1"/>
        <v>Bad</v>
      </c>
    </row>
    <row r="5191" spans="2:34">
      <c r="B5191" s="2">
        <f ca="1"/>
        <v>0.71746084931592202</v>
      </c>
      <c r="O5191" s="2">
        <f ca="1"/>
        <v>-0.8002922471355759</v>
      </c>
      <c r="X5191" s="2">
        <f ca="1"/>
        <v>67.301238422464436</v>
      </c>
      <c r="AG5191" s="2">
        <f ca="1"/>
        <v>6.4952946958565905E-2</v>
      </c>
      <c r="AH5191" s="2" t="str">
        <f ca="1"/>
        <v>OK</v>
      </c>
    </row>
    <row r="5192" spans="2:34">
      <c r="B5192" s="2">
        <f ca="1"/>
        <v>0.68529688533045574</v>
      </c>
      <c r="O5192" s="2">
        <f ca="1"/>
        <v>0.29716763149719261</v>
      </c>
      <c r="X5192" s="2">
        <f ca="1"/>
        <v>45.204330128510001</v>
      </c>
      <c r="AG5192" s="2">
        <f ca="1"/>
        <v>0.66265796077773786</v>
      </c>
      <c r="AH5192" s="2" t="str">
        <f ca="1"/>
        <v>Bad</v>
      </c>
    </row>
    <row r="5193" spans="2:34">
      <c r="B5193" s="2">
        <f ca="1"/>
        <v>0.65964541658264064</v>
      </c>
      <c r="O5193" s="2">
        <f ca="1"/>
        <v>0.18995938120133377</v>
      </c>
      <c r="X5193" s="2">
        <f ca="1"/>
        <v>64.582956757231017</v>
      </c>
      <c r="AG5193" s="2">
        <f ca="1"/>
        <v>0.41422451683631589</v>
      </c>
      <c r="AH5193" s="2" t="str">
        <f ca="1"/>
        <v>Bad</v>
      </c>
    </row>
    <row r="5194" spans="2:34">
      <c r="B5194" s="2">
        <f ca="1"/>
        <v>0.90654203388835208</v>
      </c>
      <c r="O5194" s="2">
        <f ca="1"/>
        <v>0.55671256164413097</v>
      </c>
      <c r="X5194" s="2">
        <f ca="1"/>
        <v>26.534948029177094</v>
      </c>
      <c r="AG5194" s="2">
        <f ca="1"/>
        <v>0.96337792513747611</v>
      </c>
      <c r="AH5194" s="2" t="str">
        <f ca="1"/>
        <v>Bad</v>
      </c>
    </row>
    <row r="5195" spans="2:34">
      <c r="B5195" s="2">
        <f ca="1"/>
        <v>4.9263917745689945E-4</v>
      </c>
      <c r="O5195" s="2">
        <f ca="1"/>
        <v>-0.36347933853634196</v>
      </c>
      <c r="X5195" s="2">
        <f ca="1"/>
        <v>35.38812313241575</v>
      </c>
      <c r="AG5195" s="2">
        <f ca="1"/>
        <v>0.55674312391601233</v>
      </c>
      <c r="AH5195" s="2" t="str">
        <f ca="1"/>
        <v>Bad</v>
      </c>
    </row>
    <row r="5196" spans="2:34">
      <c r="B5196" s="2">
        <f ca="1"/>
        <v>0.42990061519377964</v>
      </c>
      <c r="O5196" s="2">
        <f ca="1"/>
        <v>-0.68753220889454125</v>
      </c>
      <c r="X5196" s="2">
        <f ca="1"/>
        <v>81.450561010210421</v>
      </c>
      <c r="AG5196" s="2">
        <f ca="1"/>
        <v>0.61658541760720276</v>
      </c>
      <c r="AH5196" s="2" t="str">
        <f ca="1"/>
        <v>Bad</v>
      </c>
    </row>
    <row r="5197" spans="2:34">
      <c r="B5197" s="2">
        <f ca="1"/>
        <v>0.72645984652151174</v>
      </c>
      <c r="O5197" s="2">
        <f ca="1"/>
        <v>9.5505762707049871E-2</v>
      </c>
      <c r="X5197" s="2">
        <f ca="1"/>
        <v>27.305761779702845</v>
      </c>
      <c r="AG5197" s="2">
        <f ca="1"/>
        <v>0.85385714853887129</v>
      </c>
      <c r="AH5197" s="2" t="str">
        <f ca="1"/>
        <v>Bad</v>
      </c>
    </row>
    <row r="5198" spans="2:34">
      <c r="B5198" s="2">
        <f ca="1"/>
        <v>0.13350286298548131</v>
      </c>
      <c r="O5198" s="2">
        <f ca="1"/>
        <v>-0.56354011264134518</v>
      </c>
      <c r="X5198" s="2">
        <f ca="1"/>
        <v>81.680388430798644</v>
      </c>
      <c r="AG5198" s="2">
        <f ca="1"/>
        <v>0.62244508235466123</v>
      </c>
      <c r="AH5198" s="2" t="str">
        <f ca="1"/>
        <v>Bad</v>
      </c>
    </row>
    <row r="5199" spans="2:34">
      <c r="B5199" s="2">
        <f ca="1"/>
        <v>0.38069247911575976</v>
      </c>
      <c r="O5199" s="2">
        <f ca="1"/>
        <v>0.5991175703002688</v>
      </c>
      <c r="X5199" s="2">
        <f ca="1"/>
        <v>37.592299161789455</v>
      </c>
      <c r="AG5199" s="2">
        <f ca="1"/>
        <v>0.36310567772162861</v>
      </c>
      <c r="AH5199" s="2" t="str">
        <f ca="1"/>
        <v>OK</v>
      </c>
    </row>
    <row r="5200" spans="2:34">
      <c r="B5200" s="2">
        <f ca="1"/>
        <v>0.66288209244333163</v>
      </c>
      <c r="O5200" s="2">
        <f ca="1"/>
        <v>1.6168793770694809</v>
      </c>
      <c r="X5200" s="2">
        <f ca="1"/>
        <v>35.079510258894871</v>
      </c>
      <c r="AG5200" s="2">
        <f ca="1"/>
        <v>0.70480714333017058</v>
      </c>
      <c r="AH5200" s="2" t="str">
        <f ca="1"/>
        <v>Bad</v>
      </c>
    </row>
    <row r="5201" spans="2:34">
      <c r="B5201" s="2">
        <f ca="1"/>
        <v>0.60698003126572209</v>
      </c>
      <c r="O5201" s="2">
        <f ca="1"/>
        <v>0.18216393568597347</v>
      </c>
      <c r="X5201" s="2">
        <f ca="1"/>
        <v>42.95159974516104</v>
      </c>
      <c r="AG5201" s="2">
        <f ca="1"/>
        <v>0.69268789287652588</v>
      </c>
      <c r="AH5201" s="2" t="str">
        <f ca="1"/>
        <v>Bad</v>
      </c>
    </row>
    <row r="5202" spans="2:34">
      <c r="B5202" s="2">
        <f ca="1"/>
        <v>0.36078336432905478</v>
      </c>
      <c r="O5202" s="2">
        <f ca="1"/>
        <v>1.0456505149954445</v>
      </c>
      <c r="X5202" s="2">
        <f ca="1"/>
        <v>61.466556825547286</v>
      </c>
      <c r="AG5202" s="2">
        <f ca="1"/>
        <v>0.89934648865723799</v>
      </c>
      <c r="AH5202" s="2" t="str">
        <f ca="1"/>
        <v>Bad</v>
      </c>
    </row>
    <row r="5203" spans="2:34">
      <c r="B5203" s="2">
        <f ca="1"/>
        <v>0.83627005959641676</v>
      </c>
      <c r="O5203" s="2">
        <f ca="1"/>
        <v>-0.85484679459609714</v>
      </c>
      <c r="X5203" s="2">
        <f ca="1"/>
        <v>57.257159720362097</v>
      </c>
      <c r="AG5203" s="2">
        <f ca="1"/>
        <v>4.577483854300346E-2</v>
      </c>
      <c r="AH5203" s="2" t="str">
        <f ca="1"/>
        <v>Good</v>
      </c>
    </row>
    <row r="5204" spans="2:34">
      <c r="B5204" s="2">
        <f ca="1"/>
        <v>0.7673313221612974</v>
      </c>
      <c r="O5204" s="2">
        <f ca="1"/>
        <v>3.4767326133113784E-3</v>
      </c>
      <c r="X5204" s="2">
        <f ca="1"/>
        <v>51.269554224389324</v>
      </c>
      <c r="AG5204" s="2">
        <f ca="1"/>
        <v>0.7718465422953884</v>
      </c>
      <c r="AH5204" s="2" t="str">
        <f ca="1"/>
        <v>Bad</v>
      </c>
    </row>
    <row r="5205" spans="2:34">
      <c r="B5205" s="2">
        <f ca="1"/>
        <v>0.69455127756351343</v>
      </c>
      <c r="O5205" s="2">
        <f ca="1"/>
        <v>1.4240139297305174</v>
      </c>
      <c r="X5205" s="2">
        <f ca="1"/>
        <v>67.507785736975862</v>
      </c>
      <c r="AG5205" s="2">
        <f ca="1"/>
        <v>0.93664728660417329</v>
      </c>
      <c r="AH5205" s="2" t="str">
        <f ca="1"/>
        <v>Bad</v>
      </c>
    </row>
    <row r="5206" spans="2:34">
      <c r="B5206" s="2">
        <f ca="1"/>
        <v>0.29308261925910961</v>
      </c>
      <c r="O5206" s="2">
        <f ca="1"/>
        <v>-0.79383408890601059</v>
      </c>
      <c r="X5206" s="2">
        <f ca="1"/>
        <v>50.879948170158436</v>
      </c>
      <c r="AG5206" s="2">
        <f ca="1"/>
        <v>0.41402135259088046</v>
      </c>
      <c r="AH5206" s="2" t="str">
        <f ca="1"/>
        <v>Bad</v>
      </c>
    </row>
    <row r="5207" spans="2:34">
      <c r="B5207" s="2">
        <f ca="1"/>
        <v>0.86258592654153143</v>
      </c>
      <c r="O5207" s="2">
        <f ca="1"/>
        <v>1.1008357321437181</v>
      </c>
      <c r="X5207" s="2">
        <f ca="1"/>
        <v>69.822667379295751</v>
      </c>
      <c r="AG5207" s="2">
        <f ca="1"/>
        <v>0.17188197337994637</v>
      </c>
      <c r="AH5207" s="2" t="str">
        <f ca="1"/>
        <v>OK</v>
      </c>
    </row>
    <row r="5208" spans="2:34">
      <c r="B5208" s="2">
        <f ca="1"/>
        <v>0.45047046836926286</v>
      </c>
      <c r="O5208" s="2">
        <f ca="1"/>
        <v>0.26669989199565591</v>
      </c>
      <c r="X5208" s="2">
        <f ca="1"/>
        <v>25.149694532084546</v>
      </c>
      <c r="AG5208" s="2">
        <f ca="1"/>
        <v>0.2912302713135726</v>
      </c>
      <c r="AH5208" s="2" t="str">
        <f ca="1"/>
        <v>OK</v>
      </c>
    </row>
    <row r="5209" spans="2:34">
      <c r="B5209" s="2">
        <f ca="1"/>
        <v>0.74313347299593491</v>
      </c>
      <c r="O5209" s="2">
        <f ca="1"/>
        <v>-6.1552654223813258E-2</v>
      </c>
      <c r="X5209" s="2">
        <f ca="1"/>
        <v>53.420247641276511</v>
      </c>
      <c r="AG5209" s="2">
        <f ca="1"/>
        <v>0.19736141972437293</v>
      </c>
      <c r="AH5209" s="2" t="str">
        <f ca="1"/>
        <v>OK</v>
      </c>
    </row>
    <row r="5210" spans="2:34">
      <c r="B5210" s="2">
        <f ca="1"/>
        <v>5.3677009325894698E-2</v>
      </c>
      <c r="O5210" s="2">
        <f ca="1"/>
        <v>-1.4481893953680431</v>
      </c>
      <c r="X5210" s="2">
        <f ca="1"/>
        <v>40.096280156520471</v>
      </c>
      <c r="AG5210" s="2">
        <f ca="1"/>
        <v>0.98251333275203256</v>
      </c>
      <c r="AH5210" s="2" t="str">
        <f ca="1"/>
        <v>Bad</v>
      </c>
    </row>
    <row r="5211" spans="2:34">
      <c r="B5211" s="2">
        <f ca="1"/>
        <v>0.5904699500937256</v>
      </c>
      <c r="O5211" s="2">
        <f ca="1"/>
        <v>0.33558007767045267</v>
      </c>
      <c r="X5211" s="2">
        <f ca="1"/>
        <v>54.778861214687346</v>
      </c>
      <c r="AG5211" s="2">
        <f ca="1"/>
        <v>0.56584324076686987</v>
      </c>
      <c r="AH5211" s="2" t="str">
        <f ca="1"/>
        <v>Bad</v>
      </c>
    </row>
    <row r="5212" spans="2:34">
      <c r="B5212" s="2">
        <f ca="1"/>
        <v>3.6155244564308742E-2</v>
      </c>
      <c r="O5212" s="2">
        <f ca="1"/>
        <v>-2.1925107097180381</v>
      </c>
      <c r="X5212" s="2">
        <f ca="1"/>
        <v>43.247624775538142</v>
      </c>
      <c r="AG5212" s="2">
        <f ca="1"/>
        <v>0.59581240365466748</v>
      </c>
      <c r="AH5212" s="2" t="str">
        <f ca="1"/>
        <v>Bad</v>
      </c>
    </row>
    <row r="5213" spans="2:34">
      <c r="B5213" s="2">
        <f ca="1"/>
        <v>0.7287126030286688</v>
      </c>
      <c r="O5213" s="2">
        <f ca="1"/>
        <v>-0.90437073481858976</v>
      </c>
      <c r="X5213" s="2">
        <f ca="1"/>
        <v>54.665792237655367</v>
      </c>
      <c r="AG5213" s="2">
        <f ca="1"/>
        <v>0.41124228553027797</v>
      </c>
      <c r="AH5213" s="2" t="str">
        <f ca="1"/>
        <v>Bad</v>
      </c>
    </row>
    <row r="5214" spans="2:34">
      <c r="B5214" s="2">
        <f ca="1"/>
        <v>0.25182573400072839</v>
      </c>
      <c r="O5214" s="2">
        <f ca="1"/>
        <v>0.64085829257993776</v>
      </c>
      <c r="X5214" s="2">
        <f ca="1"/>
        <v>39.001864845961208</v>
      </c>
      <c r="AG5214" s="2">
        <f ca="1"/>
        <v>0.43733829953047665</v>
      </c>
      <c r="AH5214" s="2" t="str">
        <f ca="1"/>
        <v>Bad</v>
      </c>
    </row>
    <row r="5215" spans="2:34">
      <c r="B5215" s="2">
        <f ca="1"/>
        <v>0.37936761174291456</v>
      </c>
      <c r="O5215" s="2">
        <f ca="1"/>
        <v>-1.8515270828168922</v>
      </c>
      <c r="X5215" s="2">
        <f ca="1"/>
        <v>72.542903187372204</v>
      </c>
      <c r="AG5215" s="2">
        <f ca="1"/>
        <v>0.76658977174779053</v>
      </c>
      <c r="AH5215" s="2" t="str">
        <f ca="1"/>
        <v>Bad</v>
      </c>
    </row>
    <row r="5216" spans="2:34">
      <c r="B5216" s="2">
        <f ca="1"/>
        <v>0.55504551440332595</v>
      </c>
      <c r="O5216" s="2">
        <f ca="1"/>
        <v>1.251590411848795</v>
      </c>
      <c r="X5216" s="2">
        <f ca="1"/>
        <v>29.587091657208497</v>
      </c>
      <c r="AG5216" s="2">
        <f ca="1"/>
        <v>0.37170576857612181</v>
      </c>
      <c r="AH5216" s="2" t="str">
        <f ca="1"/>
        <v>OK</v>
      </c>
    </row>
    <row r="5217" spans="2:34">
      <c r="B5217" s="2">
        <f ca="1"/>
        <v>0.36067143357637121</v>
      </c>
      <c r="O5217" s="2">
        <f ca="1"/>
        <v>-9.2799604453548068E-2</v>
      </c>
      <c r="X5217" s="2">
        <f ca="1"/>
        <v>63.740628808562121</v>
      </c>
      <c r="AG5217" s="2">
        <f ca="1"/>
        <v>0.25333719144186939</v>
      </c>
      <c r="AH5217" s="2" t="str">
        <f ca="1"/>
        <v>OK</v>
      </c>
    </row>
    <row r="5218" spans="2:34">
      <c r="B5218" s="2">
        <f ca="1"/>
        <v>2.388485549165309E-2</v>
      </c>
      <c r="O5218" s="2">
        <f ca="1"/>
        <v>-0.23642393364456671</v>
      </c>
      <c r="X5218" s="2">
        <f ca="1"/>
        <v>75.33594668361485</v>
      </c>
      <c r="AG5218" s="2">
        <f ca="1"/>
        <v>2.8663131381079676E-2</v>
      </c>
      <c r="AH5218" s="2" t="str">
        <f ca="1"/>
        <v>Good</v>
      </c>
    </row>
    <row r="5219" spans="2:34">
      <c r="B5219" s="2">
        <f ca="1"/>
        <v>3.5608047960135059E-2</v>
      </c>
      <c r="O5219" s="2">
        <f ca="1"/>
        <v>-1.9576994949033077</v>
      </c>
      <c r="X5219" s="2">
        <f ca="1"/>
        <v>32.497949174872439</v>
      </c>
      <c r="AG5219" s="2">
        <f ca="1"/>
        <v>0.33030085619574101</v>
      </c>
      <c r="AH5219" s="2" t="str">
        <f ca="1"/>
        <v>OK</v>
      </c>
    </row>
    <row r="5220" spans="2:34">
      <c r="B5220" s="2">
        <f ca="1"/>
        <v>0.950244133614774</v>
      </c>
      <c r="O5220" s="2">
        <f ca="1"/>
        <v>-6.4851462347955469E-2</v>
      </c>
      <c r="X5220" s="2">
        <f ca="1"/>
        <v>39.69782755601863</v>
      </c>
      <c r="AG5220" s="2">
        <f ca="1"/>
        <v>0.44098311282768621</v>
      </c>
      <c r="AH5220" s="2" t="str">
        <f ca="1"/>
        <v>Bad</v>
      </c>
    </row>
    <row r="5221" spans="2:34">
      <c r="B5221" s="2">
        <f ca="1"/>
        <v>0.52640307900379812</v>
      </c>
      <c r="O5221" s="2">
        <f ca="1"/>
        <v>-4.8129659673916267E-3</v>
      </c>
      <c r="X5221" s="2">
        <f ca="1"/>
        <v>51.407381318877469</v>
      </c>
      <c r="AG5221" s="2">
        <f ca="1"/>
        <v>0.40702675593572279</v>
      </c>
      <c r="AH5221" s="2" t="str">
        <f ca="1"/>
        <v>Bad</v>
      </c>
    </row>
    <row r="5222" spans="2:34">
      <c r="B5222" s="2">
        <f ca="1"/>
        <v>0.31969862612357991</v>
      </c>
      <c r="O5222" s="2">
        <f ca="1"/>
        <v>-0.19058374156638608</v>
      </c>
      <c r="X5222" s="2">
        <f ca="1"/>
        <v>40.863626372323914</v>
      </c>
      <c r="AG5222" s="2">
        <f ca="1"/>
        <v>0.60049178775040501</v>
      </c>
      <c r="AH5222" s="2" t="str">
        <f ca="1"/>
        <v>Bad</v>
      </c>
    </row>
    <row r="5223" spans="2:34">
      <c r="B5223" s="2">
        <f ca="1"/>
        <v>0.54085672137577556</v>
      </c>
      <c r="O5223" s="2">
        <f ca="1"/>
        <v>-1.4169411209333449</v>
      </c>
      <c r="X5223" s="2">
        <f ca="1"/>
        <v>69.318577167105346</v>
      </c>
      <c r="AG5223" s="2">
        <f ca="1"/>
        <v>0.56319332965311486</v>
      </c>
      <c r="AH5223" s="2" t="str">
        <f ca="1"/>
        <v>Bad</v>
      </c>
    </row>
    <row r="5224" spans="2:34">
      <c r="B5224" s="2">
        <f ca="1"/>
        <v>0.36278143174072119</v>
      </c>
      <c r="O5224" s="2">
        <f ca="1"/>
        <v>-1.201718271036601</v>
      </c>
      <c r="X5224" s="2">
        <f ca="1"/>
        <v>45.042735142947336</v>
      </c>
      <c r="AG5224" s="2">
        <f ca="1"/>
        <v>0.91767193185652807</v>
      </c>
      <c r="AH5224" s="2" t="str">
        <f ca="1"/>
        <v>Bad</v>
      </c>
    </row>
    <row r="5225" spans="2:34">
      <c r="B5225" s="2">
        <f ca="1"/>
        <v>0.13256389547150826</v>
      </c>
      <c r="O5225" s="2">
        <f ca="1"/>
        <v>1.0044664024376619</v>
      </c>
      <c r="X5225" s="2">
        <f ca="1"/>
        <v>61.638887807536669</v>
      </c>
      <c r="AG5225" s="2">
        <f ca="1"/>
        <v>0.14087772928801323</v>
      </c>
      <c r="AH5225" s="2" t="str">
        <f ca="1"/>
        <v>OK</v>
      </c>
    </row>
    <row r="5226" spans="2:34">
      <c r="B5226" s="2">
        <f ca="1"/>
        <v>5.180715938643643E-2</v>
      </c>
      <c r="O5226" s="2">
        <f ca="1"/>
        <v>-0.80732336542976169</v>
      </c>
      <c r="X5226" s="2">
        <f ca="1"/>
        <v>61.645571705591458</v>
      </c>
      <c r="AG5226" s="2">
        <f ca="1"/>
        <v>0.57836059699924558</v>
      </c>
      <c r="AH5226" s="2" t="str">
        <f ca="1"/>
        <v>Bad</v>
      </c>
    </row>
    <row r="5227" spans="2:34">
      <c r="B5227" s="2">
        <f ca="1"/>
        <v>0.38083217460047547</v>
      </c>
      <c r="O5227" s="2">
        <f ca="1"/>
        <v>0.95776115492056568</v>
      </c>
      <c r="X5227" s="2">
        <f ca="1"/>
        <v>61.971472567652704</v>
      </c>
      <c r="AG5227" s="2">
        <f ca="1"/>
        <v>0.78302086248702985</v>
      </c>
      <c r="AH5227" s="2" t="str">
        <f ca="1"/>
        <v>Bad</v>
      </c>
    </row>
    <row r="5228" spans="2:34">
      <c r="B5228" s="2">
        <f ca="1"/>
        <v>0.55030285970405979</v>
      </c>
      <c r="O5228" s="2">
        <f ca="1"/>
        <v>-0.62885693628617634</v>
      </c>
      <c r="X5228" s="2">
        <f ca="1"/>
        <v>70.497426062492934</v>
      </c>
      <c r="AG5228" s="2">
        <f ca="1"/>
        <v>8.9544370536370099E-2</v>
      </c>
      <c r="AH5228" s="2" t="str">
        <f ca="1"/>
        <v>OK</v>
      </c>
    </row>
    <row r="5229" spans="2:34">
      <c r="B5229" s="2">
        <f ca="1"/>
        <v>0.11054545690580819</v>
      </c>
      <c r="O5229" s="2">
        <f ca="1"/>
        <v>0.93312147905765175</v>
      </c>
      <c r="X5229" s="2">
        <f ca="1"/>
        <v>36.548475559656659</v>
      </c>
      <c r="AG5229" s="2">
        <f ca="1"/>
        <v>7.3405826251679684E-2</v>
      </c>
      <c r="AH5229" s="2" t="str">
        <f ca="1"/>
        <v>OK</v>
      </c>
    </row>
    <row r="5230" spans="2:34">
      <c r="B5230" s="2">
        <f ca="1"/>
        <v>0.30963626468466887</v>
      </c>
      <c r="O5230" s="2">
        <f ca="1"/>
        <v>5.4438437653627401E-2</v>
      </c>
      <c r="X5230" s="2">
        <f ca="1"/>
        <v>59.257698219444876</v>
      </c>
      <c r="AG5230" s="2">
        <f ca="1"/>
        <v>0.68846724387614811</v>
      </c>
      <c r="AH5230" s="2" t="str">
        <f ca="1"/>
        <v>Bad</v>
      </c>
    </row>
    <row r="5231" spans="2:34">
      <c r="B5231" s="2">
        <f ca="1"/>
        <v>0.38584654513448169</v>
      </c>
      <c r="O5231" s="2">
        <f ca="1"/>
        <v>-0.7549687327109551</v>
      </c>
      <c r="X5231" s="2">
        <f ca="1"/>
        <v>66.403119095962396</v>
      </c>
      <c r="AG5231" s="2">
        <f ca="1"/>
        <v>7.4475158245244089E-3</v>
      </c>
      <c r="AH5231" s="2" t="str">
        <f ca="1"/>
        <v>Good</v>
      </c>
    </row>
    <row r="5232" spans="2:34">
      <c r="B5232" s="2">
        <f ca="1"/>
        <v>2.2520509580628456E-2</v>
      </c>
      <c r="O5232" s="2">
        <f ca="1"/>
        <v>3.6995921058912175E-2</v>
      </c>
      <c r="X5232" s="2">
        <f ca="1"/>
        <v>63.395041415128205</v>
      </c>
      <c r="AG5232" s="2">
        <f ca="1"/>
        <v>0.84413734745142355</v>
      </c>
      <c r="AH5232" s="2" t="str">
        <f ca="1"/>
        <v>Bad</v>
      </c>
    </row>
    <row r="5233" spans="2:34">
      <c r="B5233" s="2">
        <f ca="1"/>
        <v>0.67252058244636759</v>
      </c>
      <c r="O5233" s="2">
        <f ca="1"/>
        <v>-0.48345612430072582</v>
      </c>
      <c r="X5233" s="2">
        <f ca="1"/>
        <v>37.620138594717616</v>
      </c>
      <c r="AG5233" s="2">
        <f ca="1"/>
        <v>0.86738377655711862</v>
      </c>
      <c r="AH5233" s="2" t="str">
        <f ca="1"/>
        <v>Bad</v>
      </c>
    </row>
    <row r="5234" spans="2:34">
      <c r="B5234" s="2">
        <f ca="1"/>
        <v>0.77611351041233334</v>
      </c>
      <c r="O5234" s="2">
        <f ca="1"/>
        <v>-1.5598906233883649</v>
      </c>
      <c r="X5234" s="2">
        <f ca="1"/>
        <v>71.536266603027002</v>
      </c>
      <c r="AG5234" s="2">
        <f ca="1"/>
        <v>0.91762786028412324</v>
      </c>
      <c r="AH5234" s="2" t="str">
        <f ca="1"/>
        <v>Bad</v>
      </c>
    </row>
    <row r="5235" spans="2:34">
      <c r="B5235" s="2">
        <f ca="1"/>
        <v>0.67861246851317558</v>
      </c>
      <c r="O5235" s="2">
        <f ca="1"/>
        <v>2.6923846404382727</v>
      </c>
      <c r="X5235" s="2">
        <f ca="1"/>
        <v>39.815198738286817</v>
      </c>
      <c r="AG5235" s="2">
        <f ca="1"/>
        <v>0.64951480618797208</v>
      </c>
      <c r="AH5235" s="2" t="str">
        <f ca="1"/>
        <v>Bad</v>
      </c>
    </row>
    <row r="5236" spans="2:34">
      <c r="B5236" s="2">
        <f ca="1"/>
        <v>0.26095073397942548</v>
      </c>
      <c r="O5236" s="2">
        <f ca="1"/>
        <v>-0.98817257134074632</v>
      </c>
      <c r="X5236" s="2">
        <f ca="1"/>
        <v>67.934865130338608</v>
      </c>
      <c r="AG5236" s="2">
        <f ca="1"/>
        <v>0.16927382642248823</v>
      </c>
      <c r="AH5236" s="2" t="str">
        <f ca="1"/>
        <v>OK</v>
      </c>
    </row>
    <row r="5237" spans="2:34">
      <c r="B5237" s="2">
        <f ca="1"/>
        <v>0.2548369028133588</v>
      </c>
      <c r="O5237" s="2">
        <f ca="1"/>
        <v>-1.8377357935669525</v>
      </c>
      <c r="X5237" s="2">
        <f ca="1"/>
        <v>64.72157082693893</v>
      </c>
      <c r="AG5237" s="2">
        <f ca="1"/>
        <v>0.55540751510201769</v>
      </c>
      <c r="AH5237" s="2" t="str">
        <f ca="1"/>
        <v>Bad</v>
      </c>
    </row>
    <row r="5238" spans="2:34">
      <c r="B5238" s="2">
        <f ca="1"/>
        <v>0.75646574671699152</v>
      </c>
      <c r="O5238" s="2">
        <f ca="1"/>
        <v>-0.70096083819356469</v>
      </c>
      <c r="X5238" s="2">
        <f ca="1"/>
        <v>62.008722277041876</v>
      </c>
      <c r="AG5238" s="2">
        <f ca="1"/>
        <v>0.12550749541360862</v>
      </c>
      <c r="AH5238" s="2" t="str">
        <f ca="1"/>
        <v>OK</v>
      </c>
    </row>
    <row r="5239" spans="2:34">
      <c r="B5239" s="2">
        <f ca="1"/>
        <v>0.80760843645874503</v>
      </c>
      <c r="O5239" s="2">
        <f ca="1"/>
        <v>-0.50242320381902705</v>
      </c>
      <c r="X5239" s="2">
        <f ca="1"/>
        <v>22.585156556458081</v>
      </c>
      <c r="AG5239" s="2">
        <f ca="1"/>
        <v>0.74179988364684935</v>
      </c>
      <c r="AH5239" s="2" t="str">
        <f ca="1"/>
        <v>Bad</v>
      </c>
    </row>
    <row r="5240" spans="2:34">
      <c r="B5240" s="2">
        <f ca="1"/>
        <v>0.23891436265809141</v>
      </c>
      <c r="O5240" s="2">
        <f ca="1"/>
        <v>-0.14252904031630861</v>
      </c>
      <c r="X5240" s="2">
        <f ca="1"/>
        <v>59.071605749518994</v>
      </c>
      <c r="AG5240" s="2">
        <f ca="1"/>
        <v>0.87360738300390883</v>
      </c>
      <c r="AH5240" s="2" t="str">
        <f ca="1"/>
        <v>Bad</v>
      </c>
    </row>
    <row r="5241" spans="2:34">
      <c r="B5241" s="2">
        <f ca="1"/>
        <v>0.75948816992818524</v>
      </c>
      <c r="O5241" s="2">
        <f ca="1"/>
        <v>-0.37821486486943556</v>
      </c>
      <c r="X5241" s="2">
        <f ca="1"/>
        <v>36.366262666219015</v>
      </c>
      <c r="AG5241" s="2">
        <f ca="1"/>
        <v>0.73396314673787955</v>
      </c>
      <c r="AH5241" s="2" t="str">
        <f ca="1"/>
        <v>Bad</v>
      </c>
    </row>
    <row r="5242" spans="2:34">
      <c r="B5242" s="2">
        <f ca="1"/>
        <v>0.307311337233797</v>
      </c>
      <c r="O5242" s="2">
        <f ca="1"/>
        <v>-9.163398792593265E-2</v>
      </c>
      <c r="X5242" s="2">
        <f ca="1"/>
        <v>40.138067060856216</v>
      </c>
      <c r="AG5242" s="2">
        <f ca="1"/>
        <v>0.47748875082439812</v>
      </c>
      <c r="AH5242" s="2" t="str">
        <f ca="1"/>
        <v>Bad</v>
      </c>
    </row>
    <row r="5243" spans="2:34">
      <c r="B5243" s="2">
        <f ca="1"/>
        <v>0.21371015121386083</v>
      </c>
      <c r="O5243" s="2">
        <f ca="1"/>
        <v>-2.0719327370576468</v>
      </c>
      <c r="X5243" s="2">
        <f ca="1"/>
        <v>61.665911127695125</v>
      </c>
      <c r="AG5243" s="2">
        <f ca="1"/>
        <v>5.8188279174047119E-2</v>
      </c>
      <c r="AH5243" s="2" t="str">
        <f ca="1"/>
        <v>OK</v>
      </c>
    </row>
    <row r="5244" spans="2:34">
      <c r="B5244" s="2">
        <f ca="1"/>
        <v>0.18907035480683332</v>
      </c>
      <c r="O5244" s="2">
        <f ca="1"/>
        <v>1.965648795087279E-2</v>
      </c>
      <c r="X5244" s="2">
        <f ca="1"/>
        <v>39.649934066389811</v>
      </c>
      <c r="AG5244" s="2">
        <f ca="1"/>
        <v>0.30025343998982956</v>
      </c>
      <c r="AH5244" s="2" t="str">
        <f ca="1"/>
        <v>OK</v>
      </c>
    </row>
    <row r="5245" spans="2:34">
      <c r="B5245" s="2">
        <f ca="1"/>
        <v>0.58949676527519901</v>
      </c>
      <c r="O5245" s="2">
        <f ca="1"/>
        <v>-0.6157973326461732</v>
      </c>
      <c r="X5245" s="2">
        <f ca="1"/>
        <v>39.467507868838084</v>
      </c>
      <c r="AG5245" s="2">
        <f ca="1"/>
        <v>0.88740221284401422</v>
      </c>
      <c r="AH5245" s="2" t="str">
        <f ca="1"/>
        <v>Bad</v>
      </c>
    </row>
    <row r="5246" spans="2:34">
      <c r="B5246" s="2">
        <f ca="1"/>
        <v>2.3874699723251958E-3</v>
      </c>
      <c r="O5246" s="2">
        <f ca="1"/>
        <v>0.21801605511482114</v>
      </c>
      <c r="X5246" s="2">
        <f ca="1"/>
        <v>43.785143786460516</v>
      </c>
      <c r="AG5246" s="2">
        <f ca="1"/>
        <v>0.29868048938190017</v>
      </c>
      <c r="AH5246" s="2" t="str">
        <f ca="1"/>
        <v>OK</v>
      </c>
    </row>
    <row r="5247" spans="2:34">
      <c r="B5247" s="2">
        <f ca="1"/>
        <v>0.75329465357673575</v>
      </c>
      <c r="O5247" s="2">
        <f ca="1"/>
        <v>-1.3220129862540009</v>
      </c>
      <c r="X5247" s="2">
        <f ca="1"/>
        <v>34.160214192820028</v>
      </c>
      <c r="AG5247" s="2">
        <f ca="1"/>
        <v>0.34669879121230518</v>
      </c>
      <c r="AH5247" s="2" t="str">
        <f ca="1"/>
        <v>OK</v>
      </c>
    </row>
    <row r="5248" spans="2:34">
      <c r="B5248" s="2">
        <f ca="1"/>
        <v>0.88463991014505838</v>
      </c>
      <c r="O5248" s="2">
        <f ca="1"/>
        <v>1.3137106017875733</v>
      </c>
      <c r="X5248" s="2">
        <f ca="1"/>
        <v>40.939919405250066</v>
      </c>
      <c r="AG5248" s="2">
        <f ca="1"/>
        <v>6.8378453324370092E-2</v>
      </c>
      <c r="AH5248" s="2" t="str">
        <f ca="1"/>
        <v>OK</v>
      </c>
    </row>
    <row r="5249" spans="2:34">
      <c r="B5249" s="2">
        <f ca="1"/>
        <v>0.62642403413173731</v>
      </c>
      <c r="O5249" s="2">
        <f ca="1"/>
        <v>-1.5944523049334947</v>
      </c>
      <c r="X5249" s="2">
        <f ca="1"/>
        <v>51.404361625549726</v>
      </c>
      <c r="AG5249" s="2">
        <f ca="1"/>
        <v>0.17135328790897031</v>
      </c>
      <c r="AH5249" s="2" t="str">
        <f ca="1"/>
        <v>OK</v>
      </c>
    </row>
    <row r="5250" spans="2:34">
      <c r="B5250" s="2">
        <f ca="1"/>
        <v>0.53791119351864625</v>
      </c>
      <c r="O5250" s="2">
        <f ca="1"/>
        <v>0.79496299847922036</v>
      </c>
      <c r="X5250" s="2">
        <f ca="1"/>
        <v>57.584569343378753</v>
      </c>
      <c r="AG5250" s="2">
        <f ca="1"/>
        <v>0.1113247978799079</v>
      </c>
      <c r="AH5250" s="2" t="str">
        <f ca="1"/>
        <v>OK</v>
      </c>
    </row>
    <row r="5251" spans="2:34">
      <c r="B5251" s="2">
        <f ca="1"/>
        <v>0.13743141488242427</v>
      </c>
      <c r="O5251" s="2">
        <f ca="1"/>
        <v>0.83979068046920069</v>
      </c>
      <c r="X5251" s="2">
        <f ca="1"/>
        <v>32.889961961792736</v>
      </c>
      <c r="AG5251" s="2">
        <f ca="1"/>
        <v>0.9685307241937291</v>
      </c>
      <c r="AH5251" s="2" t="str">
        <f ca="1"/>
        <v>Bad</v>
      </c>
    </row>
    <row r="5252" spans="2:34">
      <c r="B5252" s="2">
        <f ca="1"/>
        <v>0.28430821173143928</v>
      </c>
      <c r="O5252" s="2">
        <f ca="1"/>
        <v>0.5807283307575547</v>
      </c>
      <c r="X5252" s="2">
        <f ca="1"/>
        <v>60.708053489658212</v>
      </c>
      <c r="AG5252" s="2">
        <f ca="1"/>
        <v>0.63773326362626004</v>
      </c>
      <c r="AH5252" s="2" t="str">
        <f ca="1"/>
        <v>Bad</v>
      </c>
    </row>
    <row r="5253" spans="2:34">
      <c r="B5253" s="2">
        <f ca="1"/>
        <v>0.34278207391697668</v>
      </c>
      <c r="O5253" s="2">
        <f ca="1"/>
        <v>0.90431933085263283</v>
      </c>
      <c r="X5253" s="2">
        <f ca="1"/>
        <v>46.872560389639261</v>
      </c>
      <c r="AG5253" s="2">
        <f ca="1"/>
        <v>0.86598306721306773</v>
      </c>
      <c r="AH5253" s="2" t="str">
        <f ca="1"/>
        <v>Bad</v>
      </c>
    </row>
    <row r="5254" spans="2:34">
      <c r="B5254" s="2">
        <f ca="1"/>
        <v>0.84324008856275712</v>
      </c>
      <c r="O5254" s="2">
        <f ca="1"/>
        <v>1.323547783962149</v>
      </c>
      <c r="X5254" s="2">
        <f ca="1"/>
        <v>50.114439845866855</v>
      </c>
      <c r="AG5254" s="2">
        <f ca="1"/>
        <v>0.55798190727364938</v>
      </c>
      <c r="AH5254" s="2" t="str">
        <f ca="1"/>
        <v>Bad</v>
      </c>
    </row>
    <row r="5255" spans="2:34">
      <c r="B5255" s="2">
        <f ca="1"/>
        <v>0.79609945643391167</v>
      </c>
      <c r="O5255" s="2">
        <f ca="1"/>
        <v>0.69848783756351651</v>
      </c>
      <c r="X5255" s="2">
        <f ca="1"/>
        <v>27.706855050070097</v>
      </c>
      <c r="AG5255" s="2">
        <f ca="1"/>
        <v>0.58017890535201433</v>
      </c>
      <c r="AH5255" s="2" t="str">
        <f ca="1"/>
        <v>Bad</v>
      </c>
    </row>
    <row r="5256" spans="2:34">
      <c r="B5256" s="2">
        <f ca="1"/>
        <v>0.30334567889086905</v>
      </c>
      <c r="O5256" s="2">
        <f ca="1"/>
        <v>0.73625417711817198</v>
      </c>
      <c r="X5256" s="2">
        <f ca="1"/>
        <v>36.877114055792369</v>
      </c>
      <c r="AG5256" s="2">
        <f ca="1"/>
        <v>0.56610640624349928</v>
      </c>
      <c r="AH5256" s="2" t="str">
        <f ca="1"/>
        <v>Bad</v>
      </c>
    </row>
    <row r="5257" spans="2:34">
      <c r="B5257" s="2">
        <f ca="1"/>
        <v>0.10892983553245017</v>
      </c>
      <c r="O5257" s="2">
        <f ca="1"/>
        <v>1.1115784414555827</v>
      </c>
      <c r="X5257" s="2">
        <f ca="1"/>
        <v>47.555448180856999</v>
      </c>
      <c r="AG5257" s="2">
        <f ca="1"/>
        <v>0.17635760200425521</v>
      </c>
      <c r="AH5257" s="2" t="str">
        <f ca="1"/>
        <v>OK</v>
      </c>
    </row>
    <row r="5258" spans="2:34">
      <c r="B5258" s="2">
        <f ca="1"/>
        <v>1.7994188450243698E-2</v>
      </c>
      <c r="O5258" s="2">
        <f ca="1"/>
        <v>1.0438658187794727</v>
      </c>
      <c r="X5258" s="2">
        <f ca="1"/>
        <v>67.718596851644222</v>
      </c>
      <c r="AG5258" s="2">
        <f ca="1"/>
        <v>0.35721441566740619</v>
      </c>
      <c r="AH5258" s="2" t="str">
        <f ca="1"/>
        <v>OK</v>
      </c>
    </row>
    <row r="5259" spans="2:34">
      <c r="B5259" s="2">
        <f ca="1"/>
        <v>8.4506684506278518E-2</v>
      </c>
      <c r="O5259" s="2">
        <f ca="1"/>
        <v>0.93081798274907113</v>
      </c>
      <c r="X5259" s="2">
        <f ca="1"/>
        <v>44.247245316971878</v>
      </c>
      <c r="AG5259" s="2">
        <f ca="1"/>
        <v>0.81698236142563774</v>
      </c>
      <c r="AH5259" s="2" t="str">
        <f ca="1"/>
        <v>Bad</v>
      </c>
    </row>
    <row r="5260" spans="2:34">
      <c r="B5260" s="2">
        <f ca="1"/>
        <v>0.74708254096738114</v>
      </c>
      <c r="O5260" s="2">
        <f ca="1"/>
        <v>-0.52814169051604087</v>
      </c>
      <c r="X5260" s="2">
        <f ca="1"/>
        <v>56.373133058946777</v>
      </c>
      <c r="AG5260" s="2">
        <f ca="1"/>
        <v>0.94570763472102137</v>
      </c>
      <c r="AH5260" s="2" t="str">
        <f ca="1"/>
        <v>Bad</v>
      </c>
    </row>
    <row r="5261" spans="2:34">
      <c r="B5261" s="2">
        <f ca="1"/>
        <v>2.5383100006181269E-2</v>
      </c>
      <c r="O5261" s="2">
        <f ca="1"/>
        <v>2.0391366806933853</v>
      </c>
      <c r="X5261" s="2">
        <f ca="1"/>
        <v>40.35487063184511</v>
      </c>
      <c r="AG5261" s="2">
        <f ca="1"/>
        <v>6.8274262355228821E-2</v>
      </c>
      <c r="AH5261" s="2" t="str">
        <f ca="1"/>
        <v>OK</v>
      </c>
    </row>
    <row r="5262" spans="2:34">
      <c r="B5262" s="2">
        <f ca="1"/>
        <v>0.5275578070497744</v>
      </c>
      <c r="O5262" s="2">
        <f ca="1"/>
        <v>0.89280815329553342</v>
      </c>
      <c r="X5262" s="2">
        <f ca="1"/>
        <v>54.571200680784216</v>
      </c>
      <c r="AG5262" s="2">
        <f ca="1"/>
        <v>0.59497136232289627</v>
      </c>
      <c r="AH5262" s="2" t="str">
        <f ca="1"/>
        <v>Bad</v>
      </c>
    </row>
    <row r="5263" spans="2:34">
      <c r="B5263" s="2">
        <f ca="1"/>
        <v>0.78906341367256272</v>
      </c>
      <c r="O5263" s="2">
        <f ca="1"/>
        <v>-0.95066602808188372</v>
      </c>
      <c r="X5263" s="2">
        <f ca="1"/>
        <v>49.581287593278716</v>
      </c>
      <c r="AG5263" s="2">
        <f ca="1"/>
        <v>5.0937271889753388E-2</v>
      </c>
      <c r="AH5263" s="2" t="str">
        <f ca="1"/>
        <v>OK</v>
      </c>
    </row>
    <row r="5264" spans="2:34">
      <c r="B5264" s="2">
        <f ca="1"/>
        <v>0.11705092459835642</v>
      </c>
      <c r="O5264" s="2">
        <f ca="1"/>
        <v>1.6569296010592931</v>
      </c>
      <c r="X5264" s="2">
        <f ca="1"/>
        <v>29.081833786046435</v>
      </c>
      <c r="AG5264" s="2">
        <f ca="1"/>
        <v>0.92260520549106828</v>
      </c>
      <c r="AH5264" s="2" t="str">
        <f ca="1"/>
        <v>Bad</v>
      </c>
    </row>
    <row r="5265" spans="2:34">
      <c r="B5265" s="2">
        <f ca="1"/>
        <v>0.177541798507167</v>
      </c>
      <c r="O5265" s="2">
        <f ca="1"/>
        <v>-0.4967610710997214</v>
      </c>
      <c r="X5265" s="2">
        <f ca="1"/>
        <v>40.071631580592886</v>
      </c>
      <c r="AG5265" s="2">
        <f ca="1"/>
        <v>0.67348399318511798</v>
      </c>
      <c r="AH5265" s="2" t="str">
        <f ca="1"/>
        <v>Bad</v>
      </c>
    </row>
    <row r="5266" spans="2:34">
      <c r="B5266" s="2">
        <f ca="1"/>
        <v>0.68148634218915216</v>
      </c>
      <c r="O5266" s="2">
        <f ca="1"/>
        <v>0.25376110227671189</v>
      </c>
      <c r="X5266" s="2">
        <f ca="1"/>
        <v>22.366586095014558</v>
      </c>
      <c r="AG5266" s="2">
        <f ca="1"/>
        <v>0.72361953452711902</v>
      </c>
      <c r="AH5266" s="2" t="str">
        <f ca="1"/>
        <v>Bad</v>
      </c>
    </row>
    <row r="5267" spans="2:34">
      <c r="B5267" s="2">
        <f ca="1"/>
        <v>0.26642027223204967</v>
      </c>
      <c r="O5267" s="2">
        <f ca="1"/>
        <v>0.34226981996737404</v>
      </c>
      <c r="X5267" s="2">
        <f ca="1"/>
        <v>25.139103527566064</v>
      </c>
      <c r="AG5267" s="2">
        <f ca="1"/>
        <v>0.84235684274033895</v>
      </c>
      <c r="AH5267" s="2" t="str">
        <f ca="1"/>
        <v>Bad</v>
      </c>
    </row>
    <row r="5268" spans="2:34">
      <c r="B5268" s="2">
        <f ca="1"/>
        <v>0.59056533897260555</v>
      </c>
      <c r="O5268" s="2">
        <f ca="1"/>
        <v>-0.54972861305910004</v>
      </c>
      <c r="X5268" s="2">
        <f ca="1"/>
        <v>48.333036461636567</v>
      </c>
      <c r="AG5268" s="2">
        <f ca="1"/>
        <v>0.59823184138299279</v>
      </c>
      <c r="AH5268" s="2" t="str">
        <f ca="1"/>
        <v>Bad</v>
      </c>
    </row>
    <row r="5269" spans="2:34">
      <c r="B5269" s="2">
        <f ca="1"/>
        <v>7.8438600780832424E-2</v>
      </c>
      <c r="O5269" s="2">
        <f ca="1"/>
        <v>0.42700775827730852</v>
      </c>
      <c r="X5269" s="2">
        <f ca="1"/>
        <v>44.806821030334653</v>
      </c>
      <c r="AG5269" s="2">
        <f ca="1"/>
        <v>0.76551271511997054</v>
      </c>
      <c r="AH5269" s="2" t="str">
        <f ca="1"/>
        <v>Bad</v>
      </c>
    </row>
    <row r="5270" spans="2:34">
      <c r="B5270" s="2">
        <f ca="1"/>
        <v>0.10727468311818344</v>
      </c>
      <c r="O5270" s="2">
        <f ca="1"/>
        <v>-0.13785850402892086</v>
      </c>
      <c r="X5270" s="2">
        <f ca="1"/>
        <v>27.085945712875482</v>
      </c>
      <c r="AG5270" s="2">
        <f ca="1"/>
        <v>0.17786286608881463</v>
      </c>
      <c r="AH5270" s="2" t="str">
        <f ca="1"/>
        <v>OK</v>
      </c>
    </row>
    <row r="5271" spans="2:34">
      <c r="B5271" s="2">
        <f ca="1"/>
        <v>0.30676387624924861</v>
      </c>
      <c r="O5271" s="2">
        <f ca="1"/>
        <v>0.20842988182127323</v>
      </c>
      <c r="X5271" s="2">
        <f ca="1"/>
        <v>48.749779099091327</v>
      </c>
      <c r="AG5271" s="2">
        <f ca="1"/>
        <v>0.81608832530000885</v>
      </c>
      <c r="AH5271" s="2" t="str">
        <f ca="1"/>
        <v>Bad</v>
      </c>
    </row>
    <row r="5272" spans="2:34">
      <c r="B5272" s="2">
        <f ca="1"/>
        <v>0.88234275877325796</v>
      </c>
      <c r="O5272" s="2">
        <f ca="1"/>
        <v>-1.0950566329428262</v>
      </c>
      <c r="X5272" s="2">
        <f ca="1"/>
        <v>43.065644930513109</v>
      </c>
      <c r="AG5272" s="2">
        <f ca="1"/>
        <v>5.2076910059690507E-2</v>
      </c>
      <c r="AH5272" s="2" t="str">
        <f ca="1"/>
        <v>OK</v>
      </c>
    </row>
    <row r="5273" spans="2:34">
      <c r="B5273" s="2">
        <f ca="1"/>
        <v>0.80138526267626031</v>
      </c>
      <c r="O5273" s="2">
        <f ca="1"/>
        <v>0.83065005939636349</v>
      </c>
      <c r="X5273" s="2">
        <f ca="1"/>
        <v>42.355720340687299</v>
      </c>
      <c r="AG5273" s="2">
        <f ca="1"/>
        <v>0.5409210346511919</v>
      </c>
      <c r="AH5273" s="2" t="str">
        <f ca="1"/>
        <v>Bad</v>
      </c>
    </row>
    <row r="5274" spans="2:34">
      <c r="B5274" s="2">
        <f ca="1"/>
        <v>0.23184629214678498</v>
      </c>
      <c r="O5274" s="2">
        <f ca="1"/>
        <v>1.3080623054081639</v>
      </c>
      <c r="X5274" s="2">
        <f ca="1"/>
        <v>46.088489680170746</v>
      </c>
      <c r="AG5274" s="2">
        <f ca="1"/>
        <v>0.30505286848952728</v>
      </c>
      <c r="AH5274" s="2" t="str">
        <f ca="1"/>
        <v>OK</v>
      </c>
    </row>
    <row r="5275" spans="2:34">
      <c r="B5275" s="2">
        <f ca="1"/>
        <v>2.7006602140455804E-2</v>
      </c>
      <c r="O5275" s="2">
        <f ca="1"/>
        <v>-0.18642700096552214</v>
      </c>
      <c r="X5275" s="2">
        <f ca="1"/>
        <v>45.216123998463701</v>
      </c>
      <c r="AG5275" s="2">
        <f ca="1"/>
        <v>0.84093638286158479</v>
      </c>
      <c r="AH5275" s="2" t="str">
        <f ca="1"/>
        <v>Bad</v>
      </c>
    </row>
    <row r="5276" spans="2:34">
      <c r="B5276" s="2">
        <f ca="1"/>
        <v>2.0766821585158635E-2</v>
      </c>
      <c r="O5276" s="2">
        <f ca="1"/>
        <v>-0.20160802576233439</v>
      </c>
      <c r="X5276" s="2">
        <f ca="1"/>
        <v>50.873918509634777</v>
      </c>
      <c r="AG5276" s="2">
        <f ca="1"/>
        <v>0.56483092016227499</v>
      </c>
      <c r="AH5276" s="2" t="str">
        <f ca="1"/>
        <v>Bad</v>
      </c>
    </row>
    <row r="5277" spans="2:34">
      <c r="B5277" s="2">
        <f ca="1"/>
        <v>0.3915893302571809</v>
      </c>
      <c r="O5277" s="2">
        <f ca="1"/>
        <v>-0.94406855129272482</v>
      </c>
      <c r="X5277" s="2">
        <f ca="1"/>
        <v>72.590713766486346</v>
      </c>
      <c r="AG5277" s="2">
        <f ca="1"/>
        <v>0.34464657469205551</v>
      </c>
      <c r="AH5277" s="2" t="str">
        <f ca="1"/>
        <v>OK</v>
      </c>
    </row>
    <row r="5278" spans="2:34">
      <c r="B5278" s="2">
        <f ca="1"/>
        <v>0.7030869955643213</v>
      </c>
      <c r="O5278" s="2">
        <f ca="1"/>
        <v>1.2282344917528356</v>
      </c>
      <c r="X5278" s="2">
        <f ca="1"/>
        <v>60.714807416954102</v>
      </c>
      <c r="AG5278" s="2">
        <f ca="1"/>
        <v>0.78769826411419674</v>
      </c>
      <c r="AH5278" s="2" t="str">
        <f ca="1"/>
        <v>Bad</v>
      </c>
    </row>
    <row r="5279" spans="2:34">
      <c r="B5279" s="2">
        <f ca="1"/>
        <v>1.9905237339519877E-2</v>
      </c>
      <c r="O5279" s="2">
        <f ca="1"/>
        <v>-1.0564757638025633</v>
      </c>
      <c r="X5279" s="2">
        <f ca="1"/>
        <v>58.860250828166862</v>
      </c>
      <c r="AG5279" s="2">
        <f ca="1"/>
        <v>2.3742880629559648E-2</v>
      </c>
      <c r="AH5279" s="2" t="str">
        <f ca="1"/>
        <v>Good</v>
      </c>
    </row>
    <row r="5280" spans="2:34">
      <c r="B5280" s="2">
        <f ca="1"/>
        <v>0.21980274148842271</v>
      </c>
      <c r="O5280" s="2">
        <f ca="1"/>
        <v>1.6886965548554251</v>
      </c>
      <c r="X5280" s="2">
        <f ca="1"/>
        <v>27.443243163930575</v>
      </c>
      <c r="AG5280" s="2">
        <f ca="1"/>
        <v>0.88620495698148405</v>
      </c>
      <c r="AH5280" s="2" t="str">
        <f ca="1"/>
        <v>Bad</v>
      </c>
    </row>
    <row r="5281" spans="2:34">
      <c r="B5281" s="2">
        <f ca="1"/>
        <v>0.68453107063711616</v>
      </c>
      <c r="O5281" s="2">
        <f ca="1"/>
        <v>-0.57343449422074022</v>
      </c>
      <c r="X5281" s="2">
        <f ca="1"/>
        <v>45.215237332544362</v>
      </c>
      <c r="AG5281" s="2">
        <f ca="1"/>
        <v>0.70007965396014282</v>
      </c>
      <c r="AH5281" s="2" t="str">
        <f ca="1"/>
        <v>Bad</v>
      </c>
    </row>
    <row r="5282" spans="2:34">
      <c r="B5282" s="2">
        <f ca="1"/>
        <v>0.69324169749675502</v>
      </c>
      <c r="O5282" s="2">
        <f ca="1"/>
        <v>-2.9920836306766074</v>
      </c>
      <c r="X5282" s="2">
        <f ca="1"/>
        <v>27.860372344092866</v>
      </c>
      <c r="AG5282" s="2">
        <f ca="1"/>
        <v>0.69914328925010394</v>
      </c>
      <c r="AH5282" s="2" t="str">
        <f ca="1"/>
        <v>Bad</v>
      </c>
    </row>
    <row r="5283" spans="2:34">
      <c r="B5283" s="2">
        <f ca="1"/>
        <v>0.40166187260695008</v>
      </c>
      <c r="O5283" s="2">
        <f ca="1"/>
        <v>1.2348042951108968</v>
      </c>
      <c r="X5283" s="2">
        <f ca="1"/>
        <v>40.171124060394249</v>
      </c>
      <c r="AG5283" s="2">
        <f ca="1"/>
        <v>0.66948635546911506</v>
      </c>
      <c r="AH5283" s="2" t="str">
        <f ca="1"/>
        <v>Bad</v>
      </c>
    </row>
    <row r="5284" spans="2:34">
      <c r="B5284" s="2">
        <f ca="1"/>
        <v>0.96275801713970588</v>
      </c>
      <c r="O5284" s="2">
        <f ca="1"/>
        <v>0.98581731237491654</v>
      </c>
      <c r="X5284" s="2">
        <f ca="1"/>
        <v>59.90961089708464</v>
      </c>
      <c r="AG5284" s="2">
        <f ca="1"/>
        <v>0.3119728603004237</v>
      </c>
      <c r="AH5284" s="2" t="str">
        <f ca="1"/>
        <v>OK</v>
      </c>
    </row>
    <row r="5285" spans="2:34">
      <c r="B5285" s="2">
        <f ca="1"/>
        <v>0.34840024971542105</v>
      </c>
      <c r="O5285" s="2">
        <f ca="1"/>
        <v>-0.83913446442908546</v>
      </c>
      <c r="X5285" s="2">
        <f ca="1"/>
        <v>53.764456232600196</v>
      </c>
      <c r="AG5285" s="2">
        <f ca="1"/>
        <v>0.73619065491151026</v>
      </c>
      <c r="AH5285" s="2" t="str">
        <f ca="1"/>
        <v>Bad</v>
      </c>
    </row>
    <row r="5286" spans="2:34">
      <c r="B5286" s="2">
        <f ca="1"/>
        <v>0.98614801023475174</v>
      </c>
      <c r="O5286" s="2">
        <f ca="1"/>
        <v>-1.0357487965258012</v>
      </c>
      <c r="X5286" s="2">
        <f ca="1"/>
        <v>65.103951827146759</v>
      </c>
      <c r="AG5286" s="2">
        <f ca="1"/>
        <v>0.11567078259562469</v>
      </c>
      <c r="AH5286" s="2" t="str">
        <f ca="1"/>
        <v>OK</v>
      </c>
    </row>
    <row r="5287" spans="2:34">
      <c r="B5287" s="2">
        <f ca="1"/>
        <v>0.55488233345279103</v>
      </c>
      <c r="O5287" s="2">
        <f ca="1"/>
        <v>2.6899886495787881</v>
      </c>
      <c r="X5287" s="2">
        <f ca="1"/>
        <v>50.483738072000136</v>
      </c>
      <c r="AG5287" s="2">
        <f ca="1"/>
        <v>0.48673296180699088</v>
      </c>
      <c r="AH5287" s="2" t="str">
        <f ca="1"/>
        <v>Bad</v>
      </c>
    </row>
    <row r="5288" spans="2:34">
      <c r="B5288" s="2">
        <f ca="1"/>
        <v>0.36106014358915628</v>
      </c>
      <c r="O5288" s="2">
        <f ca="1"/>
        <v>-4.8328922648086338E-2</v>
      </c>
      <c r="X5288" s="2">
        <f ca="1"/>
        <v>49.530566062561086</v>
      </c>
      <c r="AG5288" s="2">
        <f ca="1"/>
        <v>0.89926501171228779</v>
      </c>
      <c r="AH5288" s="2" t="str">
        <f ca="1"/>
        <v>Bad</v>
      </c>
    </row>
    <row r="5289" spans="2:34">
      <c r="B5289" s="2">
        <f ca="1"/>
        <v>0.53974908735876759</v>
      </c>
      <c r="O5289" s="2">
        <f ca="1"/>
        <v>1.4027428605889676</v>
      </c>
      <c r="X5289" s="2">
        <f ca="1"/>
        <v>39.663642192844641</v>
      </c>
      <c r="AG5289" s="2">
        <f ca="1"/>
        <v>0.56771316498580271</v>
      </c>
      <c r="AH5289" s="2" t="str">
        <f ca="1"/>
        <v>Bad</v>
      </c>
    </row>
    <row r="5290" spans="2:34">
      <c r="B5290" s="2">
        <f ca="1"/>
        <v>0.42879273764299031</v>
      </c>
      <c r="O5290" s="2">
        <f ca="1"/>
        <v>-2.3006591689249181</v>
      </c>
      <c r="X5290" s="2">
        <f ca="1"/>
        <v>29.609038044617112</v>
      </c>
      <c r="AG5290" s="2">
        <f ca="1"/>
        <v>0.39217501279748568</v>
      </c>
      <c r="AH5290" s="2" t="str">
        <f ca="1"/>
        <v>OK</v>
      </c>
    </row>
    <row r="5291" spans="2:34">
      <c r="B5291" s="2">
        <f ca="1"/>
        <v>0.87434432591487132</v>
      </c>
      <c r="O5291" s="2">
        <f ca="1"/>
        <v>-0.3151587650799228</v>
      </c>
      <c r="X5291" s="2">
        <f ca="1"/>
        <v>36.149251599283083</v>
      </c>
      <c r="AG5291" s="2">
        <f ca="1"/>
        <v>0.24219957129833913</v>
      </c>
      <c r="AH5291" s="2" t="str">
        <f ca="1"/>
        <v>OK</v>
      </c>
    </row>
    <row r="5292" spans="2:34">
      <c r="B5292" s="2">
        <f ca="1"/>
        <v>0.10905337312077101</v>
      </c>
      <c r="O5292" s="2">
        <f ca="1"/>
        <v>0.77834612248755897</v>
      </c>
      <c r="X5292" s="2">
        <f ca="1"/>
        <v>87.200410726009622</v>
      </c>
      <c r="AG5292" s="2">
        <f ca="1"/>
        <v>0.2757234424910977</v>
      </c>
      <c r="AH5292" s="2" t="str">
        <f ca="1"/>
        <v>OK</v>
      </c>
    </row>
    <row r="5293" spans="2:34">
      <c r="B5293" s="2">
        <f ca="1"/>
        <v>0.72009550937744082</v>
      </c>
      <c r="O5293" s="2">
        <f ca="1"/>
        <v>1.0464847238538888</v>
      </c>
      <c r="X5293" s="2">
        <f ca="1"/>
        <v>58.843218777720445</v>
      </c>
      <c r="AG5293" s="2">
        <f ca="1"/>
        <v>0.69664539269234749</v>
      </c>
      <c r="AH5293" s="2" t="str">
        <f ca="1"/>
        <v>Bad</v>
      </c>
    </row>
    <row r="5294" spans="2:34">
      <c r="B5294" s="2">
        <f ca="1"/>
        <v>0.39996370013253246</v>
      </c>
      <c r="O5294" s="2">
        <f ca="1"/>
        <v>0.53763735814078062</v>
      </c>
      <c r="X5294" s="2">
        <f ca="1"/>
        <v>45.128406874299387</v>
      </c>
      <c r="AG5294" s="2">
        <f ca="1"/>
        <v>0.72467158501384232</v>
      </c>
      <c r="AH5294" s="2" t="str">
        <f ca="1"/>
        <v>Bad</v>
      </c>
    </row>
    <row r="5295" spans="2:34">
      <c r="B5295" s="2">
        <f ca="1"/>
        <v>0.31972042037303749</v>
      </c>
      <c r="O5295" s="2">
        <f ca="1"/>
        <v>2.7830847922283279</v>
      </c>
      <c r="X5295" s="2">
        <f ca="1"/>
        <v>47.418968390755111</v>
      </c>
      <c r="AG5295" s="2">
        <f ca="1"/>
        <v>0.54266438655782823</v>
      </c>
      <c r="AH5295" s="2" t="str">
        <f ca="1"/>
        <v>Bad</v>
      </c>
    </row>
    <row r="5296" spans="2:34">
      <c r="B5296" s="2">
        <f ca="1"/>
        <v>0.15960583762311464</v>
      </c>
      <c r="O5296" s="2">
        <f ca="1"/>
        <v>0.85185632777538889</v>
      </c>
      <c r="X5296" s="2">
        <f ca="1"/>
        <v>55.246212408048294</v>
      </c>
      <c r="AG5296" s="2">
        <f ca="1"/>
        <v>0.34776007839637146</v>
      </c>
      <c r="AH5296" s="2" t="str">
        <f ca="1"/>
        <v>OK</v>
      </c>
    </row>
    <row r="5297" spans="2:34">
      <c r="B5297" s="2">
        <f ca="1"/>
        <v>0.47411051482773314</v>
      </c>
      <c r="O5297" s="2">
        <f ca="1"/>
        <v>-0.51166814537819705</v>
      </c>
      <c r="X5297" s="2">
        <f ca="1"/>
        <v>23.856059545629883</v>
      </c>
      <c r="AG5297" s="2">
        <f ca="1"/>
        <v>0.65333869879535933</v>
      </c>
      <c r="AH5297" s="2" t="str">
        <f ca="1"/>
        <v>Bad</v>
      </c>
    </row>
    <row r="5298" spans="2:34">
      <c r="B5298" s="2">
        <f ca="1"/>
        <v>0.35743963804037016</v>
      </c>
      <c r="O5298" s="2">
        <f ca="1"/>
        <v>0.79606343258864565</v>
      </c>
      <c r="X5298" s="2">
        <f ca="1"/>
        <v>53.686377615977506</v>
      </c>
      <c r="AG5298" s="2">
        <f ca="1"/>
        <v>0.60991397960700544</v>
      </c>
      <c r="AH5298" s="2" t="str">
        <f ca="1"/>
        <v>Bad</v>
      </c>
    </row>
    <row r="5299" spans="2:34">
      <c r="B5299" s="2">
        <f ca="1"/>
        <v>0.26845688167665482</v>
      </c>
      <c r="O5299" s="2">
        <f ca="1"/>
        <v>-1.7094275580515952</v>
      </c>
      <c r="X5299" s="2">
        <f ca="1"/>
        <v>39.838566884009964</v>
      </c>
      <c r="AG5299" s="2">
        <f ca="1"/>
        <v>0.92079388091485304</v>
      </c>
      <c r="AH5299" s="2" t="str">
        <f ca="1"/>
        <v>Bad</v>
      </c>
    </row>
    <row r="5300" spans="2:34">
      <c r="B5300" s="2">
        <f ca="1"/>
        <v>0.93908797168310465</v>
      </c>
      <c r="O5300" s="2">
        <f ca="1"/>
        <v>0.63179268770374819</v>
      </c>
      <c r="X5300" s="2">
        <f ca="1"/>
        <v>85.853184788758767</v>
      </c>
      <c r="AG5300" s="2">
        <f ca="1"/>
        <v>0.84924215852892471</v>
      </c>
      <c r="AH5300" s="2" t="str">
        <f ca="1"/>
        <v>Bad</v>
      </c>
    </row>
    <row r="5301" spans="2:34">
      <c r="B5301" s="2">
        <f ca="1"/>
        <v>0.14925254617532446</v>
      </c>
      <c r="O5301" s="2">
        <f ca="1"/>
        <v>-0.93543800346268202</v>
      </c>
      <c r="X5301" s="2">
        <f ca="1"/>
        <v>54.712073924048717</v>
      </c>
      <c r="AG5301" s="2">
        <f ca="1"/>
        <v>0.28397429073690472</v>
      </c>
      <c r="AH5301" s="2" t="str">
        <f ca="1"/>
        <v>OK</v>
      </c>
    </row>
    <row r="5302" spans="2:34">
      <c r="B5302" s="2">
        <f ca="1"/>
        <v>0.62440868510388525</v>
      </c>
      <c r="O5302" s="2">
        <f ca="1"/>
        <v>0.65841190129071958</v>
      </c>
      <c r="X5302" s="2">
        <f ca="1"/>
        <v>101.78628722910688</v>
      </c>
      <c r="AG5302" s="2">
        <f ca="1"/>
        <v>0.83677263215521003</v>
      </c>
      <c r="AH5302" s="2" t="str">
        <f ca="1"/>
        <v>Bad</v>
      </c>
    </row>
    <row r="5303" spans="2:34">
      <c r="B5303" s="2">
        <f ca="1"/>
        <v>0.28083666411626518</v>
      </c>
      <c r="O5303" s="2">
        <f ca="1"/>
        <v>0.80338104105169306</v>
      </c>
      <c r="X5303" s="2">
        <f ca="1"/>
        <v>50.494727393075429</v>
      </c>
      <c r="AG5303" s="2">
        <f ca="1"/>
        <v>0.32757249376079844</v>
      </c>
      <c r="AH5303" s="2" t="str">
        <f ca="1"/>
        <v>OK</v>
      </c>
    </row>
    <row r="5304" spans="2:34">
      <c r="B5304" s="2">
        <f ca="1"/>
        <v>0.51115246931568459</v>
      </c>
      <c r="O5304" s="2">
        <f ca="1"/>
        <v>-1.3473523400142409</v>
      </c>
      <c r="X5304" s="2">
        <f ca="1"/>
        <v>35.530103932782701</v>
      </c>
      <c r="AG5304" s="2">
        <f ca="1"/>
        <v>0.50394125298103631</v>
      </c>
      <c r="AH5304" s="2" t="str">
        <f ca="1"/>
        <v>Bad</v>
      </c>
    </row>
    <row r="5305" spans="2:34">
      <c r="B5305" s="2">
        <f ca="1"/>
        <v>0.9388682628933902</v>
      </c>
      <c r="O5305" s="2">
        <f ca="1"/>
        <v>0.71317712253144805</v>
      </c>
      <c r="X5305" s="2">
        <f ca="1"/>
        <v>67.352027100390629</v>
      </c>
      <c r="AG5305" s="2">
        <f ca="1"/>
        <v>0.9981203133378389</v>
      </c>
      <c r="AH5305" s="2" t="str">
        <f ca="1"/>
        <v>Bad</v>
      </c>
    </row>
    <row r="5306" spans="2:34">
      <c r="B5306" s="2">
        <f ca="1"/>
        <v>0.530189629473651</v>
      </c>
      <c r="O5306" s="2">
        <f ca="1"/>
        <v>0.58019981854169322</v>
      </c>
      <c r="X5306" s="2">
        <f ca="1"/>
        <v>48.524487561234544</v>
      </c>
      <c r="AG5306" s="2">
        <f ca="1"/>
        <v>0.21956173212999852</v>
      </c>
      <c r="AH5306" s="2" t="str">
        <f ca="1"/>
        <v>OK</v>
      </c>
    </row>
    <row r="5307" spans="2:34">
      <c r="B5307" s="2">
        <f ca="1"/>
        <v>0.85711568776541558</v>
      </c>
      <c r="O5307" s="2">
        <f ca="1"/>
        <v>0.65188875877423902</v>
      </c>
      <c r="X5307" s="2">
        <f ca="1"/>
        <v>70.37564767054144</v>
      </c>
      <c r="AG5307" s="2">
        <f ca="1"/>
        <v>0.31853414509046951</v>
      </c>
      <c r="AH5307" s="2" t="str">
        <f ca="1"/>
        <v>OK</v>
      </c>
    </row>
    <row r="5308" spans="2:34">
      <c r="B5308" s="2">
        <f ca="1"/>
        <v>0.46089812372577654</v>
      </c>
      <c r="O5308" s="2">
        <f ca="1"/>
        <v>-0.17698207170327229</v>
      </c>
      <c r="X5308" s="2">
        <f ca="1"/>
        <v>51.613606332341668</v>
      </c>
      <c r="AG5308" s="2">
        <f ca="1"/>
        <v>0.95981053007974504</v>
      </c>
      <c r="AH5308" s="2" t="str">
        <f ca="1"/>
        <v>Bad</v>
      </c>
    </row>
    <row r="5309" spans="2:34">
      <c r="B5309" s="2">
        <f ca="1"/>
        <v>0.50573707404036261</v>
      </c>
      <c r="O5309" s="2">
        <f ca="1"/>
        <v>-1.49072427179086</v>
      </c>
      <c r="X5309" s="2">
        <f ca="1"/>
        <v>57.49547691684738</v>
      </c>
      <c r="AG5309" s="2">
        <f ca="1"/>
        <v>0.98666296966902856</v>
      </c>
      <c r="AH5309" s="2" t="str">
        <f ca="1"/>
        <v>Bad</v>
      </c>
    </row>
    <row r="5310" spans="2:34">
      <c r="B5310" s="2">
        <f ca="1"/>
        <v>0.90368899009019277</v>
      </c>
      <c r="O5310" s="2">
        <f ca="1"/>
        <v>-0.46764457214697058</v>
      </c>
      <c r="X5310" s="2">
        <f ca="1"/>
        <v>71.595035577248481</v>
      </c>
      <c r="AG5310" s="2">
        <f ca="1"/>
        <v>0.40294252817155107</v>
      </c>
      <c r="AH5310" s="2" t="str">
        <f ca="1"/>
        <v>Bad</v>
      </c>
    </row>
    <row r="5311" spans="2:34">
      <c r="B5311" s="2">
        <f ca="1"/>
        <v>0.87591297643907295</v>
      </c>
      <c r="O5311" s="2">
        <f ca="1"/>
        <v>0.1186582473632198</v>
      </c>
      <c r="X5311" s="2">
        <f ca="1"/>
        <v>49.853257348457831</v>
      </c>
      <c r="AG5311" s="2">
        <f ca="1"/>
        <v>0.77930107016908146</v>
      </c>
      <c r="AH5311" s="2" t="str">
        <f ca="1"/>
        <v>Bad</v>
      </c>
    </row>
    <row r="5312" spans="2:34">
      <c r="B5312" s="2">
        <f ca="1"/>
        <v>0.46886625830937789</v>
      </c>
      <c r="O5312" s="2">
        <f ca="1"/>
        <v>-0.10207922874285516</v>
      </c>
      <c r="X5312" s="2">
        <f ca="1"/>
        <v>73.077826620163307</v>
      </c>
      <c r="AG5312" s="2">
        <f ca="1"/>
        <v>0.5389007701820725</v>
      </c>
      <c r="AH5312" s="2" t="str">
        <f ca="1"/>
        <v>Bad</v>
      </c>
    </row>
    <row r="5313" spans="2:34">
      <c r="B5313" s="2">
        <f ca="1"/>
        <v>5.0837484848341497E-2</v>
      </c>
      <c r="O5313" s="2">
        <f ca="1"/>
        <v>0.66978752225576388</v>
      </c>
      <c r="X5313" s="2">
        <f ca="1"/>
        <v>50.789571062977231</v>
      </c>
      <c r="AG5313" s="2">
        <f ca="1"/>
        <v>0.2715276955520125</v>
      </c>
      <c r="AH5313" s="2" t="str">
        <f ca="1"/>
        <v>OK</v>
      </c>
    </row>
    <row r="5314" spans="2:34">
      <c r="B5314" s="2">
        <f ca="1"/>
        <v>0.84003128201150767</v>
      </c>
      <c r="O5314" s="2">
        <f ca="1"/>
        <v>0.24680026894907378</v>
      </c>
      <c r="X5314" s="2">
        <f ca="1"/>
        <v>54.031994583304567</v>
      </c>
      <c r="AG5314" s="2">
        <f ca="1"/>
        <v>0.28958363994311798</v>
      </c>
      <c r="AH5314" s="2" t="str">
        <f ca="1"/>
        <v>OK</v>
      </c>
    </row>
    <row r="5315" spans="2:34">
      <c r="B5315" s="2">
        <f ca="1"/>
        <v>0.12537101968613018</v>
      </c>
      <c r="O5315" s="2">
        <f ca="1"/>
        <v>-0.53880709228703982</v>
      </c>
      <c r="X5315" s="2">
        <f ca="1"/>
        <v>55.554562811183303</v>
      </c>
      <c r="AG5315" s="2">
        <f ca="1"/>
        <v>0.76564663563358426</v>
      </c>
      <c r="AH5315" s="2" t="str">
        <f ca="1"/>
        <v>Bad</v>
      </c>
    </row>
    <row r="5316" spans="2:34">
      <c r="B5316" s="2">
        <f ca="1"/>
        <v>0.11389105989523607</v>
      </c>
      <c r="O5316" s="2">
        <f ca="1"/>
        <v>0.18451867114028228</v>
      </c>
      <c r="X5316" s="2">
        <f ca="1"/>
        <v>66.888960894089152</v>
      </c>
      <c r="AG5316" s="2">
        <f ca="1"/>
        <v>0.26007667130645884</v>
      </c>
      <c r="AH5316" s="2" t="str">
        <f ca="1"/>
        <v>OK</v>
      </c>
    </row>
    <row r="5317" spans="2:34">
      <c r="B5317" s="2">
        <f ca="1"/>
        <v>0.15280982861175674</v>
      </c>
      <c r="O5317" s="2">
        <f ca="1"/>
        <v>-0.33145702441031272</v>
      </c>
      <c r="X5317" s="2">
        <f ca="1"/>
        <v>33.602867611844218</v>
      </c>
      <c r="AG5317" s="2">
        <f ca="1"/>
        <v>0.56634951634292974</v>
      </c>
      <c r="AH5317" s="2" t="str">
        <f ca="1"/>
        <v>Bad</v>
      </c>
    </row>
    <row r="5318" spans="2:34">
      <c r="B5318" s="2">
        <f ca="1"/>
        <v>0.76616983992665522</v>
      </c>
      <c r="O5318" s="2">
        <f ca="1"/>
        <v>-0.65836919497296065</v>
      </c>
      <c r="X5318" s="2">
        <f ca="1"/>
        <v>44.852983972418784</v>
      </c>
      <c r="AG5318" s="2">
        <f ca="1"/>
        <v>0.27938892019361949</v>
      </c>
      <c r="AH5318" s="2" t="str">
        <f ca="1"/>
        <v>OK</v>
      </c>
    </row>
    <row r="5319" spans="2:34">
      <c r="B5319" s="2">
        <f ca="1"/>
        <v>0.1379291412820467</v>
      </c>
      <c r="O5319" s="2">
        <f ca="1"/>
        <v>-0.65552957337574602</v>
      </c>
      <c r="X5319" s="2">
        <f ca="1"/>
        <v>36.692196358658151</v>
      </c>
      <c r="AG5319" s="2">
        <f ca="1"/>
        <v>0.19324419223466371</v>
      </c>
      <c r="AH5319" s="2" t="str">
        <f ca="1"/>
        <v>OK</v>
      </c>
    </row>
    <row r="5320" spans="2:34">
      <c r="B5320" s="2">
        <f ca="1"/>
        <v>0.56357143635638818</v>
      </c>
      <c r="O5320" s="2">
        <f ca="1"/>
        <v>-3.6779077817589288E-2</v>
      </c>
      <c r="X5320" s="2">
        <f ca="1"/>
        <v>57.208220644348103</v>
      </c>
      <c r="AG5320" s="2">
        <f ca="1"/>
        <v>0.27555540111840493</v>
      </c>
      <c r="AH5320" s="2" t="str">
        <f ca="1"/>
        <v>OK</v>
      </c>
    </row>
    <row r="5321" spans="2:34">
      <c r="B5321" s="2">
        <f ca="1"/>
        <v>0.60342867924951427</v>
      </c>
      <c r="O5321" s="2">
        <f ca="1"/>
        <v>0.44886133925615918</v>
      </c>
      <c r="X5321" s="2">
        <f ca="1"/>
        <v>62.719791919944718</v>
      </c>
      <c r="AG5321" s="2">
        <f ca="1"/>
        <v>0.8853471236261532</v>
      </c>
      <c r="AH5321" s="2" t="str">
        <f ca="1"/>
        <v>Bad</v>
      </c>
    </row>
    <row r="5322" spans="2:34">
      <c r="B5322" s="2">
        <f ca="1"/>
        <v>0.33605718158987674</v>
      </c>
      <c r="O5322" s="2">
        <f ca="1"/>
        <v>0.37751147507131255</v>
      </c>
      <c r="X5322" s="2">
        <f ca="1"/>
        <v>39.313481598816857</v>
      </c>
      <c r="AG5322" s="2">
        <f ca="1"/>
        <v>0.25743105166632607</v>
      </c>
      <c r="AH5322" s="2" t="str">
        <f ca="1"/>
        <v>OK</v>
      </c>
    </row>
    <row r="5323" spans="2:34">
      <c r="B5323" s="2">
        <f ca="1"/>
        <v>0.76169207601578082</v>
      </c>
      <c r="O5323" s="2">
        <f ca="1"/>
        <v>0.31351214291020973</v>
      </c>
      <c r="X5323" s="2">
        <f ca="1"/>
        <v>74.632479307675993</v>
      </c>
      <c r="AG5323" s="2">
        <f ca="1"/>
        <v>0.77869775177234679</v>
      </c>
      <c r="AH5323" s="2" t="str">
        <f ca="1"/>
        <v>Bad</v>
      </c>
    </row>
    <row r="5324" spans="2:34">
      <c r="B5324" s="2">
        <f ca="1"/>
        <v>0.98553569170296984</v>
      </c>
      <c r="O5324" s="2">
        <f ca="1"/>
        <v>0.95816546722583584</v>
      </c>
      <c r="X5324" s="2">
        <f ca="1"/>
        <v>56.645421080407708</v>
      </c>
      <c r="AG5324" s="2">
        <f ca="1"/>
        <v>0.87668461658855934</v>
      </c>
      <c r="AH5324" s="2" t="str">
        <f ca="1"/>
        <v>Bad</v>
      </c>
    </row>
    <row r="5325" spans="2:34">
      <c r="B5325" s="2">
        <f ca="1"/>
        <v>0.43847497600793828</v>
      </c>
      <c r="O5325" s="2">
        <f ca="1"/>
        <v>-2.0469321018857061</v>
      </c>
      <c r="X5325" s="2">
        <f ca="1"/>
        <v>43.927863386195739</v>
      </c>
      <c r="AG5325" s="2">
        <f ca="1"/>
        <v>0.6185105953967609</v>
      </c>
      <c r="AH5325" s="2" t="str">
        <f ca="1"/>
        <v>Bad</v>
      </c>
    </row>
    <row r="5326" spans="2:34">
      <c r="B5326" s="2">
        <f ca="1"/>
        <v>1.8746680303547647E-2</v>
      </c>
      <c r="O5326" s="2">
        <f ca="1"/>
        <v>0.66156161363551724</v>
      </c>
      <c r="X5326" s="2">
        <f ca="1"/>
        <v>40.268607297664445</v>
      </c>
      <c r="AG5326" s="2">
        <f ca="1"/>
        <v>0.46707483694752039</v>
      </c>
      <c r="AH5326" s="2" t="str">
        <f ca="1"/>
        <v>Bad</v>
      </c>
    </row>
    <row r="5327" spans="2:34">
      <c r="B5327" s="2">
        <f ca="1"/>
        <v>0.4979687703343636</v>
      </c>
      <c r="O5327" s="2">
        <f ca="1"/>
        <v>-2.0317242984153583</v>
      </c>
      <c r="X5327" s="2">
        <f ca="1"/>
        <v>41.354577903210732</v>
      </c>
      <c r="AG5327" s="2">
        <f ca="1"/>
        <v>0.84125519343763311</v>
      </c>
      <c r="AH5327" s="2" t="str">
        <f ca="1"/>
        <v>Bad</v>
      </c>
    </row>
    <row r="5328" spans="2:34">
      <c r="B5328" s="2">
        <f ca="1"/>
        <v>0.10389853578594432</v>
      </c>
      <c r="O5328" s="2">
        <f ca="1"/>
        <v>-1.5052109253661465</v>
      </c>
      <c r="X5328" s="2">
        <f ca="1"/>
        <v>54.332025851808787</v>
      </c>
      <c r="AG5328" s="2">
        <f ca="1"/>
        <v>7.4322214069318271E-2</v>
      </c>
      <c r="AH5328" s="2" t="str">
        <f ca="1"/>
        <v>OK</v>
      </c>
    </row>
    <row r="5329" spans="2:34">
      <c r="B5329" s="2">
        <f ca="1"/>
        <v>6.3783258045006841E-2</v>
      </c>
      <c r="O5329" s="2">
        <f ca="1"/>
        <v>-1.7457624886022047</v>
      </c>
      <c r="X5329" s="2">
        <f ca="1"/>
        <v>34.066535595305204</v>
      </c>
      <c r="AG5329" s="2">
        <f ca="1"/>
        <v>3.6234650413006664E-2</v>
      </c>
      <c r="AH5329" s="2" t="str">
        <f ca="1"/>
        <v>Good</v>
      </c>
    </row>
    <row r="5330" spans="2:34">
      <c r="B5330" s="2">
        <f ca="1"/>
        <v>9.0340460476741491E-2</v>
      </c>
      <c r="O5330" s="2">
        <f ca="1"/>
        <v>-0.95622691209088873</v>
      </c>
      <c r="X5330" s="2">
        <f ca="1"/>
        <v>25.314758891226621</v>
      </c>
      <c r="AG5330" s="2">
        <f ca="1"/>
        <v>0.27972787373150321</v>
      </c>
      <c r="AH5330" s="2" t="str">
        <f ca="1"/>
        <v>OK</v>
      </c>
    </row>
    <row r="5331" spans="2:34">
      <c r="B5331" s="2">
        <f ca="1"/>
        <v>0.80574625774354081</v>
      </c>
      <c r="O5331" s="2">
        <f ca="1"/>
        <v>0.15742082086404577</v>
      </c>
      <c r="X5331" s="2">
        <f ca="1"/>
        <v>41.934276793470332</v>
      </c>
      <c r="AG5331" s="2">
        <f ca="1"/>
        <v>0.60194984853782274</v>
      </c>
      <c r="AH5331" s="2" t="str">
        <f ca="1"/>
        <v>Bad</v>
      </c>
    </row>
    <row r="5332" spans="2:34">
      <c r="B5332" s="2">
        <f ca="1"/>
        <v>0.68573787703138001</v>
      </c>
      <c r="O5332" s="2">
        <f ca="1"/>
        <v>0.5891429756728388</v>
      </c>
      <c r="X5332" s="2">
        <f ca="1"/>
        <v>27.354827206982023</v>
      </c>
      <c r="AG5332" s="2">
        <f ca="1"/>
        <v>0.80407931962297674</v>
      </c>
      <c r="AH5332" s="2" t="str">
        <f ca="1"/>
        <v>Bad</v>
      </c>
    </row>
    <row r="5333" spans="2:34">
      <c r="B5333" s="2">
        <f ca="1"/>
        <v>0.35118955635279336</v>
      </c>
      <c r="O5333" s="2">
        <f ca="1"/>
        <v>0.78342393002765398</v>
      </c>
      <c r="X5333" s="2">
        <f ca="1"/>
        <v>67.373209267498027</v>
      </c>
      <c r="AG5333" s="2">
        <f ca="1"/>
        <v>0.67701539920071441</v>
      </c>
      <c r="AH5333" s="2" t="str">
        <f ca="1"/>
        <v>Bad</v>
      </c>
    </row>
    <row r="5334" spans="2:34">
      <c r="B5334" s="2">
        <f ca="1"/>
        <v>0.41063227478638642</v>
      </c>
      <c r="O5334" s="2">
        <f ca="1"/>
        <v>1.0301010589085464</v>
      </c>
      <c r="X5334" s="2">
        <f ca="1"/>
        <v>80.628295072022397</v>
      </c>
      <c r="AG5334" s="2">
        <f ca="1"/>
        <v>0.49660803968326794</v>
      </c>
      <c r="AH5334" s="2" t="str">
        <f ca="1"/>
        <v>Bad</v>
      </c>
    </row>
    <row r="5335" spans="2:34">
      <c r="B5335" s="2">
        <f ca="1"/>
        <v>0.22023199805072813</v>
      </c>
      <c r="O5335" s="2">
        <f ca="1"/>
        <v>1.2429897935200356</v>
      </c>
      <c r="X5335" s="2">
        <f ca="1"/>
        <v>60.025913214403801</v>
      </c>
      <c r="AG5335" s="2">
        <f ca="1"/>
        <v>0.17472876444683494</v>
      </c>
      <c r="AH5335" s="2" t="str">
        <f ca="1"/>
        <v>OK</v>
      </c>
    </row>
    <row r="5336" spans="2:34">
      <c r="B5336" s="2">
        <f ca="1"/>
        <v>0.75091697486385511</v>
      </c>
      <c r="O5336" s="2">
        <f ca="1"/>
        <v>1.2643125273416236</v>
      </c>
      <c r="X5336" s="2">
        <f ca="1"/>
        <v>63.893499315518028</v>
      </c>
      <c r="AG5336" s="2">
        <f ca="1"/>
        <v>0.59525460356936111</v>
      </c>
      <c r="AH5336" s="2" t="str">
        <f ca="1"/>
        <v>Bad</v>
      </c>
    </row>
    <row r="5337" spans="2:34">
      <c r="B5337" s="2">
        <f ca="1"/>
        <v>0.51632357266611439</v>
      </c>
      <c r="O5337" s="2">
        <f ca="1"/>
        <v>0.3035782133725643</v>
      </c>
      <c r="X5337" s="2">
        <f ca="1"/>
        <v>51.22758423040775</v>
      </c>
      <c r="AG5337" s="2">
        <f ca="1"/>
        <v>0.36246623965119329</v>
      </c>
      <c r="AH5337" s="2" t="str">
        <f ca="1"/>
        <v>OK</v>
      </c>
    </row>
    <row r="5338" spans="2:34">
      <c r="B5338" s="2">
        <f ca="1"/>
        <v>9.8284909465968129E-2</v>
      </c>
      <c r="O5338" s="2">
        <f ca="1"/>
        <v>-1.1985671760303234</v>
      </c>
      <c r="X5338" s="2">
        <f ca="1"/>
        <v>59.761744774222322</v>
      </c>
      <c r="AG5338" s="2">
        <f ca="1"/>
        <v>0.13480083752448557</v>
      </c>
      <c r="AH5338" s="2" t="str">
        <f ca="1"/>
        <v>OK</v>
      </c>
    </row>
    <row r="5339" spans="2:34">
      <c r="B5339" s="2">
        <f ca="1"/>
        <v>0.42984772254475634</v>
      </c>
      <c r="O5339" s="2">
        <f ca="1"/>
        <v>-1.9011650866844831</v>
      </c>
      <c r="X5339" s="2">
        <f ca="1"/>
        <v>40.431361859116208</v>
      </c>
      <c r="AG5339" s="2">
        <f ca="1"/>
        <v>3.6711302056911199E-2</v>
      </c>
      <c r="AH5339" s="2" t="str">
        <f ca="1"/>
        <v>Good</v>
      </c>
    </row>
    <row r="5340" spans="2:34">
      <c r="B5340" s="2">
        <f ca="1"/>
        <v>0.5291141359800613</v>
      </c>
      <c r="O5340" s="2">
        <f ca="1"/>
        <v>0.39500430293457728</v>
      </c>
      <c r="X5340" s="2">
        <f ca="1"/>
        <v>53.019834376216039</v>
      </c>
      <c r="AG5340" s="2">
        <f ca="1"/>
        <v>0.84044698846059718</v>
      </c>
      <c r="AH5340" s="2" t="str">
        <f ca="1"/>
        <v>Bad</v>
      </c>
    </row>
    <row r="5341" spans="2:34">
      <c r="B5341" s="2">
        <f ca="1"/>
        <v>0.60875633989325761</v>
      </c>
      <c r="O5341" s="2">
        <f ca="1"/>
        <v>0.73508222146563429</v>
      </c>
      <c r="X5341" s="2">
        <f ca="1"/>
        <v>57.6452511825131</v>
      </c>
      <c r="AG5341" s="2">
        <f ca="1"/>
        <v>0.94186960763796623</v>
      </c>
      <c r="AH5341" s="2" t="str">
        <f ca="1"/>
        <v>Bad</v>
      </c>
    </row>
    <row r="5342" spans="2:34">
      <c r="B5342" s="2">
        <f ca="1"/>
        <v>0.78752019600689271</v>
      </c>
      <c r="O5342" s="2">
        <f ca="1"/>
        <v>0.31908516851115321</v>
      </c>
      <c r="X5342" s="2">
        <f ca="1"/>
        <v>31.134047531585676</v>
      </c>
      <c r="AG5342" s="2">
        <f ca="1"/>
        <v>0.46667425658376493</v>
      </c>
      <c r="AH5342" s="2" t="str">
        <f ca="1"/>
        <v>Bad</v>
      </c>
    </row>
    <row r="5343" spans="2:34">
      <c r="B5343" s="2">
        <f ca="1"/>
        <v>0.63119271581147918</v>
      </c>
      <c r="O5343" s="2">
        <f ca="1"/>
        <v>1.0118126086894526</v>
      </c>
      <c r="X5343" s="2">
        <f ca="1"/>
        <v>36.898600849031197</v>
      </c>
      <c r="AG5343" s="2">
        <f ca="1"/>
        <v>0.72294114068218396</v>
      </c>
      <c r="AH5343" s="2" t="str">
        <f ca="1"/>
        <v>Bad</v>
      </c>
    </row>
    <row r="5344" spans="2:34">
      <c r="B5344" s="2">
        <f ca="1"/>
        <v>8.5606969547028733E-2</v>
      </c>
      <c r="O5344" s="2">
        <f ca="1"/>
        <v>-0.4783099733370258</v>
      </c>
      <c r="X5344" s="2">
        <f ca="1"/>
        <v>39.223223780304735</v>
      </c>
      <c r="AG5344" s="2">
        <f ca="1"/>
        <v>0.51326719962812972</v>
      </c>
      <c r="AH5344" s="2" t="str">
        <f ca="1"/>
        <v>Bad</v>
      </c>
    </row>
    <row r="5345" spans="2:34">
      <c r="B5345" s="2">
        <f ca="1"/>
        <v>0.26313811568757584</v>
      </c>
      <c r="O5345" s="2">
        <f ca="1"/>
        <v>0.69948632317043136</v>
      </c>
      <c r="X5345" s="2">
        <f ca="1"/>
        <v>43.232882223009071</v>
      </c>
      <c r="AG5345" s="2">
        <f ca="1"/>
        <v>0.36755668550383169</v>
      </c>
      <c r="AH5345" s="2" t="str">
        <f ca="1"/>
        <v>OK</v>
      </c>
    </row>
    <row r="5346" spans="2:34">
      <c r="B5346" s="2">
        <f ca="1"/>
        <v>0.19730881929909927</v>
      </c>
      <c r="O5346" s="2">
        <f ca="1"/>
        <v>0.71853023843628705</v>
      </c>
      <c r="X5346" s="2">
        <f ca="1"/>
        <v>51.723750105395119</v>
      </c>
      <c r="AG5346" s="2">
        <f ca="1"/>
        <v>0.9699474597972273</v>
      </c>
      <c r="AH5346" s="2" t="str">
        <f ca="1"/>
        <v>Bad</v>
      </c>
    </row>
    <row r="5347" spans="2:34">
      <c r="B5347" s="2">
        <f ca="1"/>
        <v>0.81412220384781686</v>
      </c>
      <c r="O5347" s="2">
        <f ca="1"/>
        <v>-0.22311827017875652</v>
      </c>
      <c r="X5347" s="2">
        <f ca="1"/>
        <v>45.333056061841184</v>
      </c>
      <c r="AG5347" s="2">
        <f ca="1"/>
        <v>0.85492403382248727</v>
      </c>
      <c r="AH5347" s="2" t="str">
        <f ca="1"/>
        <v>Bad</v>
      </c>
    </row>
    <row r="5348" spans="2:34">
      <c r="B5348" s="2">
        <f ca="1"/>
        <v>0.48260914762966056</v>
      </c>
      <c r="O5348" s="2">
        <f ca="1"/>
        <v>6.4184782741233903E-2</v>
      </c>
      <c r="X5348" s="2">
        <f ca="1"/>
        <v>34.427135869064927</v>
      </c>
      <c r="AG5348" s="2">
        <f ca="1"/>
        <v>0.39804235686525513</v>
      </c>
      <c r="AH5348" s="2" t="str">
        <f ca="1"/>
        <v>OK</v>
      </c>
    </row>
    <row r="5349" spans="2:34">
      <c r="B5349" s="2">
        <f ca="1"/>
        <v>0.35628703494350211</v>
      </c>
      <c r="O5349" s="2">
        <f ca="1"/>
        <v>0.25505888467873827</v>
      </c>
      <c r="X5349" s="2">
        <f ca="1"/>
        <v>33.168276134981973</v>
      </c>
      <c r="AG5349" s="2">
        <f ca="1"/>
        <v>0.11017878172058082</v>
      </c>
      <c r="AH5349" s="2" t="str">
        <f ca="1"/>
        <v>OK</v>
      </c>
    </row>
    <row r="5350" spans="2:34">
      <c r="B5350" s="2">
        <f ca="1"/>
        <v>0.71513095140639726</v>
      </c>
      <c r="O5350" s="2">
        <f ca="1"/>
        <v>0.58511506542855662</v>
      </c>
      <c r="X5350" s="2">
        <f ca="1"/>
        <v>62.125331437423171</v>
      </c>
      <c r="AG5350" s="2">
        <f ca="1"/>
        <v>0.56416485074166745</v>
      </c>
      <c r="AH5350" s="2" t="str">
        <f ca="1"/>
        <v>Bad</v>
      </c>
    </row>
    <row r="5351" spans="2:34">
      <c r="B5351" s="2">
        <f ca="1"/>
        <v>0.60635360065956845</v>
      </c>
      <c r="O5351" s="2">
        <f ca="1"/>
        <v>-2.3420924630679583</v>
      </c>
      <c r="X5351" s="2">
        <f ca="1"/>
        <v>44.977123103022848</v>
      </c>
      <c r="AG5351" s="2">
        <f ca="1"/>
        <v>0.56041201760979686</v>
      </c>
      <c r="AH5351" s="2" t="str">
        <f ca="1"/>
        <v>Bad</v>
      </c>
    </row>
    <row r="5352" spans="2:34">
      <c r="B5352" s="2">
        <f ca="1"/>
        <v>0.45867671715077951</v>
      </c>
      <c r="O5352" s="2">
        <f ca="1"/>
        <v>-1.8418253871523771</v>
      </c>
      <c r="X5352" s="2">
        <f ca="1"/>
        <v>37.520826609875748</v>
      </c>
      <c r="AG5352" s="2">
        <f ca="1"/>
        <v>0.23969165050863794</v>
      </c>
      <c r="AH5352" s="2" t="str">
        <f ca="1"/>
        <v>OK</v>
      </c>
    </row>
    <row r="5353" spans="2:34">
      <c r="B5353" s="2">
        <f ca="1"/>
        <v>0.34195464154156352</v>
      </c>
      <c r="O5353" s="2">
        <f ca="1"/>
        <v>1.5496756141048744</v>
      </c>
      <c r="X5353" s="2">
        <f ca="1"/>
        <v>46.060437710795476</v>
      </c>
      <c r="AG5353" s="2">
        <f ca="1"/>
        <v>0.5958285346203156</v>
      </c>
      <c r="AH5353" s="2" t="str">
        <f ca="1"/>
        <v>Bad</v>
      </c>
    </row>
    <row r="5354" spans="2:34">
      <c r="B5354" s="2">
        <f ca="1"/>
        <v>0.76321911521817798</v>
      </c>
      <c r="O5354" s="2">
        <f ca="1"/>
        <v>-0.8523963617627367</v>
      </c>
      <c r="X5354" s="2">
        <f ca="1"/>
        <v>43.353355826040605</v>
      </c>
      <c r="AG5354" s="2">
        <f ca="1"/>
        <v>0.30681333701686464</v>
      </c>
      <c r="AH5354" s="2" t="str">
        <f ca="1"/>
        <v>OK</v>
      </c>
    </row>
    <row r="5355" spans="2:34">
      <c r="B5355" s="2">
        <f ca="1"/>
        <v>0.67075779165531824</v>
      </c>
      <c r="O5355" s="2">
        <f ca="1"/>
        <v>0.58612044583850464</v>
      </c>
      <c r="X5355" s="2">
        <f ca="1"/>
        <v>78.896151374234762</v>
      </c>
      <c r="AG5355" s="2">
        <f ca="1"/>
        <v>0.96106108743512908</v>
      </c>
      <c r="AH5355" s="2" t="str">
        <f ca="1"/>
        <v>Bad</v>
      </c>
    </row>
    <row r="5356" spans="2:34">
      <c r="B5356" s="2">
        <f ca="1"/>
        <v>0.70365160534565696</v>
      </c>
      <c r="O5356" s="2">
        <f ca="1"/>
        <v>2.1955430118216031</v>
      </c>
      <c r="X5356" s="2">
        <f ca="1"/>
        <v>55.906604036401227</v>
      </c>
      <c r="AG5356" s="2">
        <f ca="1"/>
        <v>0.8184093314860692</v>
      </c>
      <c r="AH5356" s="2" t="str">
        <f ca="1"/>
        <v>Bad</v>
      </c>
    </row>
    <row r="5357" spans="2:34">
      <c r="B5357" s="2">
        <f ca="1"/>
        <v>4.1123227553609532E-2</v>
      </c>
      <c r="O5357" s="2">
        <f ca="1"/>
        <v>-1.9615773809607481E-2</v>
      </c>
      <c r="X5357" s="2">
        <f ca="1"/>
        <v>35.439468210465897</v>
      </c>
      <c r="AG5357" s="2">
        <f ca="1"/>
        <v>0.89490190548247317</v>
      </c>
      <c r="AH5357" s="2" t="str">
        <f ca="1"/>
        <v>Bad</v>
      </c>
    </row>
    <row r="5358" spans="2:34">
      <c r="B5358" s="2">
        <f ca="1"/>
        <v>0.10861475430160117</v>
      </c>
      <c r="O5358" s="2">
        <f ca="1"/>
        <v>2.6252221692890196</v>
      </c>
      <c r="X5358" s="2">
        <f ca="1"/>
        <v>36.749657078100149</v>
      </c>
      <c r="AG5358" s="2">
        <f ca="1"/>
        <v>0.37375945653669551</v>
      </c>
      <c r="AH5358" s="2" t="str">
        <f ca="1"/>
        <v>OK</v>
      </c>
    </row>
    <row r="5359" spans="2:34">
      <c r="B5359" s="2">
        <f ca="1"/>
        <v>0.13472426195140708</v>
      </c>
      <c r="O5359" s="2">
        <f ca="1"/>
        <v>1.1109222770070473</v>
      </c>
      <c r="X5359" s="2">
        <f ca="1"/>
        <v>72.846068559110961</v>
      </c>
      <c r="AG5359" s="2">
        <f ca="1"/>
        <v>0.18580986998139992</v>
      </c>
      <c r="AH5359" s="2" t="str">
        <f ca="1"/>
        <v>OK</v>
      </c>
    </row>
    <row r="5360" spans="2:34">
      <c r="B5360" s="2">
        <f ca="1"/>
        <v>0.64475801004137812</v>
      </c>
      <c r="O5360" s="2">
        <f ca="1"/>
        <v>-3.9806800686448388E-2</v>
      </c>
      <c r="X5360" s="2">
        <f ca="1"/>
        <v>63.446118690570934</v>
      </c>
      <c r="AG5360" s="2">
        <f ca="1"/>
        <v>0.41032815769789055</v>
      </c>
      <c r="AH5360" s="2" t="str">
        <f ca="1"/>
        <v>Bad</v>
      </c>
    </row>
    <row r="5361" spans="2:34">
      <c r="B5361" s="2">
        <f ca="1"/>
        <v>0.23106400551681672</v>
      </c>
      <c r="O5361" s="2">
        <f ca="1"/>
        <v>0.94924369801047392</v>
      </c>
      <c r="X5361" s="2">
        <f ca="1"/>
        <v>52.54348596278561</v>
      </c>
      <c r="AG5361" s="2">
        <f ca="1"/>
        <v>0.96858493400641565</v>
      </c>
      <c r="AH5361" s="2" t="str">
        <f ca="1"/>
        <v>Bad</v>
      </c>
    </row>
    <row r="5362" spans="2:34">
      <c r="B5362" s="2">
        <f ca="1"/>
        <v>0.60008268355946814</v>
      </c>
      <c r="O5362" s="2">
        <f ca="1"/>
        <v>-0.93900681007603015</v>
      </c>
      <c r="X5362" s="2">
        <f ca="1"/>
        <v>57.481486178380166</v>
      </c>
      <c r="AG5362" s="2">
        <f ca="1"/>
        <v>7.1435313140628232E-2</v>
      </c>
      <c r="AH5362" s="2" t="str">
        <f ca="1"/>
        <v>OK</v>
      </c>
    </row>
    <row r="5363" spans="2:34">
      <c r="B5363" s="2">
        <f ca="1"/>
        <v>0.26526542838313172</v>
      </c>
      <c r="O5363" s="2">
        <f ca="1"/>
        <v>-1.062470176934891</v>
      </c>
      <c r="X5363" s="2">
        <f ca="1"/>
        <v>39.984531613329793</v>
      </c>
      <c r="AG5363" s="2">
        <f ca="1"/>
        <v>0.60591439106177902</v>
      </c>
      <c r="AH5363" s="2" t="str">
        <f ca="1"/>
        <v>Bad</v>
      </c>
    </row>
    <row r="5364" spans="2:34">
      <c r="B5364" s="2">
        <f ca="1"/>
        <v>0.72198409493903837</v>
      </c>
      <c r="O5364" s="2">
        <f ca="1"/>
        <v>-0.84145064228638478</v>
      </c>
      <c r="X5364" s="2">
        <f ca="1"/>
        <v>58.325901946856263</v>
      </c>
      <c r="AG5364" s="2">
        <f ca="1"/>
        <v>0.1429466222120781</v>
      </c>
      <c r="AH5364" s="2" t="str">
        <f ca="1"/>
        <v>OK</v>
      </c>
    </row>
    <row r="5365" spans="2:34">
      <c r="B5365" s="2">
        <f ca="1"/>
        <v>0.93349698070129228</v>
      </c>
      <c r="O5365" s="2">
        <f ca="1"/>
        <v>-0.81529568316432832</v>
      </c>
      <c r="X5365" s="2">
        <f ca="1"/>
        <v>50.420040270790743</v>
      </c>
      <c r="AG5365" s="2">
        <f ca="1"/>
        <v>0.86411976102058285</v>
      </c>
      <c r="AH5365" s="2" t="str">
        <f ca="1"/>
        <v>Bad</v>
      </c>
    </row>
    <row r="5366" spans="2:34">
      <c r="B5366" s="2">
        <f ca="1"/>
        <v>4.3289603714633307E-2</v>
      </c>
      <c r="O5366" s="2">
        <f ca="1"/>
        <v>-0.19752218958934786</v>
      </c>
      <c r="X5366" s="2">
        <f ca="1"/>
        <v>49.375758941200615</v>
      </c>
      <c r="AG5366" s="2">
        <f ca="1"/>
        <v>0.15377273163510496</v>
      </c>
      <c r="AH5366" s="2" t="str">
        <f ca="1"/>
        <v>OK</v>
      </c>
    </row>
    <row r="5367" spans="2:34">
      <c r="B5367" s="2">
        <f ca="1"/>
        <v>0.31807931263636791</v>
      </c>
      <c r="O5367" s="2">
        <f ca="1"/>
        <v>1.250642992220564</v>
      </c>
      <c r="X5367" s="2">
        <f ca="1"/>
        <v>70.629736319244103</v>
      </c>
      <c r="AG5367" s="2">
        <f ca="1"/>
        <v>0.75346851540083115</v>
      </c>
      <c r="AH5367" s="2" t="str">
        <f ca="1"/>
        <v>Bad</v>
      </c>
    </row>
    <row r="5368" spans="2:34">
      <c r="B5368" s="2">
        <f ca="1"/>
        <v>0.92701401508761294</v>
      </c>
      <c r="O5368" s="2">
        <f ca="1"/>
        <v>0.71691439893218756</v>
      </c>
      <c r="X5368" s="2">
        <f ca="1"/>
        <v>42.337771914230267</v>
      </c>
      <c r="AG5368" s="2">
        <f ca="1"/>
        <v>0.25070830666529997</v>
      </c>
      <c r="AH5368" s="2" t="str">
        <f ca="1"/>
        <v>OK</v>
      </c>
    </row>
    <row r="5369" spans="2:34">
      <c r="B5369" s="2">
        <f ca="1"/>
        <v>6.9019363541812373E-2</v>
      </c>
      <c r="O5369" s="2">
        <f ca="1"/>
        <v>-0.94714911193252926</v>
      </c>
      <c r="X5369" s="2">
        <f ca="1"/>
        <v>27.369241999629409</v>
      </c>
      <c r="AG5369" s="2">
        <f ca="1"/>
        <v>0.92401319424949868</v>
      </c>
      <c r="AH5369" s="2" t="str">
        <f ca="1"/>
        <v>Bad</v>
      </c>
    </row>
    <row r="5370" spans="2:34">
      <c r="B5370" s="2">
        <f ca="1"/>
        <v>0.78403106969274883</v>
      </c>
      <c r="O5370" s="2">
        <f ca="1"/>
        <v>0.26916474298829662</v>
      </c>
      <c r="X5370" s="2">
        <f ca="1"/>
        <v>61.485200102702819</v>
      </c>
      <c r="AG5370" s="2">
        <f ca="1"/>
        <v>0.68045658212462956</v>
      </c>
      <c r="AH5370" s="2" t="str">
        <f ca="1"/>
        <v>Bad</v>
      </c>
    </row>
    <row r="5371" spans="2:34">
      <c r="B5371" s="2">
        <f ca="1"/>
        <v>0.32111480040200036</v>
      </c>
      <c r="O5371" s="2">
        <f ca="1"/>
        <v>-1.0165663099126627</v>
      </c>
      <c r="X5371" s="2">
        <f ca="1"/>
        <v>42.601806582583144</v>
      </c>
      <c r="AG5371" s="2">
        <f ca="1"/>
        <v>0.65190549193369973</v>
      </c>
      <c r="AH5371" s="2" t="str">
        <f ca="1"/>
        <v>Bad</v>
      </c>
    </row>
    <row r="5372" spans="2:34">
      <c r="B5372" s="2">
        <f ca="1"/>
        <v>0.5132672559442728</v>
      </c>
      <c r="O5372" s="2">
        <f ca="1"/>
        <v>1.3344988292354438</v>
      </c>
      <c r="X5372" s="2">
        <f ca="1"/>
        <v>56.230983033378379</v>
      </c>
      <c r="AG5372" s="2">
        <f ca="1"/>
        <v>0.36103333700165652</v>
      </c>
      <c r="AH5372" s="2" t="str">
        <f ca="1"/>
        <v>OK</v>
      </c>
    </row>
    <row r="5373" spans="2:34">
      <c r="B5373" s="2">
        <f ca="1"/>
        <v>0.87690707036424542</v>
      </c>
      <c r="O5373" s="2">
        <f ca="1"/>
        <v>2.2936771901569157</v>
      </c>
      <c r="X5373" s="2">
        <f ca="1"/>
        <v>42.436355442204565</v>
      </c>
      <c r="AG5373" s="2">
        <f ca="1"/>
        <v>0.21397653392359062</v>
      </c>
      <c r="AH5373" s="2" t="str">
        <f ca="1"/>
        <v>OK</v>
      </c>
    </row>
    <row r="5374" spans="2:34">
      <c r="B5374" s="2">
        <f ca="1"/>
        <v>0.77624249884496366</v>
      </c>
      <c r="O5374" s="2">
        <f ca="1"/>
        <v>0.33222171615999069</v>
      </c>
      <c r="X5374" s="2">
        <f ca="1"/>
        <v>50.994961855887055</v>
      </c>
      <c r="AG5374" s="2">
        <f ca="1"/>
        <v>0.8865929950061493</v>
      </c>
      <c r="AH5374" s="2" t="str">
        <f ca="1"/>
        <v>Bad</v>
      </c>
    </row>
    <row r="5375" spans="2:34">
      <c r="B5375" s="2">
        <f ca="1"/>
        <v>0.31783750429513469</v>
      </c>
      <c r="O5375" s="2">
        <f ca="1"/>
        <v>0.29564534841268769</v>
      </c>
      <c r="X5375" s="2">
        <f ca="1"/>
        <v>50.18891250996414</v>
      </c>
      <c r="AG5375" s="2">
        <f ca="1"/>
        <v>0.10280761299027819</v>
      </c>
      <c r="AH5375" s="2" t="str">
        <f ca="1"/>
        <v>OK</v>
      </c>
    </row>
    <row r="5376" spans="2:34">
      <c r="B5376" s="2">
        <f ca="1"/>
        <v>0.5519600893933938</v>
      </c>
      <c r="O5376" s="2">
        <f ca="1"/>
        <v>-0.24308339637590831</v>
      </c>
      <c r="X5376" s="2">
        <f ca="1"/>
        <v>44.248536044838396</v>
      </c>
      <c r="AG5376" s="2">
        <f ca="1"/>
        <v>0.75421039504815002</v>
      </c>
      <c r="AH5376" s="2" t="str">
        <f ca="1"/>
        <v>Bad</v>
      </c>
    </row>
    <row r="5377" spans="2:34">
      <c r="B5377" s="2">
        <f ca="1"/>
        <v>0.73368036607515519</v>
      </c>
      <c r="O5377" s="2">
        <f ca="1"/>
        <v>-0.78288174560086432</v>
      </c>
      <c r="X5377" s="2">
        <f ca="1"/>
        <v>22.708253166360734</v>
      </c>
      <c r="AG5377" s="2">
        <f ca="1"/>
        <v>0.46110728300261705</v>
      </c>
      <c r="AH5377" s="2" t="str">
        <f ca="1"/>
        <v>Bad</v>
      </c>
    </row>
    <row r="5378" spans="2:34">
      <c r="B5378" s="2">
        <f ca="1"/>
        <v>0.91172911583356342</v>
      </c>
      <c r="O5378" s="2">
        <f ca="1"/>
        <v>-1.3257409584037363</v>
      </c>
      <c r="X5378" s="2">
        <f ca="1"/>
        <v>61.194832684828938</v>
      </c>
      <c r="AG5378" s="2">
        <f ca="1"/>
        <v>0.52653953465438641</v>
      </c>
      <c r="AH5378" s="2" t="str">
        <f ca="1"/>
        <v>Bad</v>
      </c>
    </row>
    <row r="5379" spans="2:34">
      <c r="B5379" s="2">
        <f ca="1"/>
        <v>0.85139873156576873</v>
      </c>
      <c r="O5379" s="2">
        <f ca="1"/>
        <v>-0.16703728208066027</v>
      </c>
      <c r="X5379" s="2">
        <f ca="1"/>
        <v>34.162434690029286</v>
      </c>
      <c r="AG5379" s="2">
        <f ca="1"/>
        <v>0.34057541452772822</v>
      </c>
      <c r="AH5379" s="2" t="str">
        <f ca="1"/>
        <v>OK</v>
      </c>
    </row>
    <row r="5380" spans="2:34">
      <c r="B5380" s="2">
        <f ca="1"/>
        <v>0.6900158836915864</v>
      </c>
      <c r="O5380" s="2">
        <f ca="1"/>
        <v>-6.5689144383178147E-2</v>
      </c>
      <c r="X5380" s="2">
        <f ca="1"/>
        <v>29.666203843808063</v>
      </c>
      <c r="AG5380" s="2">
        <f ca="1"/>
        <v>0.44006720000613941</v>
      </c>
      <c r="AH5380" s="2" t="str">
        <f ca="1"/>
        <v>Bad</v>
      </c>
    </row>
    <row r="5381" spans="2:34">
      <c r="B5381" s="2">
        <f ca="1"/>
        <v>0.50407640571040813</v>
      </c>
      <c r="O5381" s="2">
        <f ca="1"/>
        <v>1.0696287945278131</v>
      </c>
      <c r="X5381" s="2">
        <f ca="1"/>
        <v>63.346081274763208</v>
      </c>
      <c r="AG5381" s="2">
        <f ca="1"/>
        <v>0.35661491676635948</v>
      </c>
      <c r="AH5381" s="2" t="str">
        <f ca="1"/>
        <v>OK</v>
      </c>
    </row>
    <row r="5382" spans="2:34">
      <c r="B5382" s="2">
        <f ca="1"/>
        <v>0.37981986964925052</v>
      </c>
      <c r="O5382" s="2">
        <f ca="1"/>
        <v>-0.71508469464615587</v>
      </c>
      <c r="X5382" s="2">
        <f ca="1"/>
        <v>63.854316752148932</v>
      </c>
      <c r="AG5382" s="2">
        <f ca="1"/>
        <v>0.23885818443461337</v>
      </c>
      <c r="AH5382" s="2" t="str">
        <f ca="1"/>
        <v>OK</v>
      </c>
    </row>
    <row r="5383" spans="2:34">
      <c r="B5383" s="2">
        <f ca="1"/>
        <v>0.15159174924343044</v>
      </c>
      <c r="O5383" s="2">
        <f ca="1"/>
        <v>-1.7319697077994407</v>
      </c>
      <c r="X5383" s="2">
        <f ca="1"/>
        <v>55.626187761607781</v>
      </c>
      <c r="AG5383" s="2">
        <f ca="1"/>
        <v>0.6248594697381149</v>
      </c>
      <c r="AH5383" s="2" t="str">
        <f ca="1"/>
        <v>Bad</v>
      </c>
    </row>
    <row r="5384" spans="2:34">
      <c r="B5384" s="2">
        <f ca="1"/>
        <v>0.86881321855755456</v>
      </c>
      <c r="O5384" s="2">
        <f ca="1"/>
        <v>0.89002581278254567</v>
      </c>
      <c r="X5384" s="2">
        <f ca="1"/>
        <v>52.223916942499564</v>
      </c>
      <c r="AG5384" s="2">
        <f ca="1"/>
        <v>0.62670823927178332</v>
      </c>
      <c r="AH5384" s="2" t="str">
        <f ca="1"/>
        <v>Bad</v>
      </c>
    </row>
    <row r="5385" spans="2:34">
      <c r="B5385" s="2">
        <f ca="1"/>
        <v>0.96600305056133617</v>
      </c>
      <c r="O5385" s="2">
        <f ca="1"/>
        <v>4.2818175582936401E-2</v>
      </c>
      <c r="X5385" s="2">
        <f ca="1"/>
        <v>41.782755456977689</v>
      </c>
      <c r="AG5385" s="2">
        <f ca="1"/>
        <v>9.5536577579035997E-2</v>
      </c>
      <c r="AH5385" s="2" t="str">
        <f ca="1"/>
        <v>OK</v>
      </c>
    </row>
    <row r="5386" spans="2:34">
      <c r="B5386" s="2">
        <f ca="1"/>
        <v>0.10254804120890149</v>
      </c>
      <c r="O5386" s="2">
        <f ca="1"/>
        <v>1.3695889210566214</v>
      </c>
      <c r="X5386" s="2">
        <f ca="1"/>
        <v>75.101704600724887</v>
      </c>
      <c r="AG5386" s="2">
        <f ca="1"/>
        <v>0.23624748204030355</v>
      </c>
      <c r="AH5386" s="2" t="str">
        <f ca="1"/>
        <v>OK</v>
      </c>
    </row>
    <row r="5387" spans="2:34">
      <c r="B5387" s="2">
        <f ca="1"/>
        <v>0.73466072377325542</v>
      </c>
      <c r="O5387" s="2">
        <f ca="1"/>
        <v>-1.76388836358305</v>
      </c>
      <c r="X5387" s="2">
        <f ca="1"/>
        <v>72.9597741652953</v>
      </c>
      <c r="AG5387" s="2">
        <f ca="1"/>
        <v>0.25087835697909822</v>
      </c>
      <c r="AH5387" s="2" t="str">
        <f ca="1"/>
        <v>OK</v>
      </c>
    </row>
    <row r="5388" spans="2:34">
      <c r="B5388" s="2">
        <f ca="1"/>
        <v>0.71583805450565174</v>
      </c>
      <c r="O5388" s="2">
        <f ca="1"/>
        <v>-0.99250812748647732</v>
      </c>
      <c r="X5388" s="2">
        <f ca="1"/>
        <v>43.609031116814464</v>
      </c>
      <c r="AG5388" s="2">
        <f ca="1"/>
        <v>0.87505885300303765</v>
      </c>
      <c r="AH5388" s="2" t="str">
        <f ca="1"/>
        <v>Bad</v>
      </c>
    </row>
    <row r="5389" spans="2:34">
      <c r="B5389" s="2">
        <f ca="1"/>
        <v>0.97447091865153102</v>
      </c>
      <c r="O5389" s="2">
        <f ca="1"/>
        <v>0.90749308147735552</v>
      </c>
      <c r="X5389" s="2">
        <f ca="1"/>
        <v>36.001727858827849</v>
      </c>
      <c r="AG5389" s="2">
        <f ca="1"/>
        <v>0.2523936693290656</v>
      </c>
      <c r="AH5389" s="2" t="str">
        <f ca="1"/>
        <v>OK</v>
      </c>
    </row>
    <row r="5390" spans="2:34">
      <c r="B5390" s="2">
        <f ca="1"/>
        <v>0.25854929895465473</v>
      </c>
      <c r="O5390" s="2">
        <f ca="1"/>
        <v>1.0099651682214421</v>
      </c>
      <c r="X5390" s="2">
        <f ca="1"/>
        <v>61.579401279638752</v>
      </c>
      <c r="AG5390" s="2">
        <f ca="1"/>
        <v>0.46610244270436207</v>
      </c>
      <c r="AH5390" s="2" t="str">
        <f ca="1"/>
        <v>Bad</v>
      </c>
    </row>
    <row r="5391" spans="2:34">
      <c r="B5391" s="2">
        <f ca="1"/>
        <v>0.83383663928110918</v>
      </c>
      <c r="O5391" s="2">
        <f ca="1"/>
        <v>1.1111167518945302</v>
      </c>
      <c r="X5391" s="2">
        <f ca="1"/>
        <v>37.418552524143109</v>
      </c>
      <c r="AG5391" s="2">
        <f ca="1"/>
        <v>0.74724306094133008</v>
      </c>
      <c r="AH5391" s="2" t="str">
        <f ca="1"/>
        <v>Bad</v>
      </c>
    </row>
    <row r="5392" spans="2:34">
      <c r="B5392" s="2">
        <f ca="1"/>
        <v>0.35205642156794692</v>
      </c>
      <c r="O5392" s="2">
        <f ca="1"/>
        <v>0.48037841997075881</v>
      </c>
      <c r="X5392" s="2">
        <f ca="1"/>
        <v>43.783041367794524</v>
      </c>
      <c r="AG5392" s="2">
        <f ca="1"/>
        <v>9.394086705398208E-2</v>
      </c>
      <c r="AH5392" s="2" t="str">
        <f ca="1"/>
        <v>OK</v>
      </c>
    </row>
    <row r="5393" spans="2:34">
      <c r="B5393" s="2">
        <f ca="1"/>
        <v>2.3795532645582984E-2</v>
      </c>
      <c r="O5393" s="2">
        <f ca="1"/>
        <v>7.3972674408825378E-2</v>
      </c>
      <c r="X5393" s="2">
        <f ca="1"/>
        <v>39.495049001839433</v>
      </c>
      <c r="AG5393" s="2">
        <f ca="1"/>
        <v>0.8912783983000494</v>
      </c>
      <c r="AH5393" s="2" t="str">
        <f ca="1"/>
        <v>Bad</v>
      </c>
    </row>
    <row r="5394" spans="2:34">
      <c r="B5394" s="2">
        <f ca="1"/>
        <v>0.36908956738201248</v>
      </c>
      <c r="O5394" s="2">
        <f ca="1"/>
        <v>-9.0755863647960025E-2</v>
      </c>
      <c r="X5394" s="2">
        <f ca="1"/>
        <v>40.450992920808616</v>
      </c>
      <c r="AG5394" s="2">
        <f ca="1"/>
        <v>1.8671515908834646E-2</v>
      </c>
      <c r="AH5394" s="2" t="str">
        <f ca="1"/>
        <v>Good</v>
      </c>
    </row>
    <row r="5395" spans="2:34">
      <c r="B5395" s="2">
        <f ca="1"/>
        <v>0.9761984067601146</v>
      </c>
      <c r="O5395" s="2">
        <f ca="1"/>
        <v>0.17828084805837494</v>
      </c>
      <c r="X5395" s="2">
        <f ca="1"/>
        <v>32.644232564576349</v>
      </c>
      <c r="AG5395" s="2">
        <f ca="1"/>
        <v>0.86439180321812459</v>
      </c>
      <c r="AH5395" s="2" t="str">
        <f ca="1"/>
        <v>Bad</v>
      </c>
    </row>
    <row r="5396" spans="2:34">
      <c r="B5396" s="2">
        <f ca="1"/>
        <v>0.79352342083382243</v>
      </c>
      <c r="O5396" s="2">
        <f ca="1"/>
        <v>-0.17038229642446986</v>
      </c>
      <c r="X5396" s="2">
        <f ca="1"/>
        <v>31.738000480116277</v>
      </c>
      <c r="AG5396" s="2">
        <f ca="1"/>
        <v>0.7820144742262789</v>
      </c>
      <c r="AH5396" s="2" t="str">
        <f ca="1"/>
        <v>Bad</v>
      </c>
    </row>
    <row r="5397" spans="2:34">
      <c r="B5397" s="2">
        <f ca="1"/>
        <v>7.6453908740973464E-2</v>
      </c>
      <c r="O5397" s="2">
        <f ca="1"/>
        <v>-0.61956260051863454</v>
      </c>
      <c r="X5397" s="2">
        <f ca="1"/>
        <v>59.992674780941293</v>
      </c>
      <c r="AG5397" s="2">
        <f ca="1"/>
        <v>0.45848778377805255</v>
      </c>
      <c r="AH5397" s="2" t="str">
        <f ca="1"/>
        <v>Bad</v>
      </c>
    </row>
    <row r="5398" spans="2:34">
      <c r="B5398" s="2">
        <f ca="1"/>
        <v>0.36955210614102563</v>
      </c>
      <c r="O5398" s="2">
        <f ca="1"/>
        <v>-0.69236241911457597</v>
      </c>
      <c r="X5398" s="2">
        <f ca="1"/>
        <v>50.254237636216139</v>
      </c>
      <c r="AG5398" s="2">
        <f ca="1"/>
        <v>0.6663340612466564</v>
      </c>
      <c r="AH5398" s="2" t="str">
        <f ca="1"/>
        <v>Bad</v>
      </c>
    </row>
    <row r="5399" spans="2:34">
      <c r="B5399" s="2">
        <f ca="1"/>
        <v>0.91634839349605568</v>
      </c>
      <c r="O5399" s="2">
        <f ca="1"/>
        <v>-0.51900224569641618</v>
      </c>
      <c r="X5399" s="2">
        <f ca="1"/>
        <v>68.397447016044055</v>
      </c>
      <c r="AG5399" s="2">
        <f ca="1"/>
        <v>0.72348492777994244</v>
      </c>
      <c r="AH5399" s="2" t="str">
        <f ca="1"/>
        <v>Bad</v>
      </c>
    </row>
    <row r="5400" spans="2:34">
      <c r="B5400" s="2">
        <f ca="1"/>
        <v>0.89181822172500347</v>
      </c>
      <c r="O5400" s="2">
        <f ca="1"/>
        <v>-0.61684776106442529</v>
      </c>
      <c r="X5400" s="2">
        <f ca="1"/>
        <v>53.995122755491131</v>
      </c>
      <c r="AG5400" s="2">
        <f ca="1"/>
        <v>0.84719692120286538</v>
      </c>
      <c r="AH5400" s="2" t="str">
        <f ca="1"/>
        <v>Bad</v>
      </c>
    </row>
    <row r="5401" spans="2:34">
      <c r="B5401" s="2">
        <f ca="1"/>
        <v>0.36162144759874049</v>
      </c>
      <c r="O5401" s="2">
        <f ca="1"/>
        <v>-1.2586028099853361</v>
      </c>
      <c r="X5401" s="2">
        <f ca="1"/>
        <v>21.513097890768641</v>
      </c>
      <c r="AG5401" s="2">
        <f ca="1"/>
        <v>0.84113733390284628</v>
      </c>
      <c r="AH5401" s="2" t="str">
        <f ca="1"/>
        <v>Bad</v>
      </c>
    </row>
    <row r="5402" spans="2:34">
      <c r="B5402" s="2">
        <f ca="1"/>
        <v>0.40169477481829174</v>
      </c>
      <c r="O5402" s="2">
        <f ca="1"/>
        <v>-0.58038270472713904</v>
      </c>
      <c r="X5402" s="2">
        <f ca="1"/>
        <v>76.9747076866974</v>
      </c>
      <c r="AG5402" s="2">
        <f ca="1"/>
        <v>0.35346381520732684</v>
      </c>
      <c r="AH5402" s="2" t="str">
        <f ca="1"/>
        <v>OK</v>
      </c>
    </row>
    <row r="5403" spans="2:34">
      <c r="B5403" s="2">
        <f ca="1"/>
        <v>0.94723788293622557</v>
      </c>
      <c r="O5403" s="2">
        <f ca="1"/>
        <v>-0.61116564601702628</v>
      </c>
      <c r="X5403" s="2">
        <f ca="1"/>
        <v>61.505802422314808</v>
      </c>
      <c r="AG5403" s="2">
        <f ca="1"/>
        <v>0.36027407795178212</v>
      </c>
      <c r="AH5403" s="2" t="str">
        <f ca="1"/>
        <v>OK</v>
      </c>
    </row>
    <row r="5404" spans="2:34">
      <c r="B5404" s="2">
        <f ca="1"/>
        <v>0.18984268671898019</v>
      </c>
      <c r="O5404" s="2">
        <f ca="1"/>
        <v>0.33470998650385686</v>
      </c>
      <c r="X5404" s="2">
        <f ca="1"/>
        <v>64.656711996635025</v>
      </c>
      <c r="AG5404" s="2">
        <f ca="1"/>
        <v>0.10830774995528736</v>
      </c>
      <c r="AH5404" s="2" t="str">
        <f ca="1"/>
        <v>OK</v>
      </c>
    </row>
    <row r="5405" spans="2:34">
      <c r="B5405" s="2">
        <f ca="1"/>
        <v>0.68579917369180032</v>
      </c>
      <c r="O5405" s="2">
        <f ca="1"/>
        <v>-2.5854800231883601</v>
      </c>
      <c r="X5405" s="2">
        <f ca="1"/>
        <v>58.778331194159499</v>
      </c>
      <c r="AG5405" s="2">
        <f ca="1"/>
        <v>0.32983772097482511</v>
      </c>
      <c r="AH5405" s="2" t="str">
        <f ca="1"/>
        <v>OK</v>
      </c>
    </row>
    <row r="5406" spans="2:34">
      <c r="B5406" s="2">
        <f ca="1"/>
        <v>0.32943682340755465</v>
      </c>
      <c r="O5406" s="2">
        <f ca="1"/>
        <v>1.2049748272709893</v>
      </c>
      <c r="X5406" s="2">
        <f ca="1"/>
        <v>33.840369222215756</v>
      </c>
      <c r="AG5406" s="2">
        <f ca="1"/>
        <v>0.38570440930153249</v>
      </c>
      <c r="AH5406" s="2" t="str">
        <f ca="1"/>
        <v>OK</v>
      </c>
    </row>
    <row r="5407" spans="2:34">
      <c r="B5407" s="2">
        <f ca="1"/>
        <v>0.96945472099396612</v>
      </c>
      <c r="O5407" s="2">
        <f ca="1"/>
        <v>-0.45259664284525131</v>
      </c>
      <c r="X5407" s="2">
        <f ca="1"/>
        <v>27.047392545886598</v>
      </c>
      <c r="AG5407" s="2">
        <f ca="1"/>
        <v>0.16298167494248417</v>
      </c>
      <c r="AH5407" s="2" t="str">
        <f ca="1"/>
        <v>OK</v>
      </c>
    </row>
    <row r="5408" spans="2:34">
      <c r="B5408" s="2">
        <f ca="1"/>
        <v>0.8165410016226422</v>
      </c>
      <c r="O5408" s="2">
        <f ca="1"/>
        <v>-1.4416788148493245</v>
      </c>
      <c r="X5408" s="2">
        <f ca="1"/>
        <v>54.503671715914912</v>
      </c>
      <c r="AG5408" s="2">
        <f ca="1"/>
        <v>6.1491062087186688E-2</v>
      </c>
      <c r="AH5408" s="2" t="str">
        <f ca="1"/>
        <v>OK</v>
      </c>
    </row>
    <row r="5409" spans="2:34">
      <c r="B5409" s="2">
        <f ca="1"/>
        <v>0.69560740015241196</v>
      </c>
      <c r="O5409" s="2">
        <f ca="1"/>
        <v>-0.48676826731061446</v>
      </c>
      <c r="X5409" s="2">
        <f ca="1"/>
        <v>31.47447323922821</v>
      </c>
      <c r="AG5409" s="2">
        <f ca="1"/>
        <v>4.3255657797941938E-2</v>
      </c>
      <c r="AH5409" s="2" t="str">
        <f ca="1"/>
        <v>Good</v>
      </c>
    </row>
    <row r="5410" spans="2:34">
      <c r="B5410" s="2">
        <f ca="1"/>
        <v>0.83368882593824889</v>
      </c>
      <c r="O5410" s="2">
        <f ca="1"/>
        <v>0.33414062910473763</v>
      </c>
      <c r="X5410" s="2">
        <f ca="1"/>
        <v>41.902810133570092</v>
      </c>
      <c r="AG5410" s="2">
        <f ca="1"/>
        <v>0.31544730318216674</v>
      </c>
      <c r="AH5410" s="2" t="str">
        <f ca="1"/>
        <v>OK</v>
      </c>
    </row>
    <row r="5411" spans="2:34">
      <c r="B5411" s="2">
        <f ca="1"/>
        <v>0.94335621573070227</v>
      </c>
      <c r="O5411" s="2">
        <f ca="1"/>
        <v>0.11436490379017571</v>
      </c>
      <c r="X5411" s="2">
        <f ca="1"/>
        <v>51.999868549435753</v>
      </c>
      <c r="AG5411" s="2">
        <f ca="1"/>
        <v>0.11823343294820488</v>
      </c>
      <c r="AH5411" s="2" t="str">
        <f ca="1"/>
        <v>OK</v>
      </c>
    </row>
    <row r="5412" spans="2:34">
      <c r="B5412" s="2">
        <f ca="1"/>
        <v>0.6343248326046369</v>
      </c>
      <c r="O5412" s="2">
        <f ca="1"/>
        <v>1.1640656604405226</v>
      </c>
      <c r="X5412" s="2">
        <f ca="1"/>
        <v>45.90389754249194</v>
      </c>
      <c r="AG5412" s="2">
        <f ca="1"/>
        <v>0.32503890673023572</v>
      </c>
      <c r="AH5412" s="2" t="str">
        <f ca="1"/>
        <v>OK</v>
      </c>
    </row>
    <row r="5413" spans="2:34">
      <c r="B5413" s="2">
        <f ca="1"/>
        <v>0.43045747073382357</v>
      </c>
      <c r="O5413" s="2">
        <f ca="1"/>
        <v>0.90680707545659189</v>
      </c>
      <c r="X5413" s="2">
        <f ca="1"/>
        <v>57.804446939371594</v>
      </c>
      <c r="AG5413" s="2">
        <f ca="1"/>
        <v>0.73388525869867416</v>
      </c>
      <c r="AH5413" s="2" t="str">
        <f ca="1"/>
        <v>Bad</v>
      </c>
    </row>
    <row r="5414" spans="2:34">
      <c r="B5414" s="2">
        <f ca="1"/>
        <v>0.57716186180029805</v>
      </c>
      <c r="O5414" s="2">
        <f ca="1"/>
        <v>-0.12682085381965288</v>
      </c>
      <c r="X5414" s="2">
        <f ca="1"/>
        <v>43.483744123350661</v>
      </c>
      <c r="AG5414" s="2">
        <f ca="1"/>
        <v>0.23492887700104714</v>
      </c>
      <c r="AH5414" s="2" t="str">
        <f ca="1"/>
        <v>OK</v>
      </c>
    </row>
    <row r="5415" spans="2:34">
      <c r="B5415" s="2">
        <f ca="1"/>
        <v>0.71233534704254953</v>
      </c>
      <c r="O5415" s="2">
        <f ca="1"/>
        <v>1.6720460874166354</v>
      </c>
      <c r="X5415" s="2">
        <f ca="1"/>
        <v>71.564594081264929</v>
      </c>
      <c r="AG5415" s="2">
        <f ca="1"/>
        <v>0.7379516013094396</v>
      </c>
      <c r="AH5415" s="2" t="str">
        <f ca="1"/>
        <v>Bad</v>
      </c>
    </row>
    <row r="5416" spans="2:34">
      <c r="B5416" s="2">
        <f ca="1"/>
        <v>0.40056874535329579</v>
      </c>
      <c r="O5416" s="2">
        <f ca="1"/>
        <v>-1.1396214253462993</v>
      </c>
      <c r="X5416" s="2">
        <f ca="1"/>
        <v>76.695296013334215</v>
      </c>
      <c r="AG5416" s="2">
        <f ca="1"/>
        <v>0.66892260144919846</v>
      </c>
      <c r="AH5416" s="2" t="str">
        <f ca="1"/>
        <v>Bad</v>
      </c>
    </row>
    <row r="5417" spans="2:34">
      <c r="B5417" s="2">
        <f ca="1"/>
        <v>8.4605555929454512E-2</v>
      </c>
      <c r="O5417" s="2">
        <f ca="1"/>
        <v>-0.43607080049045566</v>
      </c>
      <c r="X5417" s="2">
        <f ca="1"/>
        <v>42.566643077144668</v>
      </c>
      <c r="AG5417" s="2">
        <f ca="1"/>
        <v>0.33694029551254978</v>
      </c>
      <c r="AH5417" s="2" t="str">
        <f ca="1"/>
        <v>OK</v>
      </c>
    </row>
    <row r="5418" spans="2:34">
      <c r="B5418" s="2">
        <f ca="1"/>
        <v>0.15384347259123099</v>
      </c>
      <c r="O5418" s="2">
        <f ca="1"/>
        <v>1.0518741385186164E-2</v>
      </c>
      <c r="X5418" s="2">
        <f ca="1"/>
        <v>39.569909051543078</v>
      </c>
      <c r="AG5418" s="2">
        <f ca="1"/>
        <v>0.53976805185536247</v>
      </c>
      <c r="AH5418" s="2" t="str">
        <f ca="1"/>
        <v>Bad</v>
      </c>
    </row>
    <row r="5419" spans="2:34">
      <c r="B5419" s="2">
        <f ca="1"/>
        <v>0.45773957423300948</v>
      </c>
      <c r="O5419" s="2">
        <f ca="1"/>
        <v>0.35262458060302115</v>
      </c>
      <c r="X5419" s="2">
        <f ca="1"/>
        <v>58.627393165686158</v>
      </c>
      <c r="AG5419" s="2">
        <f ca="1"/>
        <v>0.1318642835049233</v>
      </c>
      <c r="AH5419" s="2" t="str">
        <f ca="1"/>
        <v>OK</v>
      </c>
    </row>
    <row r="5420" spans="2:34">
      <c r="B5420" s="2">
        <f ca="1"/>
        <v>0.78891209034197729</v>
      </c>
      <c r="O5420" s="2">
        <f ca="1"/>
        <v>-0.98100517302033574</v>
      </c>
      <c r="X5420" s="2">
        <f ca="1"/>
        <v>42.055041585098309</v>
      </c>
      <c r="AG5420" s="2">
        <f ca="1"/>
        <v>0.504951160634038</v>
      </c>
      <c r="AH5420" s="2" t="str">
        <f ca="1"/>
        <v>Bad</v>
      </c>
    </row>
    <row r="5421" spans="2:34">
      <c r="B5421" s="2">
        <f ca="1"/>
        <v>0.11653694877712861</v>
      </c>
      <c r="O5421" s="2">
        <f ca="1"/>
        <v>2.066733120263708</v>
      </c>
      <c r="X5421" s="2">
        <f ca="1"/>
        <v>38.423135337192633</v>
      </c>
      <c r="AG5421" s="2">
        <f ca="1"/>
        <v>0.51414575204922675</v>
      </c>
      <c r="AH5421" s="2" t="str">
        <f ca="1"/>
        <v>Bad</v>
      </c>
    </row>
    <row r="5422" spans="2:34">
      <c r="B5422" s="2">
        <f ca="1"/>
        <v>0.95884193813337015</v>
      </c>
      <c r="O5422" s="2">
        <f ca="1"/>
        <v>-0.14107205079315444</v>
      </c>
      <c r="X5422" s="2">
        <f ca="1"/>
        <v>44.815762732569489</v>
      </c>
      <c r="AG5422" s="2">
        <f ca="1"/>
        <v>0.24877047788498152</v>
      </c>
      <c r="AH5422" s="2" t="str">
        <f ca="1"/>
        <v>OK</v>
      </c>
    </row>
    <row r="5423" spans="2:34">
      <c r="B5423" s="2">
        <f ca="1"/>
        <v>0.87954829076734287</v>
      </c>
      <c r="O5423" s="2">
        <f ca="1"/>
        <v>-0.32961420580083156</v>
      </c>
      <c r="X5423" s="2">
        <f ca="1"/>
        <v>76.129438166149356</v>
      </c>
      <c r="AG5423" s="2">
        <f ca="1"/>
        <v>0.37221954413000624</v>
      </c>
      <c r="AH5423" s="2" t="str">
        <f ca="1"/>
        <v>OK</v>
      </c>
    </row>
    <row r="5424" spans="2:34">
      <c r="B5424" s="2">
        <f ca="1"/>
        <v>0.94556752581440895</v>
      </c>
      <c r="O5424" s="2">
        <f ca="1"/>
        <v>0.77787293308463035</v>
      </c>
      <c r="X5424" s="2">
        <f ca="1"/>
        <v>27.180471876526198</v>
      </c>
      <c r="AG5424" s="2">
        <f ca="1"/>
        <v>0.44762990856239027</v>
      </c>
      <c r="AH5424" s="2" t="str">
        <f ca="1"/>
        <v>Bad</v>
      </c>
    </row>
    <row r="5425" spans="2:34">
      <c r="B5425" s="2">
        <f ca="1"/>
        <v>0.53218680827679066</v>
      </c>
      <c r="O5425" s="2">
        <f ca="1"/>
        <v>0.53840520776535805</v>
      </c>
      <c r="X5425" s="2">
        <f ca="1"/>
        <v>62.761508430661372</v>
      </c>
      <c r="AG5425" s="2">
        <f ca="1"/>
        <v>0.10999432160599665</v>
      </c>
      <c r="AH5425" s="2" t="str">
        <f ca="1"/>
        <v>OK</v>
      </c>
    </row>
    <row r="5426" spans="2:34">
      <c r="B5426" s="2">
        <f ca="1"/>
        <v>0.28643906502105398</v>
      </c>
      <c r="O5426" s="2">
        <f ca="1"/>
        <v>-0.25633047632349404</v>
      </c>
      <c r="X5426" s="2">
        <f ca="1"/>
        <v>66.876148963045537</v>
      </c>
      <c r="AG5426" s="2">
        <f ca="1"/>
        <v>0.19242419701465829</v>
      </c>
      <c r="AH5426" s="2" t="str">
        <f ca="1"/>
        <v>OK</v>
      </c>
    </row>
    <row r="5427" spans="2:34">
      <c r="B5427" s="2">
        <f ca="1"/>
        <v>0.2937933014661025</v>
      </c>
      <c r="O5427" s="2">
        <f ca="1"/>
        <v>1.0373501298847556</v>
      </c>
      <c r="X5427" s="2">
        <f ca="1"/>
        <v>76.662732988326937</v>
      </c>
      <c r="AG5427" s="2">
        <f ca="1"/>
        <v>0.91387377708774387</v>
      </c>
      <c r="AH5427" s="2" t="str">
        <f ca="1"/>
        <v>Bad</v>
      </c>
    </row>
    <row r="5428" spans="2:34">
      <c r="B5428" s="2">
        <f ca="1"/>
        <v>0.29558158609205165</v>
      </c>
      <c r="O5428" s="2">
        <f ca="1"/>
        <v>0.44632177789567617</v>
      </c>
      <c r="X5428" s="2">
        <f ca="1"/>
        <v>48.467237046467858</v>
      </c>
      <c r="AG5428" s="2">
        <f ca="1"/>
        <v>3.0661532856723239E-2</v>
      </c>
      <c r="AH5428" s="2" t="str">
        <f ca="1"/>
        <v>Good</v>
      </c>
    </row>
    <row r="5429" spans="2:34">
      <c r="B5429" s="2">
        <f ca="1"/>
        <v>0.50267298740326138</v>
      </c>
      <c r="O5429" s="2">
        <f ca="1"/>
        <v>0.41971937324710185</v>
      </c>
      <c r="X5429" s="2">
        <f ca="1"/>
        <v>31.39522855785771</v>
      </c>
      <c r="AG5429" s="2">
        <f ca="1"/>
        <v>0.82199585999065294</v>
      </c>
      <c r="AH5429" s="2" t="str">
        <f ca="1"/>
        <v>Bad</v>
      </c>
    </row>
    <row r="5430" spans="2:34">
      <c r="B5430" s="2">
        <f ca="1"/>
        <v>0.29535647305861534</v>
      </c>
      <c r="O5430" s="2">
        <f ca="1"/>
        <v>-0.81373277419364687</v>
      </c>
      <c r="X5430" s="2">
        <f ca="1"/>
        <v>39.313984540418176</v>
      </c>
      <c r="AG5430" s="2">
        <f ca="1"/>
        <v>0.60827978896571766</v>
      </c>
      <c r="AH5430" s="2" t="str">
        <f ca="1"/>
        <v>Bad</v>
      </c>
    </row>
    <row r="5431" spans="2:34">
      <c r="B5431" s="2">
        <f ca="1"/>
        <v>0.88345021887262964</v>
      </c>
      <c r="O5431" s="2">
        <f ca="1"/>
        <v>-1.5790241622717702</v>
      </c>
      <c r="X5431" s="2">
        <f ca="1"/>
        <v>50.776350246645251</v>
      </c>
      <c r="AG5431" s="2">
        <f ca="1"/>
        <v>0.54120887960432285</v>
      </c>
      <c r="AH5431" s="2" t="str">
        <f ca="1"/>
        <v>Bad</v>
      </c>
    </row>
    <row r="5432" spans="2:34">
      <c r="B5432" s="2">
        <f ca="1"/>
        <v>0.17312346044990679</v>
      </c>
      <c r="O5432" s="2">
        <f ca="1"/>
        <v>0.62244980998739163</v>
      </c>
      <c r="X5432" s="2">
        <f ca="1"/>
        <v>47.212162476607219</v>
      </c>
      <c r="AG5432" s="2">
        <f ca="1"/>
        <v>7.2133559382129064E-2</v>
      </c>
      <c r="AH5432" s="2" t="str">
        <f ca="1"/>
        <v>OK</v>
      </c>
    </row>
    <row r="5433" spans="2:34">
      <c r="B5433" s="2">
        <f ca="1"/>
        <v>0.30683146288932739</v>
      </c>
      <c r="O5433" s="2">
        <f ca="1"/>
        <v>-0.16072842031930398</v>
      </c>
      <c r="X5433" s="2">
        <f ca="1"/>
        <v>51.179249787696079</v>
      </c>
      <c r="AG5433" s="2">
        <f ca="1"/>
        <v>0.33915976509645573</v>
      </c>
      <c r="AH5433" s="2" t="str">
        <f ca="1"/>
        <v>OK</v>
      </c>
    </row>
    <row r="5434" spans="2:34">
      <c r="B5434" s="2">
        <f ca="1"/>
        <v>0.80908515328105213</v>
      </c>
      <c r="O5434" s="2">
        <f ca="1"/>
        <v>-2.497592387487038</v>
      </c>
      <c r="X5434" s="2">
        <f ca="1"/>
        <v>29.344505239362086</v>
      </c>
      <c r="AG5434" s="2">
        <f ca="1"/>
        <v>0.99084499582216057</v>
      </c>
      <c r="AH5434" s="2" t="str">
        <f ca="1"/>
        <v>Bad</v>
      </c>
    </row>
    <row r="5435" spans="2:34">
      <c r="B5435" s="2">
        <f ca="1"/>
        <v>0.61161650775476883</v>
      </c>
      <c r="O5435" s="2">
        <f ca="1"/>
        <v>1.2552613873840637</v>
      </c>
      <c r="X5435" s="2">
        <f ca="1"/>
        <v>71.05188396320176</v>
      </c>
      <c r="AG5435" s="2">
        <f ca="1"/>
        <v>0.63201096947996138</v>
      </c>
      <c r="AH5435" s="2" t="str">
        <f ca="1"/>
        <v>Bad</v>
      </c>
    </row>
    <row r="5436" spans="2:34">
      <c r="B5436" s="2">
        <f ca="1"/>
        <v>0.96332497651112847</v>
      </c>
      <c r="O5436" s="2">
        <f ca="1"/>
        <v>0.57370960484173894</v>
      </c>
      <c r="X5436" s="2">
        <f ca="1"/>
        <v>60.098910098810038</v>
      </c>
      <c r="AG5436" s="2">
        <f ca="1"/>
        <v>0.81092245671683627</v>
      </c>
      <c r="AH5436" s="2" t="str">
        <f ca="1"/>
        <v>Bad</v>
      </c>
    </row>
    <row r="5437" spans="2:34">
      <c r="B5437" s="2">
        <f ca="1"/>
        <v>0.3255448069125948</v>
      </c>
      <c r="O5437" s="2">
        <f ca="1"/>
        <v>1.4382840775806935</v>
      </c>
      <c r="X5437" s="2">
        <f ca="1"/>
        <v>36.623055372229267</v>
      </c>
      <c r="AG5437" s="2">
        <f ca="1"/>
        <v>0.97656489369838639</v>
      </c>
      <c r="AH5437" s="2" t="str">
        <f ca="1"/>
        <v>Bad</v>
      </c>
    </row>
    <row r="5438" spans="2:34">
      <c r="B5438" s="2">
        <f ca="1"/>
        <v>0.84176179651807304</v>
      </c>
      <c r="O5438" s="2">
        <f ca="1"/>
        <v>1.5558780124437506</v>
      </c>
      <c r="X5438" s="2">
        <f ca="1"/>
        <v>36.249520857442043</v>
      </c>
      <c r="AG5438" s="2">
        <f ca="1"/>
        <v>0.64364838277735759</v>
      </c>
      <c r="AH5438" s="2" t="str">
        <f ca="1"/>
        <v>Bad</v>
      </c>
    </row>
    <row r="5439" spans="2:34">
      <c r="B5439" s="2">
        <f ca="1"/>
        <v>0.1047871989854976</v>
      </c>
      <c r="O5439" s="2">
        <f ca="1"/>
        <v>0.83844815392341021</v>
      </c>
      <c r="X5439" s="2">
        <f ca="1"/>
        <v>51.881587831840562</v>
      </c>
      <c r="AG5439" s="2">
        <f ca="1"/>
        <v>0.40728840212837847</v>
      </c>
      <c r="AH5439" s="2" t="str">
        <f ca="1"/>
        <v>Bad</v>
      </c>
    </row>
    <row r="5440" spans="2:34">
      <c r="B5440" s="2">
        <f ca="1"/>
        <v>0.8258391954302513</v>
      </c>
      <c r="O5440" s="2">
        <f ca="1"/>
        <v>0.30408261193152653</v>
      </c>
      <c r="X5440" s="2">
        <f ca="1"/>
        <v>34.306749792563032</v>
      </c>
      <c r="AG5440" s="2">
        <f ca="1"/>
        <v>0.99738031556593376</v>
      </c>
      <c r="AH5440" s="2" t="str">
        <f ca="1"/>
        <v>Bad</v>
      </c>
    </row>
    <row r="5441" spans="2:34">
      <c r="B5441" s="2">
        <f ca="1"/>
        <v>0.27728122481731532</v>
      </c>
      <c r="O5441" s="2">
        <f ca="1"/>
        <v>1.4749871874118836</v>
      </c>
      <c r="X5441" s="2">
        <f ca="1"/>
        <v>45.69210675815804</v>
      </c>
      <c r="AG5441" s="2">
        <f ca="1"/>
        <v>0.45981697609759475</v>
      </c>
      <c r="AH5441" s="2" t="str">
        <f ca="1"/>
        <v>Bad</v>
      </c>
    </row>
    <row r="5442" spans="2:34">
      <c r="B5442" s="2">
        <f ca="1"/>
        <v>0.7789813847872149</v>
      </c>
      <c r="O5442" s="2">
        <f ca="1"/>
        <v>0.56815191197280257</v>
      </c>
      <c r="X5442" s="2">
        <f ca="1"/>
        <v>47.327962142480757</v>
      </c>
      <c r="AG5442" s="2">
        <f ca="1"/>
        <v>0.40821974982966025</v>
      </c>
      <c r="AH5442" s="2" t="str">
        <f ca="1"/>
        <v>Bad</v>
      </c>
    </row>
    <row r="5443" spans="2:34">
      <c r="B5443" s="2">
        <f ca="1"/>
        <v>0.99872555370219351</v>
      </c>
      <c r="O5443" s="2">
        <f ca="1"/>
        <v>-1.40901811070851</v>
      </c>
      <c r="X5443" s="2">
        <f ca="1"/>
        <v>45.276649813611904</v>
      </c>
      <c r="AG5443" s="2">
        <f ca="1"/>
        <v>0.92251676202614608</v>
      </c>
      <c r="AH5443" s="2" t="str">
        <f ca="1"/>
        <v>Bad</v>
      </c>
    </row>
    <row r="5444" spans="2:34">
      <c r="B5444" s="2">
        <f ca="1"/>
        <v>0.27681293883675595</v>
      </c>
      <c r="O5444" s="2">
        <f ca="1"/>
        <v>0.12293547483062656</v>
      </c>
      <c r="X5444" s="2">
        <f ca="1"/>
        <v>84.718117786997823</v>
      </c>
      <c r="AG5444" s="2">
        <f ca="1"/>
        <v>0.70802237005000257</v>
      </c>
      <c r="AH5444" s="2" t="str">
        <f ca="1"/>
        <v>Bad</v>
      </c>
    </row>
    <row r="5445" spans="2:34">
      <c r="B5445" s="2">
        <f ca="1"/>
        <v>0.76942256739006654</v>
      </c>
      <c r="O5445" s="2">
        <f ca="1"/>
        <v>0.20008264902356865</v>
      </c>
      <c r="X5445" s="2">
        <f ca="1"/>
        <v>54.06878556893367</v>
      </c>
      <c r="AG5445" s="2">
        <f ca="1"/>
        <v>0.88207811663966007</v>
      </c>
      <c r="AH5445" s="2" t="str">
        <f ca="1"/>
        <v>Bad</v>
      </c>
    </row>
    <row r="5446" spans="2:34">
      <c r="B5446" s="2">
        <f ca="1"/>
        <v>0.18244481352937658</v>
      </c>
      <c r="O5446" s="2">
        <f ca="1"/>
        <v>0.31290612118507849</v>
      </c>
      <c r="X5446" s="2">
        <f ca="1"/>
        <v>46.125345178696683</v>
      </c>
      <c r="AG5446" s="2">
        <f ca="1"/>
        <v>0.8659342746514902</v>
      </c>
      <c r="AH5446" s="2" t="str">
        <f ca="1"/>
        <v>Bad</v>
      </c>
    </row>
    <row r="5447" spans="2:34">
      <c r="B5447" s="2">
        <f ca="1"/>
        <v>0.32228642170771482</v>
      </c>
      <c r="O5447" s="2">
        <f ca="1"/>
        <v>0.93724294502728156</v>
      </c>
      <c r="X5447" s="2">
        <f ca="1"/>
        <v>32.284106966973987</v>
      </c>
      <c r="AG5447" s="2">
        <f ca="1"/>
        <v>0.94903081527106203</v>
      </c>
      <c r="AH5447" s="2" t="str">
        <f ca="1"/>
        <v>Bad</v>
      </c>
    </row>
    <row r="5448" spans="2:34">
      <c r="B5448" s="2">
        <f ca="1"/>
        <v>0.38617657625060753</v>
      </c>
      <c r="O5448" s="2">
        <f ca="1"/>
        <v>-0.40029823751384952</v>
      </c>
      <c r="X5448" s="2">
        <f ca="1"/>
        <v>50.715995849239725</v>
      </c>
      <c r="AG5448" s="2">
        <f ca="1"/>
        <v>0.18094015555246612</v>
      </c>
      <c r="AH5448" s="2" t="str">
        <f ca="1"/>
        <v>OK</v>
      </c>
    </row>
    <row r="5449" spans="2:34">
      <c r="B5449" s="2">
        <f ca="1"/>
        <v>0.96477631167479472</v>
      </c>
      <c r="O5449" s="2">
        <f ca="1"/>
        <v>-0.18631259607949457</v>
      </c>
      <c r="X5449" s="2">
        <f ca="1"/>
        <v>65.702306002938471</v>
      </c>
      <c r="AG5449" s="2">
        <f ca="1"/>
        <v>0.57664330842488121</v>
      </c>
      <c r="AH5449" s="2" t="str">
        <f ca="1"/>
        <v>Bad</v>
      </c>
    </row>
    <row r="5450" spans="2:34">
      <c r="B5450" s="2">
        <f ca="1"/>
        <v>0.78889008355158308</v>
      </c>
      <c r="O5450" s="2">
        <f ca="1"/>
        <v>-0.49530906180593504</v>
      </c>
      <c r="X5450" s="2">
        <f ca="1"/>
        <v>35.983902798278692</v>
      </c>
      <c r="AG5450" s="2">
        <f ca="1"/>
        <v>0.39676242468094158</v>
      </c>
      <c r="AH5450" s="2" t="str">
        <f ca="1"/>
        <v>OK</v>
      </c>
    </row>
    <row r="5451" spans="2:34">
      <c r="B5451" s="2">
        <f ca="1"/>
        <v>0.17862482083274345</v>
      </c>
      <c r="O5451" s="2">
        <f ca="1"/>
        <v>1.3506064851204393</v>
      </c>
      <c r="X5451" s="2">
        <f ca="1"/>
        <v>49.563332909419493</v>
      </c>
      <c r="AG5451" s="2">
        <f ca="1"/>
        <v>0.11558641355961452</v>
      </c>
      <c r="AH5451" s="2" t="str">
        <f ca="1"/>
        <v>OK</v>
      </c>
    </row>
    <row r="5452" spans="2:34">
      <c r="B5452" s="2">
        <f ca="1"/>
        <v>0.17978940791075826</v>
      </c>
      <c r="O5452" s="2">
        <f ca="1"/>
        <v>0.80258740551349339</v>
      </c>
      <c r="X5452" s="2">
        <f ca="1"/>
        <v>49.061135367176838</v>
      </c>
      <c r="AG5452" s="2">
        <f ca="1"/>
        <v>0.46565355171991518</v>
      </c>
      <c r="AH5452" s="2" t="str">
        <f ca="1"/>
        <v>Bad</v>
      </c>
    </row>
    <row r="5453" spans="2:34">
      <c r="B5453" s="2">
        <f ca="1"/>
        <v>0.70294327890570485</v>
      </c>
      <c r="O5453" s="2">
        <f ca="1"/>
        <v>-2.2595491208419527</v>
      </c>
      <c r="X5453" s="2">
        <f ca="1"/>
        <v>37.802896238998557</v>
      </c>
      <c r="AG5453" s="2">
        <f ca="1"/>
        <v>0.69161159238063896</v>
      </c>
      <c r="AH5453" s="2" t="str">
        <f ca="1"/>
        <v>Bad</v>
      </c>
    </row>
    <row r="5454" spans="2:34">
      <c r="B5454" s="2">
        <f ca="1"/>
        <v>0.83411287378080479</v>
      </c>
      <c r="O5454" s="2">
        <f ca="1"/>
        <v>4.8750710503254004E-2</v>
      </c>
      <c r="X5454" s="2">
        <f ca="1"/>
        <v>48.742880677213137</v>
      </c>
      <c r="AG5454" s="2">
        <f ca="1"/>
        <v>0.29434048912701072</v>
      </c>
      <c r="AH5454" s="2" t="str">
        <f ca="1"/>
        <v>OK</v>
      </c>
    </row>
    <row r="5455" spans="2:34">
      <c r="B5455" s="2">
        <f ca="1"/>
        <v>0.39020290195065099</v>
      </c>
      <c r="O5455" s="2">
        <f ca="1"/>
        <v>0.22510086658682429</v>
      </c>
      <c r="X5455" s="2">
        <f ca="1"/>
        <v>69.821587449528934</v>
      </c>
      <c r="AG5455" s="2">
        <f ca="1"/>
        <v>0.65200476755076409</v>
      </c>
      <c r="AH5455" s="2" t="str">
        <f ca="1"/>
        <v>Bad</v>
      </c>
    </row>
    <row r="5456" spans="2:34">
      <c r="B5456" s="2">
        <f ca="1"/>
        <v>0.17096677546278172</v>
      </c>
      <c r="O5456" s="2">
        <f ca="1"/>
        <v>0.11016075941123475</v>
      </c>
      <c r="X5456" s="2">
        <f ca="1"/>
        <v>56.932301580309996</v>
      </c>
      <c r="AG5456" s="2">
        <f ca="1"/>
        <v>0.1191316870669803</v>
      </c>
      <c r="AH5456" s="2" t="str">
        <f ca="1"/>
        <v>OK</v>
      </c>
    </row>
    <row r="5457" spans="2:34">
      <c r="B5457" s="2">
        <f ca="1"/>
        <v>0.43949291800917245</v>
      </c>
      <c r="O5457" s="2">
        <f ca="1"/>
        <v>1.0637447073523394</v>
      </c>
      <c r="X5457" s="2">
        <f ca="1"/>
        <v>48.223162827647535</v>
      </c>
      <c r="AG5457" s="2">
        <f ca="1"/>
        <v>0.25722779788803951</v>
      </c>
      <c r="AH5457" s="2" t="str">
        <f ca="1"/>
        <v>OK</v>
      </c>
    </row>
    <row r="5458" spans="2:34">
      <c r="B5458" s="2">
        <f ca="1"/>
        <v>0.56210882922182037</v>
      </c>
      <c r="O5458" s="2">
        <f ca="1"/>
        <v>0.56283765099192951</v>
      </c>
      <c r="X5458" s="2">
        <f ca="1"/>
        <v>57.057802551399107</v>
      </c>
      <c r="AG5458" s="2">
        <f ca="1"/>
        <v>9.5703767721418087E-2</v>
      </c>
      <c r="AH5458" s="2" t="str">
        <f ca="1"/>
        <v>OK</v>
      </c>
    </row>
    <row r="5459" spans="2:34">
      <c r="B5459" s="2">
        <f ca="1"/>
        <v>0.65561161460777617</v>
      </c>
      <c r="O5459" s="2">
        <f ca="1"/>
        <v>0.46503529535167498</v>
      </c>
      <c r="X5459" s="2">
        <f ca="1"/>
        <v>69.265786964041553</v>
      </c>
      <c r="AG5459" s="2">
        <f ca="1"/>
        <v>0.33234691886275214</v>
      </c>
      <c r="AH5459" s="2" t="str">
        <f ca="1"/>
        <v>OK</v>
      </c>
    </row>
    <row r="5460" spans="2:34">
      <c r="B5460" s="2">
        <f ca="1"/>
        <v>0.29513931311530794</v>
      </c>
      <c r="O5460" s="2">
        <f ca="1"/>
        <v>0.42446855607334671</v>
      </c>
      <c r="X5460" s="2">
        <f ca="1"/>
        <v>39.667019974937553</v>
      </c>
      <c r="AG5460" s="2">
        <f ca="1"/>
        <v>0.43988843837178027</v>
      </c>
      <c r="AH5460" s="2" t="str">
        <f ca="1"/>
        <v>Bad</v>
      </c>
    </row>
    <row r="5461" spans="2:34">
      <c r="B5461" s="2">
        <f ca="1"/>
        <v>0.39308634425327127</v>
      </c>
      <c r="O5461" s="2">
        <f ca="1"/>
        <v>5.8388427690541637E-2</v>
      </c>
      <c r="X5461" s="2">
        <f ca="1"/>
        <v>48.45023411906061</v>
      </c>
      <c r="AG5461" s="2">
        <f ca="1"/>
        <v>0.1527204844733534</v>
      </c>
      <c r="AH5461" s="2" t="str">
        <f ca="1"/>
        <v>OK</v>
      </c>
    </row>
    <row r="5462" spans="2:34">
      <c r="B5462" s="2">
        <f ca="1"/>
        <v>0.24261140586666174</v>
      </c>
      <c r="O5462" s="2">
        <f ca="1"/>
        <v>-0.56588001630434659</v>
      </c>
      <c r="X5462" s="2">
        <f ca="1"/>
        <v>77.950629620328002</v>
      </c>
      <c r="AG5462" s="2">
        <f ca="1"/>
        <v>0.58324288359129217</v>
      </c>
      <c r="AH5462" s="2" t="str">
        <f ca="1"/>
        <v>Bad</v>
      </c>
    </row>
    <row r="5463" spans="2:34">
      <c r="B5463" s="2">
        <f ca="1"/>
        <v>0.11233246793291385</v>
      </c>
      <c r="O5463" s="2">
        <f ca="1"/>
        <v>-1.4962507340937079</v>
      </c>
      <c r="X5463" s="2">
        <f ca="1"/>
        <v>36.988718310578143</v>
      </c>
      <c r="AG5463" s="2">
        <f ca="1"/>
        <v>0.79311381041655293</v>
      </c>
      <c r="AH5463" s="2" t="str">
        <f ca="1"/>
        <v>Bad</v>
      </c>
    </row>
    <row r="5464" spans="2:34">
      <c r="B5464" s="2">
        <f ca="1"/>
        <v>0.32081557734297261</v>
      </c>
      <c r="O5464" s="2">
        <f ca="1"/>
        <v>0.75904953429558486</v>
      </c>
      <c r="X5464" s="2">
        <f ca="1"/>
        <v>84.837225593461497</v>
      </c>
      <c r="AG5464" s="2">
        <f ca="1"/>
        <v>0.35756649302532972</v>
      </c>
      <c r="AH5464" s="2" t="str">
        <f ca="1"/>
        <v>OK</v>
      </c>
    </row>
    <row r="5465" spans="2:34">
      <c r="B5465" s="2">
        <f ca="1"/>
        <v>1.8237573411689967E-2</v>
      </c>
      <c r="O5465" s="2">
        <f ca="1"/>
        <v>1.0148337341345113</v>
      </c>
      <c r="X5465" s="2">
        <f ca="1"/>
        <v>39.048631569690684</v>
      </c>
      <c r="AG5465" s="2">
        <f ca="1"/>
        <v>0.96184173165722031</v>
      </c>
      <c r="AH5465" s="2" t="str">
        <f ca="1"/>
        <v>Bad</v>
      </c>
    </row>
    <row r="5466" spans="2:34">
      <c r="B5466" s="2">
        <f ca="1"/>
        <v>0.6537631704182445</v>
      </c>
      <c r="O5466" s="2">
        <f ca="1"/>
        <v>0.97071861341601207</v>
      </c>
      <c r="X5466" s="2">
        <f ca="1"/>
        <v>79.207724088286454</v>
      </c>
      <c r="AG5466" s="2">
        <f ca="1"/>
        <v>0.62613354701984902</v>
      </c>
      <c r="AH5466" s="2" t="str">
        <f ca="1"/>
        <v>Bad</v>
      </c>
    </row>
    <row r="5467" spans="2:34">
      <c r="B5467" s="2">
        <f ca="1"/>
        <v>0.83643431440179561</v>
      </c>
      <c r="O5467" s="2">
        <f ca="1"/>
        <v>1.8614114808592255</v>
      </c>
      <c r="X5467" s="2">
        <f ca="1"/>
        <v>35.278826885491583</v>
      </c>
      <c r="AG5467" s="2">
        <f ca="1"/>
        <v>0.23262348779298159</v>
      </c>
      <c r="AH5467" s="2" t="str">
        <f ca="1"/>
        <v>OK</v>
      </c>
    </row>
    <row r="5468" spans="2:34">
      <c r="B5468" s="2">
        <f ca="1"/>
        <v>0.23541931918691117</v>
      </c>
      <c r="O5468" s="2">
        <f ca="1"/>
        <v>-1.011755627715992</v>
      </c>
      <c r="X5468" s="2">
        <f ca="1"/>
        <v>34.490531697673681</v>
      </c>
      <c r="AG5468" s="2">
        <f ca="1"/>
        <v>0.11707539640586728</v>
      </c>
      <c r="AH5468" s="2" t="str">
        <f ca="1"/>
        <v>OK</v>
      </c>
    </row>
    <row r="5469" spans="2:34">
      <c r="B5469" s="2">
        <f ca="1"/>
        <v>0.36927016916679256</v>
      </c>
      <c r="O5469" s="2">
        <f ca="1"/>
        <v>-0.59090122075216112</v>
      </c>
      <c r="X5469" s="2">
        <f ca="1"/>
        <v>18.01450086320639</v>
      </c>
      <c r="AG5469" s="2">
        <f ca="1"/>
        <v>0.98027535278237798</v>
      </c>
      <c r="AH5469" s="2" t="str">
        <f ca="1"/>
        <v>Bad</v>
      </c>
    </row>
    <row r="5470" spans="2:34">
      <c r="B5470" s="2">
        <f ca="1"/>
        <v>0.57237149020160705</v>
      </c>
      <c r="O5470" s="2">
        <f ca="1"/>
        <v>0.27875294525816807</v>
      </c>
      <c r="X5470" s="2">
        <f ca="1"/>
        <v>50.919310927259787</v>
      </c>
      <c r="AG5470" s="2">
        <f ca="1"/>
        <v>0.71629859003910545</v>
      </c>
      <c r="AH5470" s="2" t="str">
        <f ca="1"/>
        <v>Bad</v>
      </c>
    </row>
    <row r="5471" spans="2:34">
      <c r="B5471" s="2">
        <f ca="1"/>
        <v>0.47834561604634063</v>
      </c>
      <c r="O5471" s="2">
        <f ca="1"/>
        <v>-0.37113984400130834</v>
      </c>
      <c r="X5471" s="2">
        <f ca="1"/>
        <v>48.217930833074803</v>
      </c>
      <c r="AG5471" s="2">
        <f ca="1"/>
        <v>0.22249988735324622</v>
      </c>
      <c r="AH5471" s="2" t="str">
        <f ca="1"/>
        <v>OK</v>
      </c>
    </row>
    <row r="5472" spans="2:34">
      <c r="B5472" s="2">
        <f ca="1"/>
        <v>0.20481733465939578</v>
      </c>
      <c r="O5472" s="2">
        <f ca="1"/>
        <v>0.21291363810512443</v>
      </c>
      <c r="X5472" s="2">
        <f ca="1"/>
        <v>71.742329288215856</v>
      </c>
      <c r="AG5472" s="2">
        <f ca="1"/>
        <v>0.82504327053898474</v>
      </c>
      <c r="AH5472" s="2" t="str">
        <f ca="1"/>
        <v>Bad</v>
      </c>
    </row>
    <row r="5473" spans="2:34">
      <c r="B5473" s="2">
        <f ca="1"/>
        <v>0.17315863723972647</v>
      </c>
      <c r="O5473" s="2">
        <f ca="1"/>
        <v>-1.2290007445395212</v>
      </c>
      <c r="X5473" s="2">
        <f ca="1"/>
        <v>66.559256158638192</v>
      </c>
      <c r="AG5473" s="2">
        <f ca="1"/>
        <v>0.93746158196647356</v>
      </c>
      <c r="AH5473" s="2" t="str">
        <f ca="1"/>
        <v>Bad</v>
      </c>
    </row>
    <row r="5474" spans="2:34">
      <c r="B5474" s="2">
        <f ca="1"/>
        <v>0.64127571350217938</v>
      </c>
      <c r="O5474" s="2">
        <f ca="1"/>
        <v>1.4185597690481577</v>
      </c>
      <c r="X5474" s="2">
        <f ca="1"/>
        <v>38.539269324612178</v>
      </c>
      <c r="AG5474" s="2">
        <f ca="1"/>
        <v>0.85496697822029688</v>
      </c>
      <c r="AH5474" s="2" t="str">
        <f ca="1"/>
        <v>Bad</v>
      </c>
    </row>
    <row r="5475" spans="2:34">
      <c r="B5475" s="2">
        <f ca="1"/>
        <v>0.91842127895775749</v>
      </c>
      <c r="O5475" s="2">
        <f ca="1"/>
        <v>0.92261829752658564</v>
      </c>
      <c r="X5475" s="2">
        <f ca="1"/>
        <v>35.687432768151865</v>
      </c>
      <c r="AG5475" s="2">
        <f ca="1"/>
        <v>0.85247537891322422</v>
      </c>
      <c r="AH5475" s="2" t="str">
        <f ca="1"/>
        <v>Bad</v>
      </c>
    </row>
    <row r="5476" spans="2:34">
      <c r="B5476" s="2">
        <f ca="1"/>
        <v>0.83320396328958513</v>
      </c>
      <c r="O5476" s="2">
        <f ca="1"/>
        <v>-2.4732385062313123</v>
      </c>
      <c r="X5476" s="2">
        <f ca="1"/>
        <v>78.435473551511578</v>
      </c>
      <c r="AG5476" s="2">
        <f ca="1"/>
        <v>0.21102117979048174</v>
      </c>
      <c r="AH5476" s="2" t="str">
        <f ca="1"/>
        <v>OK</v>
      </c>
    </row>
    <row r="5477" spans="2:34">
      <c r="B5477" s="2">
        <f ca="1"/>
        <v>1.0691529509611719E-2</v>
      </c>
      <c r="O5477" s="2">
        <f ca="1"/>
        <v>1.014544106227558</v>
      </c>
      <c r="X5477" s="2">
        <f ca="1"/>
        <v>84.88614374279615</v>
      </c>
      <c r="AG5477" s="2">
        <f ca="1"/>
        <v>0.61832722850464794</v>
      </c>
      <c r="AH5477" s="2" t="str">
        <f ca="1"/>
        <v>Bad</v>
      </c>
    </row>
    <row r="5478" spans="2:34">
      <c r="B5478" s="2">
        <f ca="1"/>
        <v>0.55188163120094691</v>
      </c>
      <c r="O5478" s="2">
        <f ca="1"/>
        <v>-0.56653880132344503</v>
      </c>
      <c r="X5478" s="2">
        <f ca="1"/>
        <v>62.619432720905586</v>
      </c>
      <c r="AG5478" s="2">
        <f ca="1"/>
        <v>5.4401525345436408E-2</v>
      </c>
      <c r="AH5478" s="2" t="str">
        <f ca="1"/>
        <v>OK</v>
      </c>
    </row>
    <row r="5479" spans="2:34">
      <c r="B5479" s="2">
        <f ca="1"/>
        <v>0.98371918941918857</v>
      </c>
      <c r="O5479" s="2">
        <f ca="1"/>
        <v>-2.1904197407174708</v>
      </c>
      <c r="X5479" s="2">
        <f ca="1"/>
        <v>50.663524514250675</v>
      </c>
      <c r="AG5479" s="2">
        <f ca="1"/>
        <v>0.36266550606258852</v>
      </c>
      <c r="AH5479" s="2" t="str">
        <f ca="1"/>
        <v>OK</v>
      </c>
    </row>
    <row r="5480" spans="2:34">
      <c r="B5480" s="2">
        <f ca="1"/>
        <v>0.79553301513332575</v>
      </c>
      <c r="O5480" s="2">
        <f ca="1"/>
        <v>-0.53263939287541406</v>
      </c>
      <c r="X5480" s="2">
        <f ca="1"/>
        <v>70.975051694311901</v>
      </c>
      <c r="AG5480" s="2">
        <f ca="1"/>
        <v>0.37525575688181423</v>
      </c>
      <c r="AH5480" s="2" t="str">
        <f ca="1"/>
        <v>OK</v>
      </c>
    </row>
    <row r="5481" spans="2:34">
      <c r="B5481" s="2">
        <f ca="1"/>
        <v>0.80970936008070171</v>
      </c>
      <c r="O5481" s="2">
        <f ca="1"/>
        <v>-0.90485238113899003</v>
      </c>
      <c r="X5481" s="2">
        <f ca="1"/>
        <v>66.860124470020025</v>
      </c>
      <c r="AG5481" s="2">
        <f ca="1"/>
        <v>0.98316434374985739</v>
      </c>
      <c r="AH5481" s="2" t="str">
        <f ca="1"/>
        <v>Bad</v>
      </c>
    </row>
    <row r="5482" spans="2:34">
      <c r="B5482" s="2">
        <f ca="1"/>
        <v>9.7913507217301632E-2</v>
      </c>
      <c r="O5482" s="2">
        <f ca="1"/>
        <v>-0.26788849359828981</v>
      </c>
      <c r="X5482" s="2">
        <f ca="1"/>
        <v>39.566460173411087</v>
      </c>
      <c r="AG5482" s="2">
        <f ca="1"/>
        <v>0.48801499552328553</v>
      </c>
      <c r="AH5482" s="2" t="str">
        <f ca="1"/>
        <v>Bad</v>
      </c>
    </row>
    <row r="5483" spans="2:34">
      <c r="B5483" s="2">
        <f ca="1"/>
        <v>0.31932901456577722</v>
      </c>
      <c r="O5483" s="2">
        <f ca="1"/>
        <v>1.4644477238284797</v>
      </c>
      <c r="X5483" s="2">
        <f ca="1"/>
        <v>31.154232513034252</v>
      </c>
      <c r="AG5483" s="2">
        <f ca="1"/>
        <v>0.50040735685513837</v>
      </c>
      <c r="AH5483" s="2" t="str">
        <f ca="1"/>
        <v>Bad</v>
      </c>
    </row>
    <row r="5484" spans="2:34">
      <c r="B5484" s="2">
        <f ca="1"/>
        <v>0.26792122198881585</v>
      </c>
      <c r="O5484" s="2">
        <f ca="1"/>
        <v>-0.73761333639301063</v>
      </c>
      <c r="X5484" s="2">
        <f ca="1"/>
        <v>57.92523950111746</v>
      </c>
      <c r="AG5484" s="2">
        <f ca="1"/>
        <v>0.12124304218037052</v>
      </c>
      <c r="AH5484" s="2" t="str">
        <f ca="1"/>
        <v>OK</v>
      </c>
    </row>
    <row r="5485" spans="2:34">
      <c r="B5485" s="2">
        <f ca="1"/>
        <v>0.83613885315568792</v>
      </c>
      <c r="O5485" s="2">
        <f ca="1"/>
        <v>1.3864063058210159</v>
      </c>
      <c r="X5485" s="2">
        <f ca="1"/>
        <v>20.026070606436448</v>
      </c>
      <c r="AG5485" s="2">
        <f ca="1"/>
        <v>0.57122679260442988</v>
      </c>
      <c r="AH5485" s="2" t="str">
        <f ca="1"/>
        <v>Bad</v>
      </c>
    </row>
    <row r="5486" spans="2:34">
      <c r="B5486" s="2">
        <f ca="1"/>
        <v>0.60783492384444537</v>
      </c>
      <c r="O5486" s="2">
        <f ca="1"/>
        <v>-1.1855812804332788</v>
      </c>
      <c r="X5486" s="2">
        <f ca="1"/>
        <v>44.767657555364444</v>
      </c>
      <c r="AG5486" s="2">
        <f ca="1"/>
        <v>0.96463989929938232</v>
      </c>
      <c r="AH5486" s="2" t="str">
        <f ca="1"/>
        <v>Bad</v>
      </c>
    </row>
    <row r="5487" spans="2:34">
      <c r="B5487" s="2">
        <f ca="1"/>
        <v>7.3291865677491685E-3</v>
      </c>
      <c r="O5487" s="2">
        <f ca="1"/>
        <v>0.40328285119499502</v>
      </c>
      <c r="X5487" s="2">
        <f ca="1"/>
        <v>61.613807543992152</v>
      </c>
      <c r="AG5487" s="2">
        <f ca="1"/>
        <v>0.90878087548663422</v>
      </c>
      <c r="AH5487" s="2" t="str">
        <f ca="1"/>
        <v>Bad</v>
      </c>
    </row>
    <row r="5488" spans="2:34">
      <c r="B5488" s="2">
        <f ca="1"/>
        <v>0.38914187135170697</v>
      </c>
      <c r="O5488" s="2">
        <f ca="1"/>
        <v>-0.48999574159676251</v>
      </c>
      <c r="X5488" s="2">
        <f ca="1"/>
        <v>57.275686558277108</v>
      </c>
      <c r="AG5488" s="2">
        <f ca="1"/>
        <v>6.6497774626054662E-2</v>
      </c>
      <c r="AH5488" s="2" t="str">
        <f ca="1"/>
        <v>OK</v>
      </c>
    </row>
    <row r="5489" spans="2:34">
      <c r="B5489" s="2">
        <f ca="1"/>
        <v>0.18847746658125319</v>
      </c>
      <c r="O5489" s="2">
        <f ca="1"/>
        <v>-1.8273891081848483</v>
      </c>
      <c r="X5489" s="2">
        <f ca="1"/>
        <v>70.940304606080701</v>
      </c>
      <c r="AG5489" s="2">
        <f ca="1"/>
        <v>0.45914765313618577</v>
      </c>
      <c r="AH5489" s="2" t="str">
        <f ca="1"/>
        <v>Bad</v>
      </c>
    </row>
    <row r="5490" spans="2:34">
      <c r="B5490" s="2">
        <f ca="1"/>
        <v>0.6137815483392044</v>
      </c>
      <c r="O5490" s="2">
        <f ca="1"/>
        <v>0.34137018409336983</v>
      </c>
      <c r="X5490" s="2">
        <f ca="1"/>
        <v>47.56661920913028</v>
      </c>
      <c r="AG5490" s="2">
        <f ca="1"/>
        <v>0.24318351575034658</v>
      </c>
      <c r="AH5490" s="2" t="str">
        <f ca="1"/>
        <v>OK</v>
      </c>
    </row>
    <row r="5491" spans="2:34">
      <c r="B5491" s="2">
        <f ca="1"/>
        <v>0.51456192576955684</v>
      </c>
      <c r="O5491" s="2">
        <f ca="1"/>
        <v>-0.38774039114629111</v>
      </c>
      <c r="X5491" s="2">
        <f ca="1"/>
        <v>63.325969747094256</v>
      </c>
      <c r="AG5491" s="2">
        <f ca="1"/>
        <v>0.6896824649530362</v>
      </c>
      <c r="AH5491" s="2" t="str">
        <f ca="1"/>
        <v>Bad</v>
      </c>
    </row>
    <row r="5492" spans="2:34">
      <c r="B5492" s="2">
        <f ca="1"/>
        <v>0.50592461664148725</v>
      </c>
      <c r="O5492" s="2">
        <f ca="1"/>
        <v>0.36789267078697996</v>
      </c>
      <c r="X5492" s="2">
        <f ca="1"/>
        <v>36.037083834919237</v>
      </c>
      <c r="AG5492" s="2">
        <f ca="1"/>
        <v>0.32298795693711302</v>
      </c>
      <c r="AH5492" s="2" t="str">
        <f ca="1"/>
        <v>OK</v>
      </c>
    </row>
    <row r="5493" spans="2:34">
      <c r="B5493" s="2">
        <f ca="1"/>
        <v>0.63833792575608417</v>
      </c>
      <c r="O5493" s="2">
        <f ca="1"/>
        <v>-0.51656967281847477</v>
      </c>
      <c r="X5493" s="2">
        <f ca="1"/>
        <v>31.635438759539731</v>
      </c>
      <c r="AG5493" s="2">
        <f ca="1"/>
        <v>0.48653774001575445</v>
      </c>
      <c r="AH5493" s="2" t="str">
        <f ca="1"/>
        <v>Bad</v>
      </c>
    </row>
    <row r="5494" spans="2:34">
      <c r="B5494" s="2">
        <f ca="1"/>
        <v>0.73287137228170574</v>
      </c>
      <c r="O5494" s="2">
        <f ca="1"/>
        <v>0.33111842034041328</v>
      </c>
      <c r="X5494" s="2">
        <f ca="1"/>
        <v>35.446271761758695</v>
      </c>
      <c r="AG5494" s="2">
        <f ca="1"/>
        <v>0.38370105434819979</v>
      </c>
      <c r="AH5494" s="2" t="str">
        <f ca="1"/>
        <v>OK</v>
      </c>
    </row>
    <row r="5495" spans="2:34">
      <c r="B5495" s="2">
        <f ca="1"/>
        <v>0.63540840308746982</v>
      </c>
      <c r="O5495" s="2">
        <f ca="1"/>
        <v>0.27994200875960984</v>
      </c>
      <c r="X5495" s="2">
        <f ca="1"/>
        <v>48.677371246023739</v>
      </c>
      <c r="AG5495" s="2">
        <f ca="1"/>
        <v>0.23430573935531429</v>
      </c>
      <c r="AH5495" s="2" t="str">
        <f ca="1"/>
        <v>OK</v>
      </c>
    </row>
    <row r="5496" spans="2:34">
      <c r="B5496" s="2">
        <f ca="1"/>
        <v>0.83406698181996886</v>
      </c>
      <c r="O5496" s="2">
        <f ca="1"/>
        <v>0.12849672899755887</v>
      </c>
      <c r="X5496" s="2">
        <f ca="1"/>
        <v>44.523742657093464</v>
      </c>
      <c r="AG5496" s="2">
        <f ca="1"/>
        <v>0.97609713775670759</v>
      </c>
      <c r="AH5496" s="2" t="str">
        <f ca="1"/>
        <v>Bad</v>
      </c>
    </row>
    <row r="5497" spans="2:34">
      <c r="B5497" s="2">
        <f ca="1"/>
        <v>0.41865099664280336</v>
      </c>
      <c r="O5497" s="2">
        <f ca="1"/>
        <v>0.94094019251383065</v>
      </c>
      <c r="X5497" s="2">
        <f ca="1"/>
        <v>48.395587773152648</v>
      </c>
      <c r="AG5497" s="2">
        <f ca="1"/>
        <v>0.62624186437893492</v>
      </c>
      <c r="AH5497" s="2" t="str">
        <f ca="1"/>
        <v>Bad</v>
      </c>
    </row>
    <row r="5498" spans="2:34">
      <c r="B5498" s="2">
        <f ca="1"/>
        <v>0.65153915658808659</v>
      </c>
      <c r="O5498" s="2">
        <f ca="1"/>
        <v>1.7678770320252462</v>
      </c>
      <c r="X5498" s="2">
        <f ca="1"/>
        <v>43.863228409109631</v>
      </c>
      <c r="AG5498" s="2">
        <f ca="1"/>
        <v>0.80126431267960263</v>
      </c>
      <c r="AH5498" s="2" t="str">
        <f ca="1"/>
        <v>Bad</v>
      </c>
    </row>
    <row r="5499" spans="2:34">
      <c r="B5499" s="2">
        <f ca="1"/>
        <v>0.16461390487377625</v>
      </c>
      <c r="O5499" s="2">
        <f ca="1"/>
        <v>-1.565686123003281</v>
      </c>
      <c r="X5499" s="2">
        <f ca="1"/>
        <v>40.364187066066734</v>
      </c>
      <c r="AG5499" s="2">
        <f ca="1"/>
        <v>0.83086507186886194</v>
      </c>
      <c r="AH5499" s="2" t="str">
        <f ca="1"/>
        <v>Bad</v>
      </c>
    </row>
    <row r="5500" spans="2:34">
      <c r="B5500" s="2">
        <f ca="1"/>
        <v>0.51374268407033408</v>
      </c>
      <c r="O5500" s="2">
        <f ca="1"/>
        <v>-0.53724685641009384</v>
      </c>
      <c r="X5500" s="2">
        <f ca="1"/>
        <v>34.319224138462118</v>
      </c>
      <c r="AG5500" s="2">
        <f ca="1"/>
        <v>0.56554100430556886</v>
      </c>
      <c r="AH5500" s="2" t="str">
        <f ca="1"/>
        <v>Bad</v>
      </c>
    </row>
    <row r="5501" spans="2:34">
      <c r="B5501" s="2">
        <f ca="1"/>
        <v>0.76453339121763264</v>
      </c>
      <c r="O5501" s="2">
        <f ca="1"/>
        <v>-1.672050266030612</v>
      </c>
      <c r="X5501" s="2">
        <f ca="1"/>
        <v>52.016542544479719</v>
      </c>
      <c r="AG5501" s="2">
        <f ca="1"/>
        <v>3.3502776322653416E-2</v>
      </c>
      <c r="AH5501" s="2" t="str">
        <f ca="1"/>
        <v>Good</v>
      </c>
    </row>
    <row r="5502" spans="2:34">
      <c r="B5502" s="2">
        <f ca="1"/>
        <v>0.92349553140263074</v>
      </c>
      <c r="O5502" s="2">
        <f ca="1"/>
        <v>2.4649354818739289</v>
      </c>
      <c r="X5502" s="2">
        <f ca="1"/>
        <v>42.479382159459284</v>
      </c>
      <c r="AG5502" s="2">
        <f ca="1"/>
        <v>0.16044964079990809</v>
      </c>
      <c r="AH5502" s="2" t="str">
        <f ca="1"/>
        <v>OK</v>
      </c>
    </row>
    <row r="5503" spans="2:34">
      <c r="B5503" s="2">
        <f ca="1"/>
        <v>0.542004613077127</v>
      </c>
      <c r="O5503" s="2">
        <f ca="1"/>
        <v>0.65615614577268522</v>
      </c>
      <c r="X5503" s="2">
        <f ca="1"/>
        <v>55.960117280625695</v>
      </c>
      <c r="AG5503" s="2">
        <f ca="1"/>
        <v>0.96639888272282981</v>
      </c>
      <c r="AH5503" s="2" t="str">
        <f ca="1"/>
        <v>Bad</v>
      </c>
    </row>
    <row r="5504" spans="2:34">
      <c r="B5504" s="2">
        <f ca="1"/>
        <v>0.61918996057158515</v>
      </c>
      <c r="O5504" s="2">
        <f ca="1"/>
        <v>-0.53687650447546964</v>
      </c>
      <c r="X5504" s="2">
        <f ca="1"/>
        <v>49.781748387758135</v>
      </c>
      <c r="AG5504" s="2">
        <f ca="1"/>
        <v>0.72614661436194927</v>
      </c>
      <c r="AH5504" s="2" t="str">
        <f ca="1"/>
        <v>Bad</v>
      </c>
    </row>
    <row r="5505" spans="2:34">
      <c r="B5505" s="2">
        <f ca="1"/>
        <v>0.42590073756011382</v>
      </c>
      <c r="O5505" s="2">
        <f ca="1"/>
        <v>-1.4173833182463895</v>
      </c>
      <c r="X5505" s="2">
        <f ca="1"/>
        <v>29.29138430762281</v>
      </c>
      <c r="AG5505" s="2">
        <f ca="1"/>
        <v>0.79615722593476468</v>
      </c>
      <c r="AH5505" s="2" t="str">
        <f ca="1"/>
        <v>Bad</v>
      </c>
    </row>
    <row r="5506" spans="2:34">
      <c r="B5506" s="2">
        <f ca="1"/>
        <v>0.6911391279431236</v>
      </c>
      <c r="O5506" s="2">
        <f ca="1"/>
        <v>-0.19183394196919562</v>
      </c>
      <c r="X5506" s="2">
        <f ca="1"/>
        <v>57.156436219511015</v>
      </c>
      <c r="AG5506" s="2">
        <f ca="1"/>
        <v>0.56455247863887914</v>
      </c>
      <c r="AH5506" s="2" t="str">
        <f ca="1"/>
        <v>Bad</v>
      </c>
    </row>
    <row r="5507" spans="2:34">
      <c r="B5507" s="2">
        <f ca="1"/>
        <v>0.51680429365690261</v>
      </c>
      <c r="O5507" s="2">
        <f ca="1"/>
        <v>-1.2367482491411093</v>
      </c>
      <c r="X5507" s="2">
        <f ca="1"/>
        <v>47.526360209363034</v>
      </c>
      <c r="AG5507" s="2">
        <f ca="1"/>
        <v>0.18573560344765738</v>
      </c>
      <c r="AH5507" s="2" t="str">
        <f ca="1"/>
        <v>OK</v>
      </c>
    </row>
    <row r="5508" spans="2:34">
      <c r="B5508" s="2">
        <f ca="1"/>
        <v>0.68055822743534722</v>
      </c>
      <c r="O5508" s="2">
        <f ca="1"/>
        <v>0.28861440948799971</v>
      </c>
      <c r="X5508" s="2">
        <f ca="1"/>
        <v>51.112195811985075</v>
      </c>
      <c r="AG5508" s="2">
        <f ca="1"/>
        <v>0.12583344834309007</v>
      </c>
      <c r="AH5508" s="2" t="str">
        <f ca="1"/>
        <v>OK</v>
      </c>
    </row>
    <row r="5509" spans="2:34">
      <c r="B5509" s="2">
        <f ca="1"/>
        <v>2.46311703687776E-2</v>
      </c>
      <c r="O5509" s="2">
        <f ca="1"/>
        <v>1.1086558696037452</v>
      </c>
      <c r="X5509" s="2">
        <f ca="1"/>
        <v>55.068502336779915</v>
      </c>
      <c r="AG5509" s="2">
        <f ca="1"/>
        <v>0.59164960723801086</v>
      </c>
      <c r="AH5509" s="2" t="str">
        <f ca="1"/>
        <v>Bad</v>
      </c>
    </row>
    <row r="5510" spans="2:34">
      <c r="B5510" s="2">
        <f ca="1"/>
        <v>0.10160998326980764</v>
      </c>
      <c r="O5510" s="2">
        <f ca="1"/>
        <v>0.26788461532501812</v>
      </c>
      <c r="X5510" s="2">
        <f ca="1"/>
        <v>30.831809539896152</v>
      </c>
      <c r="AG5510" s="2">
        <f ca="1"/>
        <v>0.13809560614574545</v>
      </c>
      <c r="AH5510" s="2" t="str">
        <f ca="1"/>
        <v>OK</v>
      </c>
    </row>
    <row r="5511" spans="2:34">
      <c r="B5511" s="2">
        <f ca="1"/>
        <v>0.21939162083715158</v>
      </c>
      <c r="O5511" s="2">
        <f ca="1"/>
        <v>-7.1826324013671367E-2</v>
      </c>
      <c r="X5511" s="2">
        <f ca="1"/>
        <v>47.47078368693294</v>
      </c>
      <c r="AG5511" s="2">
        <f ca="1"/>
        <v>0.8799620477281942</v>
      </c>
      <c r="AH5511" s="2" t="str">
        <f ca="1"/>
        <v>Bad</v>
      </c>
    </row>
    <row r="5512" spans="2:34">
      <c r="B5512" s="2">
        <f ca="1"/>
        <v>0.73607383623332789</v>
      </c>
      <c r="O5512" s="2">
        <f ca="1"/>
        <v>1.1026337287678358</v>
      </c>
      <c r="X5512" s="2">
        <f ca="1"/>
        <v>61.254876108459953</v>
      </c>
      <c r="AG5512" s="2">
        <f ca="1"/>
        <v>0.20074237019081353</v>
      </c>
      <c r="AH5512" s="2" t="str">
        <f ca="1"/>
        <v>OK</v>
      </c>
    </row>
    <row r="5513" spans="2:34">
      <c r="B5513" s="2">
        <f ca="1"/>
        <v>0.39482870011349913</v>
      </c>
      <c r="O5513" s="2">
        <f ca="1"/>
        <v>2.4341818978396463</v>
      </c>
      <c r="X5513" s="2">
        <f ca="1"/>
        <v>83.747659992272901</v>
      </c>
      <c r="AG5513" s="2">
        <f ca="1"/>
        <v>0.10523022440289909</v>
      </c>
      <c r="AH5513" s="2" t="str">
        <f ca="1"/>
        <v>OK</v>
      </c>
    </row>
    <row r="5514" spans="2:34">
      <c r="B5514" s="2">
        <f ca="1"/>
        <v>0.75416199943163953</v>
      </c>
      <c r="O5514" s="2">
        <f ca="1"/>
        <v>-8.4641024751090255E-2</v>
      </c>
      <c r="X5514" s="2">
        <f ca="1"/>
        <v>28.195351335886837</v>
      </c>
      <c r="AG5514" s="2">
        <f ca="1"/>
        <v>0.11961360893924455</v>
      </c>
      <c r="AH5514" s="2" t="str">
        <f ca="1"/>
        <v>OK</v>
      </c>
    </row>
    <row r="5515" spans="2:34">
      <c r="B5515" s="2">
        <f ca="1"/>
        <v>0.82464379282141942</v>
      </c>
      <c r="O5515" s="2">
        <f ca="1"/>
        <v>-0.2167748274831999</v>
      </c>
      <c r="X5515" s="2">
        <f ca="1"/>
        <v>78.562467752828042</v>
      </c>
      <c r="AG5515" s="2">
        <f ca="1"/>
        <v>0.57319765841367065</v>
      </c>
      <c r="AH5515" s="2" t="str">
        <f ca="1"/>
        <v>Bad</v>
      </c>
    </row>
    <row r="5516" spans="2:34">
      <c r="B5516" s="2">
        <f ca="1"/>
        <v>0.45629698269659658</v>
      </c>
      <c r="O5516" s="2">
        <f ca="1"/>
        <v>-0.53096892545328622</v>
      </c>
      <c r="X5516" s="2">
        <f ca="1"/>
        <v>54.778554447039376</v>
      </c>
      <c r="AG5516" s="2">
        <f ca="1"/>
        <v>0.1964397908286335</v>
      </c>
      <c r="AH5516" s="2" t="str">
        <f ca="1"/>
        <v>OK</v>
      </c>
    </row>
    <row r="5517" spans="2:34">
      <c r="B5517" s="2">
        <f ca="1"/>
        <v>0.49377541798912938</v>
      </c>
      <c r="O5517" s="2">
        <f ca="1"/>
        <v>-1.7048827745434691</v>
      </c>
      <c r="X5517" s="2">
        <f ca="1"/>
        <v>24.514369903035231</v>
      </c>
      <c r="AG5517" s="2">
        <f ca="1"/>
        <v>0.42443335365630186</v>
      </c>
      <c r="AH5517" s="2" t="str">
        <f ca="1"/>
        <v>Bad</v>
      </c>
    </row>
    <row r="5518" spans="2:34">
      <c r="B5518" s="2">
        <f ca="1"/>
        <v>9.7511649393287048E-3</v>
      </c>
      <c r="O5518" s="2">
        <f ca="1"/>
        <v>-1.7098894894387016</v>
      </c>
      <c r="X5518" s="2">
        <f ca="1"/>
        <v>57.375287438052879</v>
      </c>
      <c r="AG5518" s="2">
        <f ca="1"/>
        <v>0.59069173139334352</v>
      </c>
      <c r="AH5518" s="2" t="str">
        <f ca="1"/>
        <v>Bad</v>
      </c>
    </row>
    <row r="5519" spans="2:34">
      <c r="B5519" s="2">
        <f ca="1"/>
        <v>0.83842641452649191</v>
      </c>
      <c r="O5519" s="2">
        <f ca="1"/>
        <v>-0.69930105749297211</v>
      </c>
      <c r="X5519" s="2">
        <f ca="1"/>
        <v>32.992424523642526</v>
      </c>
      <c r="AG5519" s="2">
        <f ca="1"/>
        <v>0.13737435172730827</v>
      </c>
      <c r="AH5519" s="2" t="str">
        <f ca="1"/>
        <v>OK</v>
      </c>
    </row>
    <row r="5520" spans="2:34">
      <c r="B5520" s="2">
        <f ca="1"/>
        <v>0.72967618890327057</v>
      </c>
      <c r="O5520" s="2">
        <f ca="1"/>
        <v>0.35682122169661162</v>
      </c>
      <c r="X5520" s="2">
        <f ca="1"/>
        <v>55.038785261216397</v>
      </c>
      <c r="AG5520" s="2">
        <f ca="1"/>
        <v>0.77278449247501468</v>
      </c>
      <c r="AH5520" s="2" t="str">
        <f ca="1"/>
        <v>Bad</v>
      </c>
    </row>
    <row r="5521" spans="2:34">
      <c r="B5521" s="2">
        <f ca="1"/>
        <v>0.3567123976641704</v>
      </c>
      <c r="O5521" s="2">
        <f ca="1"/>
        <v>1.1206184185056218</v>
      </c>
      <c r="X5521" s="2">
        <f ca="1"/>
        <v>75.71839892801097</v>
      </c>
      <c r="AG5521" s="2">
        <f ca="1"/>
        <v>0.96994046095286324</v>
      </c>
      <c r="AH5521" s="2" t="str">
        <f ca="1"/>
        <v>Bad</v>
      </c>
    </row>
    <row r="5522" spans="2:34">
      <c r="B5522" s="2">
        <f ca="1"/>
        <v>0.96356927677284498</v>
      </c>
      <c r="O5522" s="2">
        <f ca="1"/>
        <v>-0.30433970010768835</v>
      </c>
      <c r="X5522" s="2">
        <f ca="1"/>
        <v>48.864050817545404</v>
      </c>
      <c r="AG5522" s="2">
        <f ca="1"/>
        <v>0.75073683058338347</v>
      </c>
      <c r="AH5522" s="2" t="str">
        <f ca="1"/>
        <v>Bad</v>
      </c>
    </row>
    <row r="5523" spans="2:34">
      <c r="B5523" s="2">
        <f ca="1"/>
        <v>0.2719643435339183</v>
      </c>
      <c r="O5523" s="2">
        <f ca="1"/>
        <v>1.3973803514473837</v>
      </c>
      <c r="X5523" s="2">
        <f ca="1"/>
        <v>37.066599540757814</v>
      </c>
      <c r="AG5523" s="2">
        <f ca="1"/>
        <v>0.64946621187186859</v>
      </c>
      <c r="AH5523" s="2" t="str">
        <f ca="1"/>
        <v>Bad</v>
      </c>
    </row>
    <row r="5524" spans="2:34">
      <c r="B5524" s="2">
        <f ca="1"/>
        <v>0.4553613775535903</v>
      </c>
      <c r="O5524" s="2">
        <f ca="1"/>
        <v>2.2174810937419509</v>
      </c>
      <c r="X5524" s="2">
        <f ca="1"/>
        <v>55.255559350579958</v>
      </c>
      <c r="AG5524" s="2">
        <f ca="1"/>
        <v>0.38657901312381493</v>
      </c>
      <c r="AH5524" s="2" t="str">
        <f ca="1"/>
        <v>OK</v>
      </c>
    </row>
    <row r="5525" spans="2:34">
      <c r="B5525" s="2">
        <f ca="1"/>
        <v>0.15084648845986637</v>
      </c>
      <c r="O5525" s="2">
        <f ca="1"/>
        <v>0.87312189610878355</v>
      </c>
      <c r="X5525" s="2">
        <f ca="1"/>
        <v>43.44218742774342</v>
      </c>
      <c r="AG5525" s="2">
        <f ca="1"/>
        <v>0.96708304927870192</v>
      </c>
      <c r="AH5525" s="2" t="str">
        <f ca="1"/>
        <v>Bad</v>
      </c>
    </row>
    <row r="5526" spans="2:34">
      <c r="B5526" s="2">
        <f ca="1"/>
        <v>0.87190165508056894</v>
      </c>
      <c r="O5526" s="2">
        <f ca="1"/>
        <v>0.42730043096495562</v>
      </c>
      <c r="X5526" s="2">
        <f ca="1"/>
        <v>32.893069908715077</v>
      </c>
      <c r="AG5526" s="2">
        <f ca="1"/>
        <v>0.41776805332929157</v>
      </c>
      <c r="AH5526" s="2" t="str">
        <f ca="1"/>
        <v>Bad</v>
      </c>
    </row>
    <row r="5527" spans="2:34">
      <c r="B5527" s="2">
        <f ca="1"/>
        <v>4.9142679308291415E-2</v>
      </c>
      <c r="O5527" s="2">
        <f ca="1"/>
        <v>-0.52971298249290777</v>
      </c>
      <c r="X5527" s="2">
        <f ca="1"/>
        <v>43.610485671497017</v>
      </c>
      <c r="AG5527" s="2">
        <f ca="1"/>
        <v>0.72278357028201201</v>
      </c>
      <c r="AH5527" s="2" t="str">
        <f ca="1"/>
        <v>Bad</v>
      </c>
    </row>
    <row r="5528" spans="2:34">
      <c r="B5528" s="2">
        <f ca="1"/>
        <v>0.65164140085219624</v>
      </c>
      <c r="O5528" s="2">
        <f ca="1"/>
        <v>0.39959279349486243</v>
      </c>
      <c r="X5528" s="2">
        <f ca="1"/>
        <v>48.115877741237831</v>
      </c>
      <c r="AG5528" s="2">
        <f ca="1"/>
        <v>7.9582196827233442E-2</v>
      </c>
      <c r="AH5528" s="2" t="str">
        <f ca="1"/>
        <v>OK</v>
      </c>
    </row>
    <row r="5529" spans="2:34">
      <c r="B5529" s="2">
        <f ca="1"/>
        <v>0.32744912872149046</v>
      </c>
      <c r="O5529" s="2">
        <f ca="1"/>
        <v>0.7598093885524646</v>
      </c>
      <c r="X5529" s="2">
        <f ca="1"/>
        <v>42.639975939325552</v>
      </c>
      <c r="AG5529" s="2">
        <f ca="1"/>
        <v>5.1391070869175159E-2</v>
      </c>
      <c r="AH5529" s="2" t="str">
        <f ca="1"/>
        <v>OK</v>
      </c>
    </row>
    <row r="5530" spans="2:34">
      <c r="B5530" s="2">
        <f ca="1"/>
        <v>1.1953896457441493E-2</v>
      </c>
      <c r="O5530" s="2">
        <f ca="1"/>
        <v>2.1424516212513445</v>
      </c>
      <c r="X5530" s="2">
        <f ca="1"/>
        <v>47.379574476716755</v>
      </c>
      <c r="AG5530" s="2">
        <f ca="1"/>
        <v>0.15936184424072164</v>
      </c>
      <c r="AH5530" s="2" t="str">
        <f ca="1"/>
        <v>OK</v>
      </c>
    </row>
    <row r="5531" spans="2:34">
      <c r="B5531" s="2">
        <f ca="1"/>
        <v>0.51384571286155478</v>
      </c>
      <c r="O5531" s="2">
        <f ca="1"/>
        <v>2.1802235374764913E-2</v>
      </c>
      <c r="X5531" s="2">
        <f ca="1"/>
        <v>59.350189435666323</v>
      </c>
      <c r="AG5531" s="2">
        <f ca="1"/>
        <v>0.27651933987111654</v>
      </c>
      <c r="AH5531" s="2" t="str">
        <f ca="1"/>
        <v>OK</v>
      </c>
    </row>
    <row r="5532" spans="2:34">
      <c r="B5532" s="2">
        <f ca="1"/>
        <v>0.23966213113341861</v>
      </c>
      <c r="O5532" s="2">
        <f ca="1"/>
        <v>0.4640653265204277</v>
      </c>
      <c r="X5532" s="2">
        <f ca="1"/>
        <v>53.204998793147887</v>
      </c>
      <c r="AG5532" s="2">
        <f ca="1"/>
        <v>0.14722371979238846</v>
      </c>
      <c r="AH5532" s="2" t="str">
        <f ca="1"/>
        <v>OK</v>
      </c>
    </row>
    <row r="5533" spans="2:34">
      <c r="B5533" s="2">
        <f ca="1"/>
        <v>0.71109701093085875</v>
      </c>
      <c r="O5533" s="2">
        <f ca="1"/>
        <v>-1.6844822670026056</v>
      </c>
      <c r="X5533" s="2">
        <f ca="1"/>
        <v>70.134429426737782</v>
      </c>
      <c r="AG5533" s="2">
        <f ca="1"/>
        <v>0.18176704334846305</v>
      </c>
      <c r="AH5533" s="2" t="str">
        <f ca="1"/>
        <v>OK</v>
      </c>
    </row>
    <row r="5534" spans="2:34">
      <c r="B5534" s="2">
        <f ca="1"/>
        <v>5.7255553956300442E-2</v>
      </c>
      <c r="O5534" s="2">
        <f ca="1"/>
        <v>1.1893640094796325</v>
      </c>
      <c r="X5534" s="2">
        <f ca="1"/>
        <v>91.714056362743889</v>
      </c>
      <c r="AG5534" s="2">
        <f ca="1"/>
        <v>0.92715251931001097</v>
      </c>
      <c r="AH5534" s="2" t="str">
        <f ca="1"/>
        <v>Bad</v>
      </c>
    </row>
    <row r="5535" spans="2:34">
      <c r="B5535" s="2">
        <f ca="1"/>
        <v>0.82041015645140281</v>
      </c>
      <c r="O5535" s="2">
        <f ca="1"/>
        <v>0.6616764177124822</v>
      </c>
      <c r="X5535" s="2">
        <f ca="1"/>
        <v>57.542342254088069</v>
      </c>
      <c r="AG5535" s="2">
        <f ca="1"/>
        <v>0.73023924933450179</v>
      </c>
      <c r="AH5535" s="2" t="str">
        <f ca="1"/>
        <v>Bad</v>
      </c>
    </row>
    <row r="5536" spans="2:34">
      <c r="B5536" s="2">
        <f ca="1"/>
        <v>0.84893363966955415</v>
      </c>
      <c r="O5536" s="2">
        <f ca="1"/>
        <v>1.0084211358662338</v>
      </c>
      <c r="X5536" s="2">
        <f ca="1"/>
        <v>57.82856342279252</v>
      </c>
      <c r="AG5536" s="2">
        <f ca="1"/>
        <v>0.12246582511844006</v>
      </c>
      <c r="AH5536" s="2" t="str">
        <f ca="1"/>
        <v>OK</v>
      </c>
    </row>
    <row r="5537" spans="2:34">
      <c r="B5537" s="2">
        <f ca="1"/>
        <v>0.81154505417064593</v>
      </c>
      <c r="O5537" s="2">
        <f ca="1"/>
        <v>-1.6167475435967662</v>
      </c>
      <c r="X5537" s="2">
        <f ca="1"/>
        <v>36.605328810086171</v>
      </c>
      <c r="AG5537" s="2">
        <f ca="1"/>
        <v>3.7964868119173545E-2</v>
      </c>
      <c r="AH5537" s="2" t="str">
        <f ca="1"/>
        <v>Good</v>
      </c>
    </row>
    <row r="5538" spans="2:34">
      <c r="B5538" s="2">
        <f ca="1"/>
        <v>0.85819684635748783</v>
      </c>
      <c r="O5538" s="2">
        <f ca="1"/>
        <v>1.4939725802250376</v>
      </c>
      <c r="X5538" s="2">
        <f ca="1"/>
        <v>47.711710741657676</v>
      </c>
      <c r="AG5538" s="2">
        <f ca="1"/>
        <v>0.44923440344393328</v>
      </c>
      <c r="AH5538" s="2" t="str">
        <f ca="1"/>
        <v>Bad</v>
      </c>
    </row>
    <row r="5539" spans="2:34">
      <c r="B5539" s="2">
        <f ca="1"/>
        <v>0.33352308123638341</v>
      </c>
      <c r="O5539" s="2">
        <f ca="1"/>
        <v>-1.0300266440913908</v>
      </c>
      <c r="X5539" s="2">
        <f ca="1"/>
        <v>58.480676917128072</v>
      </c>
      <c r="AG5539" s="2">
        <f ca="1"/>
        <v>2.8449161564046532E-2</v>
      </c>
      <c r="AH5539" s="2" t="str">
        <f ca="1"/>
        <v>Good</v>
      </c>
    </row>
    <row r="5540" spans="2:34">
      <c r="B5540" s="2">
        <f ca="1"/>
        <v>0.12089703378909289</v>
      </c>
      <c r="O5540" s="2">
        <f ca="1"/>
        <v>-2.5038788166542392</v>
      </c>
      <c r="X5540" s="2">
        <f ca="1"/>
        <v>46.06548777881325</v>
      </c>
      <c r="AG5540" s="2">
        <f ca="1"/>
        <v>0.89447615568145955</v>
      </c>
      <c r="AH5540" s="2" t="str">
        <f ca="1"/>
        <v>Bad</v>
      </c>
    </row>
    <row r="5541" spans="2:34">
      <c r="B5541" s="2">
        <f ca="1"/>
        <v>0.82842357970859082</v>
      </c>
      <c r="O5541" s="2">
        <f ca="1"/>
        <v>-0.55195988650484562</v>
      </c>
      <c r="X5541" s="2">
        <f ca="1"/>
        <v>41.920413193420231</v>
      </c>
      <c r="AG5541" s="2">
        <f ca="1"/>
        <v>0.13730159228985617</v>
      </c>
      <c r="AH5541" s="2" t="str">
        <f ca="1"/>
        <v>OK</v>
      </c>
    </row>
    <row r="5542" spans="2:34">
      <c r="B5542" s="2">
        <f ca="1"/>
        <v>0.75473243385109567</v>
      </c>
      <c r="O5542" s="2">
        <f ca="1"/>
        <v>-0.28742610833706067</v>
      </c>
      <c r="X5542" s="2">
        <f ca="1"/>
        <v>41.724827299200349</v>
      </c>
      <c r="AG5542" s="2">
        <f ca="1"/>
        <v>0.76146974810486845</v>
      </c>
      <c r="AH5542" s="2" t="str">
        <f ca="1"/>
        <v>Bad</v>
      </c>
    </row>
    <row r="5543" spans="2:34">
      <c r="B5543" s="2">
        <f ca="1"/>
        <v>0.74762995010520061</v>
      </c>
      <c r="O5543" s="2">
        <f ca="1"/>
        <v>0.5424853962011813</v>
      </c>
      <c r="X5543" s="2">
        <f ca="1"/>
        <v>30.112957540925301</v>
      </c>
      <c r="AG5543" s="2">
        <f ca="1"/>
        <v>7.8350916095774936E-2</v>
      </c>
      <c r="AH5543" s="2" t="str">
        <f ca="1"/>
        <v>OK</v>
      </c>
    </row>
    <row r="5544" spans="2:34">
      <c r="B5544" s="2">
        <f ca="1"/>
        <v>0.2796171042759783</v>
      </c>
      <c r="O5544" s="2">
        <f ca="1"/>
        <v>0.3277856480422931</v>
      </c>
      <c r="X5544" s="2">
        <f ca="1"/>
        <v>56.690817448719713</v>
      </c>
      <c r="AG5544" s="2">
        <f ca="1"/>
        <v>0.62079593661287413</v>
      </c>
      <c r="AH5544" s="2" t="str">
        <f ca="1"/>
        <v>Bad</v>
      </c>
    </row>
    <row r="5545" spans="2:34">
      <c r="B5545" s="2">
        <f ca="1"/>
        <v>0.97530033588021969</v>
      </c>
      <c r="O5545" s="2">
        <f ca="1"/>
        <v>-0.14569601388685041</v>
      </c>
      <c r="X5545" s="2">
        <f ca="1"/>
        <v>37.008657491560307</v>
      </c>
      <c r="AG5545" s="2">
        <f ca="1"/>
        <v>0.14654865410209061</v>
      </c>
      <c r="AH5545" s="2" t="str">
        <f ca="1"/>
        <v>OK</v>
      </c>
    </row>
    <row r="5546" spans="2:34">
      <c r="B5546" s="2">
        <f ca="1"/>
        <v>0.48551738701708502</v>
      </c>
      <c r="O5546" s="2">
        <f ca="1"/>
        <v>-1.1631733817596492</v>
      </c>
      <c r="X5546" s="2">
        <f ca="1"/>
        <v>55.482851957283955</v>
      </c>
      <c r="AG5546" s="2">
        <f ca="1"/>
        <v>0.76206779295337923</v>
      </c>
      <c r="AH5546" s="2" t="str">
        <f ca="1"/>
        <v>Bad</v>
      </c>
    </row>
    <row r="5547" spans="2:34">
      <c r="B5547" s="2">
        <f ca="1"/>
        <v>0.58074034612652325</v>
      </c>
      <c r="O5547" s="2">
        <f ca="1"/>
        <v>-2.5877570208581346</v>
      </c>
      <c r="X5547" s="2">
        <f ca="1"/>
        <v>50.312843031365524</v>
      </c>
      <c r="AG5547" s="2">
        <f ca="1"/>
        <v>0.69228157058977491</v>
      </c>
      <c r="AH5547" s="2" t="str">
        <f ca="1"/>
        <v>Bad</v>
      </c>
    </row>
    <row r="5548" spans="2:34">
      <c r="B5548" s="2">
        <f ca="1"/>
        <v>0.31963689471937862</v>
      </c>
      <c r="O5548" s="2">
        <f ca="1"/>
        <v>0.2412527306288125</v>
      </c>
      <c r="X5548" s="2">
        <f ca="1"/>
        <v>72.028401113855935</v>
      </c>
      <c r="AG5548" s="2">
        <f ca="1"/>
        <v>0.70926060731441409</v>
      </c>
      <c r="AH5548" s="2" t="str">
        <f ca="1"/>
        <v>Bad</v>
      </c>
    </row>
    <row r="5549" spans="2:34">
      <c r="B5549" s="2">
        <f ca="1"/>
        <v>3.7297975165377695E-2</v>
      </c>
      <c r="O5549" s="2">
        <f ca="1"/>
        <v>1.1457638626796116</v>
      </c>
      <c r="X5549" s="2">
        <f ca="1"/>
        <v>66.986704962965618</v>
      </c>
      <c r="AG5549" s="2">
        <f ca="1"/>
        <v>0.62817665853166083</v>
      </c>
      <c r="AH5549" s="2" t="str">
        <f ca="1"/>
        <v>Bad</v>
      </c>
    </row>
    <row r="5550" spans="2:34">
      <c r="B5550" s="2">
        <f ca="1"/>
        <v>0.40075216411896841</v>
      </c>
      <c r="O5550" s="2">
        <f ca="1"/>
        <v>-0.53393213899188441</v>
      </c>
      <c r="X5550" s="2">
        <f ca="1"/>
        <v>42.366134656665999</v>
      </c>
      <c r="AG5550" s="2">
        <f ca="1"/>
        <v>0.32153038293890335</v>
      </c>
      <c r="AH5550" s="2" t="str">
        <f ca="1"/>
        <v>OK</v>
      </c>
    </row>
    <row r="5551" spans="2:34">
      <c r="B5551" s="2">
        <f ca="1"/>
        <v>0.48781002384275918</v>
      </c>
      <c r="O5551" s="2">
        <f ca="1"/>
        <v>5.3213016055356749E-2</v>
      </c>
      <c r="X5551" s="2">
        <f ca="1"/>
        <v>49.576423945637956</v>
      </c>
      <c r="AG5551" s="2">
        <f ca="1"/>
        <v>0.40237025057020359</v>
      </c>
      <c r="AH5551" s="2" t="str">
        <f ca="1"/>
        <v>Bad</v>
      </c>
    </row>
    <row r="5552" spans="2:34">
      <c r="B5552" s="2">
        <f ca="1"/>
        <v>0.49158477849097681</v>
      </c>
      <c r="O5552" s="2">
        <f ca="1"/>
        <v>0.19794297806958872</v>
      </c>
      <c r="X5552" s="2">
        <f ca="1"/>
        <v>59.112341248813784</v>
      </c>
      <c r="AG5552" s="2">
        <f ca="1"/>
        <v>0.9302259496109444</v>
      </c>
      <c r="AH5552" s="2" t="str">
        <f ca="1"/>
        <v>Bad</v>
      </c>
    </row>
    <row r="5553" spans="2:34">
      <c r="B5553" s="2">
        <f ca="1"/>
        <v>0.60896504078667957</v>
      </c>
      <c r="O5553" s="2">
        <f ca="1"/>
        <v>0.27160451210817022</v>
      </c>
      <c r="X5553" s="2">
        <f ca="1"/>
        <v>57.074077342582726</v>
      </c>
      <c r="AG5553" s="2">
        <f ca="1"/>
        <v>0.24349940903639933</v>
      </c>
      <c r="AH5553" s="2" t="str">
        <f ca="1"/>
        <v>OK</v>
      </c>
    </row>
    <row r="5554" spans="2:34">
      <c r="B5554" s="2">
        <f ca="1"/>
        <v>0.43315057118585165</v>
      </c>
      <c r="O5554" s="2">
        <f ca="1"/>
        <v>-1.6478898743010986</v>
      </c>
      <c r="X5554" s="2">
        <f ca="1"/>
        <v>40.2096187051567</v>
      </c>
      <c r="AG5554" s="2">
        <f ca="1"/>
        <v>0.69013555842420127</v>
      </c>
      <c r="AH5554" s="2" t="str">
        <f ca="1"/>
        <v>Bad</v>
      </c>
    </row>
    <row r="5555" spans="2:34">
      <c r="B5555" s="2">
        <f ca="1"/>
        <v>0.71444411600517821</v>
      </c>
      <c r="O5555" s="2">
        <f ca="1"/>
        <v>-0.32859652519659649</v>
      </c>
      <c r="X5555" s="2">
        <f ca="1"/>
        <v>54.654728226958426</v>
      </c>
      <c r="AG5555" s="2">
        <f ca="1"/>
        <v>0.19539806167474794</v>
      </c>
      <c r="AH5555" s="2" t="str">
        <f ca="1"/>
        <v>OK</v>
      </c>
    </row>
    <row r="5556" spans="2:34">
      <c r="B5556" s="2">
        <f ca="1"/>
        <v>0.87994783651202324</v>
      </c>
      <c r="O5556" s="2">
        <f ca="1"/>
        <v>-0.36788971127004816</v>
      </c>
      <c r="X5556" s="2">
        <f ca="1"/>
        <v>24.217556177320247</v>
      </c>
      <c r="AG5556" s="2">
        <f ca="1"/>
        <v>0.23941736305227201</v>
      </c>
      <c r="AH5556" s="2" t="str">
        <f ca="1"/>
        <v>OK</v>
      </c>
    </row>
    <row r="5557" spans="2:34">
      <c r="B5557" s="2">
        <f ca="1"/>
        <v>1.0120891263097898E-2</v>
      </c>
      <c r="O5557" s="2">
        <f ca="1"/>
        <v>1.7051758724965382</v>
      </c>
      <c r="X5557" s="2">
        <f ca="1"/>
        <v>43.879634347311082</v>
      </c>
      <c r="AG5557" s="2">
        <f ca="1"/>
        <v>8.9500894654185759E-2</v>
      </c>
      <c r="AH5557" s="2" t="str">
        <f ca="1"/>
        <v>OK</v>
      </c>
    </row>
    <row r="5558" spans="2:34">
      <c r="B5558" s="2">
        <f ca="1"/>
        <v>0.21203344292342208</v>
      </c>
      <c r="O5558" s="2">
        <f ca="1"/>
        <v>-0.42786007110075375</v>
      </c>
      <c r="X5558" s="2">
        <f ca="1"/>
        <v>40.24360101085361</v>
      </c>
      <c r="AG5558" s="2">
        <f ca="1"/>
        <v>0.37416561036494733</v>
      </c>
      <c r="AH5558" s="2" t="str">
        <f ca="1"/>
        <v>OK</v>
      </c>
    </row>
    <row r="5559" spans="2:34">
      <c r="B5559" s="2">
        <f ca="1"/>
        <v>0.91728824521091701</v>
      </c>
      <c r="O5559" s="2">
        <f ca="1"/>
        <v>1.0397875648809463</v>
      </c>
      <c r="X5559" s="2">
        <f ca="1"/>
        <v>42.89154128186884</v>
      </c>
      <c r="AG5559" s="2">
        <f ca="1"/>
        <v>0.57912873962265965</v>
      </c>
      <c r="AH5559" s="2" t="str">
        <f ca="1"/>
        <v>Bad</v>
      </c>
    </row>
    <row r="5560" spans="2:34">
      <c r="B5560" s="2">
        <f ca="1"/>
        <v>0.88416505492736519</v>
      </c>
      <c r="O5560" s="2">
        <f ca="1"/>
        <v>0.99948498470175362</v>
      </c>
      <c r="X5560" s="2">
        <f ca="1"/>
        <v>58.780054753891619</v>
      </c>
      <c r="AG5560" s="2">
        <f ca="1"/>
        <v>0.68629776201269865</v>
      </c>
      <c r="AH5560" s="2" t="str">
        <f ca="1"/>
        <v>Bad</v>
      </c>
    </row>
    <row r="5561" spans="2:34">
      <c r="B5561" s="2">
        <f ca="1"/>
        <v>5.0551938484355574E-2</v>
      </c>
      <c r="O5561" s="2">
        <f ca="1"/>
        <v>0.46498120207932314</v>
      </c>
      <c r="X5561" s="2">
        <f ca="1"/>
        <v>18.541930150598986</v>
      </c>
      <c r="AG5561" s="2">
        <f ca="1"/>
        <v>0.57178769238301586</v>
      </c>
      <c r="AH5561" s="2" t="str">
        <f ca="1"/>
        <v>Bad</v>
      </c>
    </row>
    <row r="5562" spans="2:34">
      <c r="B5562" s="2">
        <f ca="1"/>
        <v>0.97533490646376264</v>
      </c>
      <c r="O5562" s="2">
        <f ca="1"/>
        <v>3.0700230107896874E-2</v>
      </c>
      <c r="X5562" s="2">
        <f ca="1"/>
        <v>55.222924042201704</v>
      </c>
      <c r="AG5562" s="2">
        <f ca="1"/>
        <v>0.47976124998547598</v>
      </c>
      <c r="AH5562" s="2" t="str">
        <f ca="1"/>
        <v>Bad</v>
      </c>
    </row>
    <row r="5563" spans="2:34">
      <c r="B5563" s="2">
        <f ca="1"/>
        <v>0.39492122374600114</v>
      </c>
      <c r="O5563" s="2">
        <f ca="1"/>
        <v>-0.77652910219740179</v>
      </c>
      <c r="X5563" s="2">
        <f ca="1"/>
        <v>44.772269428374457</v>
      </c>
      <c r="AG5563" s="2">
        <f ca="1"/>
        <v>0.26064999676194467</v>
      </c>
      <c r="AH5563" s="2" t="str">
        <f ca="1"/>
        <v>OK</v>
      </c>
    </row>
    <row r="5564" spans="2:34">
      <c r="B5564" s="2">
        <f ca="1"/>
        <v>0.44056912974248963</v>
      </c>
      <c r="O5564" s="2">
        <f ca="1"/>
        <v>-0.29267512243770194</v>
      </c>
      <c r="X5564" s="2">
        <f ca="1"/>
        <v>45.781849273083502</v>
      </c>
      <c r="AG5564" s="2">
        <f ca="1"/>
        <v>4.1883062184132624E-2</v>
      </c>
      <c r="AH5564" s="2" t="str">
        <f ca="1"/>
        <v>Good</v>
      </c>
    </row>
    <row r="5565" spans="2:34">
      <c r="B5565" s="2">
        <f ca="1"/>
        <v>0.66001921332819946</v>
      </c>
      <c r="O5565" s="2">
        <f ca="1"/>
        <v>-0.18938639397887022</v>
      </c>
      <c r="X5565" s="2">
        <f ca="1"/>
        <v>34.248259730159262</v>
      </c>
      <c r="AG5565" s="2">
        <f ca="1"/>
        <v>0.25795374505946933</v>
      </c>
      <c r="AH5565" s="2" t="str">
        <f ca="1"/>
        <v>OK</v>
      </c>
    </row>
    <row r="5566" spans="2:34">
      <c r="B5566" s="2">
        <f ca="1"/>
        <v>0.86010121656438931</v>
      </c>
      <c r="O5566" s="2">
        <f ca="1"/>
        <v>-1.3598945314086797</v>
      </c>
      <c r="X5566" s="2">
        <f ca="1"/>
        <v>53.284812658831186</v>
      </c>
      <c r="AG5566" s="2">
        <f ca="1"/>
        <v>0.11043770304127376</v>
      </c>
      <c r="AH5566" s="2" t="str">
        <f ca="1"/>
        <v>OK</v>
      </c>
    </row>
    <row r="5567" spans="2:34">
      <c r="B5567" s="2">
        <f ca="1"/>
        <v>6.2148454462134906E-2</v>
      </c>
      <c r="O5567" s="2">
        <f ca="1"/>
        <v>1.3981309158707065</v>
      </c>
      <c r="X5567" s="2">
        <f ca="1"/>
        <v>35.498587109655276</v>
      </c>
      <c r="AG5567" s="2">
        <f ca="1"/>
        <v>0.37832433862859127</v>
      </c>
      <c r="AH5567" s="2" t="str">
        <f ca="1"/>
        <v>OK</v>
      </c>
    </row>
    <row r="5568" spans="2:34">
      <c r="B5568" s="2">
        <f ca="1"/>
        <v>0.68266728020346101</v>
      </c>
      <c r="O5568" s="2">
        <f ca="1"/>
        <v>0.18244306772038629</v>
      </c>
      <c r="X5568" s="2">
        <f ca="1"/>
        <v>61.230650091776219</v>
      </c>
      <c r="AG5568" s="2">
        <f ca="1"/>
        <v>0.18820963614750608</v>
      </c>
      <c r="AH5568" s="2" t="str">
        <f ca="1"/>
        <v>OK</v>
      </c>
    </row>
    <row r="5569" spans="2:34">
      <c r="B5569" s="2">
        <f ca="1"/>
        <v>0.62024740334731354</v>
      </c>
      <c r="O5569" s="2">
        <f ca="1"/>
        <v>-1.465191015092129</v>
      </c>
      <c r="X5569" s="2">
        <f ca="1"/>
        <v>62.980928905590936</v>
      </c>
      <c r="AG5569" s="2">
        <f ca="1"/>
        <v>0.9507146660786856</v>
      </c>
      <c r="AH5569" s="2" t="str">
        <f ca="1"/>
        <v>Bad</v>
      </c>
    </row>
    <row r="5570" spans="2:34">
      <c r="B5570" s="2">
        <f ca="1"/>
        <v>0.42814939494630821</v>
      </c>
      <c r="O5570" s="2">
        <f ca="1"/>
        <v>0.10299104127327388</v>
      </c>
      <c r="X5570" s="2">
        <f ca="1"/>
        <v>65.562107329481393</v>
      </c>
      <c r="AG5570" s="2">
        <f ca="1"/>
        <v>0.75236467329719958</v>
      </c>
      <c r="AH5570" s="2" t="str">
        <f ca="1"/>
        <v>Bad</v>
      </c>
    </row>
    <row r="5571" spans="2:34">
      <c r="B5571" s="2">
        <f ca="1"/>
        <v>3.3210019408004721E-2</v>
      </c>
      <c r="O5571" s="2">
        <f ca="1"/>
        <v>1.0095921657346045</v>
      </c>
      <c r="X5571" s="2">
        <f ca="1"/>
        <v>38.845537255836248</v>
      </c>
      <c r="AG5571" s="2">
        <f ca="1"/>
        <v>0.91591323208805187</v>
      </c>
      <c r="AH5571" s="2" t="str">
        <f ca="1"/>
        <v>Bad</v>
      </c>
    </row>
    <row r="5572" spans="2:34">
      <c r="B5572" s="2">
        <f ca="1"/>
        <v>0.45605963404762595</v>
      </c>
      <c r="O5572" s="2">
        <f ca="1"/>
        <v>-8.5924603452070175E-2</v>
      </c>
      <c r="X5572" s="2">
        <f ca="1"/>
        <v>18.47844427167097</v>
      </c>
      <c r="AG5572" s="2">
        <f ca="1"/>
        <v>0.69283736260609285</v>
      </c>
      <c r="AH5572" s="2" t="str">
        <f ca="1"/>
        <v>Bad</v>
      </c>
    </row>
    <row r="5573" spans="2:34">
      <c r="B5573" s="2">
        <f ca="1"/>
        <v>0.23084996352667053</v>
      </c>
      <c r="O5573" s="2">
        <f ca="1"/>
        <v>0.30717712770974021</v>
      </c>
      <c r="X5573" s="2">
        <f ca="1"/>
        <v>49.309487545016893</v>
      </c>
      <c r="AG5573" s="2">
        <f ca="1"/>
        <v>8.7223391744841727E-3</v>
      </c>
      <c r="AH5573" s="2" t="str">
        <f ca="1"/>
        <v>Good</v>
      </c>
    </row>
    <row r="5574" spans="2:34">
      <c r="B5574" s="2">
        <f ca="1"/>
        <v>0.90044721492960633</v>
      </c>
      <c r="O5574" s="2">
        <f ca="1"/>
        <v>0.99951504286380388</v>
      </c>
      <c r="X5574" s="2">
        <f ca="1"/>
        <v>92.645642378008205</v>
      </c>
      <c r="AG5574" s="2">
        <f ca="1"/>
        <v>0.8166149202163635</v>
      </c>
      <c r="AH5574" s="2" t="str">
        <f ca="1"/>
        <v>Bad</v>
      </c>
    </row>
    <row r="5575" spans="2:34">
      <c r="B5575" s="2">
        <f ca="1"/>
        <v>0.56775472189277765</v>
      </c>
      <c r="O5575" s="2">
        <f ca="1"/>
        <v>7.3943307223515511E-2</v>
      </c>
      <c r="X5575" s="2">
        <f ca="1"/>
        <v>70.178141447529143</v>
      </c>
      <c r="AG5575" s="2">
        <f ca="1"/>
        <v>0.6975536927405841</v>
      </c>
      <c r="AH5575" s="2" t="str">
        <f ca="1"/>
        <v>Bad</v>
      </c>
    </row>
    <row r="5576" spans="2:34">
      <c r="B5576" s="2">
        <f ca="1"/>
        <v>0.88073706359018411</v>
      </c>
      <c r="O5576" s="2">
        <f ca="1"/>
        <v>-7.6892322334796287E-2</v>
      </c>
      <c r="X5576" s="2">
        <f ca="1"/>
        <v>27.636154619542666</v>
      </c>
      <c r="AG5576" s="2">
        <f ca="1"/>
        <v>0.22070126265690759</v>
      </c>
      <c r="AH5576" s="2" t="str">
        <f ca="1"/>
        <v>OK</v>
      </c>
    </row>
    <row r="5577" spans="2:34">
      <c r="B5577" s="2">
        <f ca="1"/>
        <v>0.74289502500891125</v>
      </c>
      <c r="O5577" s="2">
        <f ca="1"/>
        <v>-1.2143674246760114</v>
      </c>
      <c r="X5577" s="2">
        <f ca="1"/>
        <v>50.559417018710995</v>
      </c>
      <c r="AG5577" s="2">
        <f ca="1"/>
        <v>0.59513516261919142</v>
      </c>
      <c r="AH5577" s="2" t="str">
        <f ca="1"/>
        <v>Bad</v>
      </c>
    </row>
    <row r="5578" spans="2:34">
      <c r="B5578" s="2">
        <f ca="1"/>
        <v>0.20625579690907903</v>
      </c>
      <c r="O5578" s="2">
        <f ca="1"/>
        <v>1.0844916459462808</v>
      </c>
      <c r="X5578" s="2">
        <f ca="1"/>
        <v>47.212328630758378</v>
      </c>
      <c r="AG5578" s="2">
        <f ca="1"/>
        <v>0.89864289560818555</v>
      </c>
      <c r="AH5578" s="2" t="str">
        <f ca="1"/>
        <v>Bad</v>
      </c>
    </row>
    <row r="5579" spans="2:34">
      <c r="B5579" s="2">
        <f ca="1"/>
        <v>0.25215563977268562</v>
      </c>
      <c r="O5579" s="2">
        <f ca="1"/>
        <v>-1.3785233346748329</v>
      </c>
      <c r="X5579" s="2">
        <f ca="1"/>
        <v>55.002681599122141</v>
      </c>
      <c r="AG5579" s="2">
        <f ca="1"/>
        <v>0.90026469703914547</v>
      </c>
      <c r="AH5579" s="2" t="str">
        <f ca="1"/>
        <v>Bad</v>
      </c>
    </row>
    <row r="5580" spans="2:34">
      <c r="B5580" s="2">
        <f ca="1"/>
        <v>0.31394605793132202</v>
      </c>
      <c r="O5580" s="2">
        <f ca="1"/>
        <v>-0.90438004319354115</v>
      </c>
      <c r="X5580" s="2">
        <f ca="1"/>
        <v>53.16163751290317</v>
      </c>
      <c r="AG5580" s="2">
        <f ca="1"/>
        <v>0.65059716748256835</v>
      </c>
      <c r="AH5580" s="2" t="str">
        <f ca="1"/>
        <v>Bad</v>
      </c>
    </row>
    <row r="5581" spans="2:34">
      <c r="B5581" s="2">
        <f ca="1"/>
        <v>0.64164579404693112</v>
      </c>
      <c r="O5581" s="2">
        <f ca="1"/>
        <v>-0.20246741236100066</v>
      </c>
      <c r="X5581" s="2">
        <f ca="1"/>
        <v>23.909934284381194</v>
      </c>
      <c r="AG5581" s="2">
        <f ca="1"/>
        <v>0.30258364782826352</v>
      </c>
      <c r="AH5581" s="2" t="str">
        <f ca="1"/>
        <v>OK</v>
      </c>
    </row>
    <row r="5582" spans="2:34">
      <c r="B5582" s="2">
        <f ca="1"/>
        <v>0.16500678088456655</v>
      </c>
      <c r="O5582" s="2">
        <f ca="1"/>
        <v>-0.81532322116719114</v>
      </c>
      <c r="X5582" s="2">
        <f ca="1"/>
        <v>14.471155188273126</v>
      </c>
      <c r="AG5582" s="2">
        <f ca="1"/>
        <v>0.64479938721858776</v>
      </c>
      <c r="AH5582" s="2" t="str">
        <f ca="1"/>
        <v>Bad</v>
      </c>
    </row>
    <row r="5583" spans="2:34">
      <c r="B5583" s="2">
        <f ca="1"/>
        <v>0.98853514077814952</v>
      </c>
      <c r="O5583" s="2">
        <f ca="1"/>
        <v>-0.28678471341019895</v>
      </c>
      <c r="X5583" s="2">
        <f ca="1"/>
        <v>69.36873956581212</v>
      </c>
      <c r="AG5583" s="2">
        <f ca="1"/>
        <v>0.33380464334167415</v>
      </c>
      <c r="AH5583" s="2" t="str">
        <f ca="1"/>
        <v>OK</v>
      </c>
    </row>
    <row r="5584" spans="2:34">
      <c r="B5584" s="2">
        <f ca="1"/>
        <v>0.53549416576599063</v>
      </c>
      <c r="O5584" s="2">
        <f ca="1"/>
        <v>-0.60768745025329696</v>
      </c>
      <c r="X5584" s="2">
        <f ca="1"/>
        <v>60.165122850061614</v>
      </c>
      <c r="AG5584" s="2">
        <f ca="1"/>
        <v>1.852809624154661E-2</v>
      </c>
      <c r="AH5584" s="2" t="str">
        <f ca="1"/>
        <v>Good</v>
      </c>
    </row>
    <row r="5585" spans="2:34">
      <c r="B5585" s="2">
        <f ca="1"/>
        <v>0.55274684103809624</v>
      </c>
      <c r="O5585" s="2">
        <f ca="1"/>
        <v>-0.1531085183173263</v>
      </c>
      <c r="X5585" s="2">
        <f ca="1"/>
        <v>59.853840784903845</v>
      </c>
      <c r="AG5585" s="2">
        <f ca="1"/>
        <v>0.9298863352204545</v>
      </c>
      <c r="AH5585" s="2" t="str">
        <f ca="1"/>
        <v>Bad</v>
      </c>
    </row>
    <row r="5586" spans="2:34">
      <c r="B5586" s="2">
        <f ca="1"/>
        <v>0.73395289700510924</v>
      </c>
      <c r="O5586" s="2">
        <f ca="1"/>
        <v>1.1987825763122675</v>
      </c>
      <c r="X5586" s="2">
        <f ca="1"/>
        <v>37.673427173409621</v>
      </c>
      <c r="AG5586" s="2">
        <f ca="1"/>
        <v>0.21135247879811203</v>
      </c>
      <c r="AH5586" s="2" t="str">
        <f ca="1"/>
        <v>OK</v>
      </c>
    </row>
    <row r="5587" spans="2:34">
      <c r="B5587" s="2">
        <f ca="1"/>
        <v>0.82680068969620502</v>
      </c>
      <c r="O5587" s="2">
        <f ca="1"/>
        <v>1.0654795624326747</v>
      </c>
      <c r="X5587" s="2">
        <f ca="1"/>
        <v>37.8575418664173</v>
      </c>
      <c r="AG5587" s="2">
        <f ca="1"/>
        <v>4.9593165786113058E-2</v>
      </c>
      <c r="AH5587" s="2" t="str">
        <f ca="1"/>
        <v>Good</v>
      </c>
    </row>
    <row r="5588" spans="2:34">
      <c r="B5588" s="2">
        <f ca="1"/>
        <v>0.55666958918780907</v>
      </c>
      <c r="O5588" s="2">
        <f ca="1"/>
        <v>1.8133967228787833</v>
      </c>
      <c r="X5588" s="2">
        <f ca="1"/>
        <v>39.867287695007107</v>
      </c>
      <c r="AG5588" s="2">
        <f ca="1"/>
        <v>0.2873407995495707</v>
      </c>
      <c r="AH5588" s="2" t="str">
        <f ca="1"/>
        <v>OK</v>
      </c>
    </row>
    <row r="5589" spans="2:34">
      <c r="B5589" s="2">
        <f ca="1"/>
        <v>0.82107182413591184</v>
      </c>
      <c r="O5589" s="2">
        <f ca="1"/>
        <v>-1.5876104564143301</v>
      </c>
      <c r="X5589" s="2">
        <f ca="1"/>
        <v>54.263553229490967</v>
      </c>
      <c r="AG5589" s="2">
        <f ca="1"/>
        <v>0.37779239503158535</v>
      </c>
      <c r="AH5589" s="2" t="str">
        <f ca="1"/>
        <v>OK</v>
      </c>
    </row>
    <row r="5590" spans="2:34">
      <c r="B5590" s="2">
        <f ca="1"/>
        <v>0.47849568196960202</v>
      </c>
      <c r="O5590" s="2">
        <f ca="1"/>
        <v>-0.59799434047790734</v>
      </c>
      <c r="X5590" s="2">
        <f ca="1"/>
        <v>53.684520116887796</v>
      </c>
      <c r="AG5590" s="2">
        <f ca="1"/>
        <v>0.98850960580880698</v>
      </c>
      <c r="AH5590" s="2" t="str">
        <f ca="1"/>
        <v>Bad</v>
      </c>
    </row>
    <row r="5591" spans="2:34">
      <c r="B5591" s="2">
        <f ca="1"/>
        <v>0.11192304105333939</v>
      </c>
      <c r="O5591" s="2">
        <f ca="1"/>
        <v>-2.0307322748807425E-2</v>
      </c>
      <c r="X5591" s="2">
        <f ca="1"/>
        <v>29.999405221741494</v>
      </c>
      <c r="AG5591" s="2">
        <f ca="1"/>
        <v>0.99639022477215256</v>
      </c>
      <c r="AH5591" s="2" t="str">
        <f ca="1"/>
        <v>Bad</v>
      </c>
    </row>
    <row r="5592" spans="2:34">
      <c r="B5592" s="2">
        <f ca="1"/>
        <v>0.34230741253583563</v>
      </c>
      <c r="O5592" s="2">
        <f ca="1"/>
        <v>0.67314821537652314</v>
      </c>
      <c r="X5592" s="2">
        <f ca="1"/>
        <v>33.144404457709989</v>
      </c>
      <c r="AG5592" s="2">
        <f ca="1"/>
        <v>8.2709666637170054E-2</v>
      </c>
      <c r="AH5592" s="2" t="str">
        <f ca="1"/>
        <v>OK</v>
      </c>
    </row>
    <row r="5593" spans="2:34">
      <c r="B5593" s="2">
        <f ca="1"/>
        <v>0.17053710226521934</v>
      </c>
      <c r="O5593" s="2">
        <f ca="1"/>
        <v>-1.7127662346443315</v>
      </c>
      <c r="X5593" s="2">
        <f ca="1"/>
        <v>58.162454012484595</v>
      </c>
      <c r="AG5593" s="2">
        <f ca="1"/>
        <v>0.8620622548802479</v>
      </c>
      <c r="AH5593" s="2" t="str">
        <f ca="1"/>
        <v>Bad</v>
      </c>
    </row>
    <row r="5594" spans="2:34">
      <c r="B5594" s="2">
        <f ca="1"/>
        <v>0.18443968642345898</v>
      </c>
      <c r="O5594" s="2">
        <f ca="1"/>
        <v>-4.3234004631148078E-2</v>
      </c>
      <c r="X5594" s="2">
        <f ca="1"/>
        <v>79.86386460589523</v>
      </c>
      <c r="AG5594" s="2">
        <f ca="1"/>
        <v>0.88531373211800912</v>
      </c>
      <c r="AH5594" s="2" t="str">
        <f ca="1"/>
        <v>Bad</v>
      </c>
    </row>
    <row r="5595" spans="2:34">
      <c r="B5595" s="2">
        <f ca="1"/>
        <v>0.29730023088737401</v>
      </c>
      <c r="O5595" s="2">
        <f ca="1"/>
        <v>-0.58792227254471707</v>
      </c>
      <c r="X5595" s="2">
        <f ca="1"/>
        <v>38.015636272008166</v>
      </c>
      <c r="AG5595" s="2">
        <f ca="1"/>
        <v>0.50696891963110979</v>
      </c>
      <c r="AH5595" s="2" t="str">
        <f ca="1"/>
        <v>Bad</v>
      </c>
    </row>
    <row r="5596" spans="2:34">
      <c r="B5596" s="2">
        <f ca="1"/>
        <v>5.8319157513610387E-2</v>
      </c>
      <c r="O5596" s="2">
        <f ca="1"/>
        <v>0.57855478611151356</v>
      </c>
      <c r="X5596" s="2">
        <f ca="1"/>
        <v>78.787735061040124</v>
      </c>
      <c r="AG5596" s="2">
        <f ca="1"/>
        <v>0.1931707184568805</v>
      </c>
      <c r="AH5596" s="2" t="str">
        <f ca="1"/>
        <v>OK</v>
      </c>
    </row>
    <row r="5597" spans="2:34">
      <c r="B5597" s="2">
        <f ca="1"/>
        <v>0.77917549647320472</v>
      </c>
      <c r="O5597" s="2">
        <f ca="1"/>
        <v>1.5663062802634833</v>
      </c>
      <c r="X5597" s="2">
        <f ca="1"/>
        <v>37.235950821528242</v>
      </c>
      <c r="AG5597" s="2">
        <f ca="1"/>
        <v>0.17372263595177406</v>
      </c>
      <c r="AH5597" s="2" t="str">
        <f ca="1"/>
        <v>OK</v>
      </c>
    </row>
    <row r="5598" spans="2:34">
      <c r="B5598" s="2">
        <f ca="1"/>
        <v>0.30372066747888615</v>
      </c>
      <c r="O5598" s="2">
        <f ca="1"/>
        <v>0.28943471615785904</v>
      </c>
      <c r="X5598" s="2">
        <f ca="1"/>
        <v>25.179989794243319</v>
      </c>
      <c r="AG5598" s="2">
        <f ca="1"/>
        <v>0.28869511846701479</v>
      </c>
      <c r="AH5598" s="2" t="str">
        <f ca="1"/>
        <v>OK</v>
      </c>
    </row>
    <row r="5599" spans="2:34">
      <c r="B5599" s="2">
        <f ca="1"/>
        <v>0.75683570753456419</v>
      </c>
      <c r="O5599" s="2">
        <f ca="1"/>
        <v>-1.1696435379699568</v>
      </c>
      <c r="X5599" s="2">
        <f ca="1"/>
        <v>36.064574936486579</v>
      </c>
      <c r="AG5599" s="2">
        <f ca="1"/>
        <v>0.37970196643733112</v>
      </c>
      <c r="AH5599" s="2" t="str">
        <f ca="1"/>
        <v>OK</v>
      </c>
    </row>
    <row r="5600" spans="2:34">
      <c r="B5600" s="2">
        <f ca="1"/>
        <v>0.79066661293563523</v>
      </c>
      <c r="O5600" s="2">
        <f ca="1"/>
        <v>0.72365119660546329</v>
      </c>
      <c r="X5600" s="2">
        <f ca="1"/>
        <v>22.982121510092753</v>
      </c>
      <c r="AG5600" s="2">
        <f ca="1"/>
        <v>0.71603255210419947</v>
      </c>
      <c r="AH5600" s="2" t="str">
        <f ca="1"/>
        <v>Bad</v>
      </c>
    </row>
    <row r="5601" spans="2:34">
      <c r="B5601" s="2">
        <f ca="1"/>
        <v>0.20272770824628883</v>
      </c>
      <c r="O5601" s="2">
        <f ca="1"/>
        <v>0.50767635428023339</v>
      </c>
      <c r="X5601" s="2">
        <f ca="1"/>
        <v>31.280446595115308</v>
      </c>
      <c r="AG5601" s="2">
        <f ca="1"/>
        <v>0.8759738865075799</v>
      </c>
      <c r="AH5601" s="2" t="str">
        <f ca="1"/>
        <v>Bad</v>
      </c>
    </row>
    <row r="5602" spans="2:34">
      <c r="B5602" s="2">
        <f ca="1"/>
        <v>0.41203607174796519</v>
      </c>
      <c r="O5602" s="2">
        <f ca="1"/>
        <v>-0.66922920616062465</v>
      </c>
      <c r="X5602" s="2">
        <f ca="1"/>
        <v>40.324597868211853</v>
      </c>
      <c r="AG5602" s="2">
        <f ca="1"/>
        <v>0.91725350317808663</v>
      </c>
      <c r="AH5602" s="2" t="str">
        <f ca="1"/>
        <v>Bad</v>
      </c>
    </row>
    <row r="5603" spans="2:34">
      <c r="B5603" s="2">
        <f ca="1"/>
        <v>0.21908725656727679</v>
      </c>
      <c r="O5603" s="2">
        <f ca="1"/>
        <v>0.25233269591337981</v>
      </c>
      <c r="X5603" s="2">
        <f ca="1"/>
        <v>44.132065389061268</v>
      </c>
      <c r="AG5603" s="2">
        <f ca="1"/>
        <v>0.58521467073902755</v>
      </c>
      <c r="AH5603" s="2" t="str">
        <f ca="1"/>
        <v>Bad</v>
      </c>
    </row>
    <row r="5604" spans="2:34">
      <c r="B5604" s="2">
        <f ca="1"/>
        <v>0.7180634766795706</v>
      </c>
      <c r="O5604" s="2">
        <f ca="1"/>
        <v>0.21901118590836216</v>
      </c>
      <c r="X5604" s="2">
        <f ca="1"/>
        <v>41.043601390866669</v>
      </c>
      <c r="AG5604" s="2">
        <f ca="1"/>
        <v>0.3006965900270564</v>
      </c>
      <c r="AH5604" s="2" t="str">
        <f ca="1"/>
        <v>OK</v>
      </c>
    </row>
    <row r="5605" spans="2:34">
      <c r="B5605" s="2">
        <f ca="1"/>
        <v>0.89838639434820089</v>
      </c>
      <c r="O5605" s="2">
        <f ca="1"/>
        <v>-1.1107400954034607</v>
      </c>
      <c r="X5605" s="2">
        <f ca="1"/>
        <v>55.827044762378776</v>
      </c>
      <c r="AG5605" s="2">
        <f ca="1"/>
        <v>0.94807024038555165</v>
      </c>
      <c r="AH5605" s="2" t="str">
        <f ca="1"/>
        <v>Bad</v>
      </c>
    </row>
    <row r="5606" spans="2:34">
      <c r="B5606" s="2">
        <f ca="1"/>
        <v>0.76118640311178032</v>
      </c>
      <c r="O5606" s="2">
        <f ca="1"/>
        <v>0.8756380112391281</v>
      </c>
      <c r="X5606" s="2">
        <f ca="1"/>
        <v>41.654314273282324</v>
      </c>
      <c r="AG5606" s="2">
        <f ca="1"/>
        <v>0.61984560154364665</v>
      </c>
      <c r="AH5606" s="2" t="str">
        <f ca="1"/>
        <v>Bad</v>
      </c>
    </row>
    <row r="5607" spans="2:34">
      <c r="B5607" s="2">
        <f ca="1"/>
        <v>0.4716267898964952</v>
      </c>
      <c r="O5607" s="2">
        <f ca="1"/>
        <v>0.11616734255706439</v>
      </c>
      <c r="X5607" s="2">
        <f ca="1"/>
        <v>32.013507549439858</v>
      </c>
      <c r="AG5607" s="2">
        <f ca="1"/>
        <v>0.47850721393766116</v>
      </c>
      <c r="AH5607" s="2" t="str">
        <f ca="1"/>
        <v>Bad</v>
      </c>
    </row>
    <row r="5608" spans="2:34">
      <c r="B5608" s="2">
        <f ca="1"/>
        <v>0.45733340568225511</v>
      </c>
      <c r="O5608" s="2">
        <f ca="1"/>
        <v>-1.4978811199766038</v>
      </c>
      <c r="X5608" s="2">
        <f ca="1"/>
        <v>38.320325594337923</v>
      </c>
      <c r="AG5608" s="2">
        <f ca="1"/>
        <v>0.67075980868369589</v>
      </c>
      <c r="AH5608" s="2" t="str">
        <f ca="1"/>
        <v>Bad</v>
      </c>
    </row>
    <row r="5609" spans="2:34">
      <c r="B5609" s="2">
        <f ca="1"/>
        <v>0.94199446281733934</v>
      </c>
      <c r="O5609" s="2">
        <f ca="1"/>
        <v>-9.0247482848129917E-2</v>
      </c>
      <c r="X5609" s="2">
        <f ca="1"/>
        <v>47.460186498683186</v>
      </c>
      <c r="AG5609" s="2">
        <f ca="1"/>
        <v>9.4925068385852018E-2</v>
      </c>
      <c r="AH5609" s="2" t="str">
        <f ca="1"/>
        <v>OK</v>
      </c>
    </row>
    <row r="5610" spans="2:34">
      <c r="B5610" s="2">
        <f ca="1"/>
        <v>0.92080561500378688</v>
      </c>
      <c r="O5610" s="2">
        <f ca="1"/>
        <v>1.8625462149291436</v>
      </c>
      <c r="X5610" s="2">
        <f ca="1"/>
        <v>56.855494062407381</v>
      </c>
      <c r="AG5610" s="2">
        <f ca="1"/>
        <v>0.10127045975033711</v>
      </c>
      <c r="AH5610" s="2" t="str">
        <f ca="1"/>
        <v>OK</v>
      </c>
    </row>
    <row r="5611" spans="2:34">
      <c r="B5611" s="2">
        <f ca="1"/>
        <v>0.64003572800436404</v>
      </c>
      <c r="O5611" s="2">
        <f ca="1"/>
        <v>-0.91125802219136254</v>
      </c>
      <c r="X5611" s="2">
        <f ca="1"/>
        <v>64.557983653833986</v>
      </c>
      <c r="AG5611" s="2">
        <f ca="1"/>
        <v>0.41089615638007304</v>
      </c>
      <c r="AH5611" s="2" t="str">
        <f ca="1"/>
        <v>Bad</v>
      </c>
    </row>
    <row r="5612" spans="2:34">
      <c r="B5612" s="2">
        <f ca="1"/>
        <v>0.2898172951881941</v>
      </c>
      <c r="O5612" s="2">
        <f ca="1"/>
        <v>8.5815133813640185E-2</v>
      </c>
      <c r="X5612" s="2">
        <f ca="1"/>
        <v>76.468473076152463</v>
      </c>
      <c r="AG5612" s="2">
        <f ca="1"/>
        <v>0.12240097409316286</v>
      </c>
      <c r="AH5612" s="2" t="str">
        <f ca="1"/>
        <v>OK</v>
      </c>
    </row>
    <row r="5613" spans="2:34">
      <c r="B5613" s="2">
        <f ca="1"/>
        <v>0.31891744983926551</v>
      </c>
      <c r="O5613" s="2">
        <f ca="1"/>
        <v>-1.2708954189288337</v>
      </c>
      <c r="X5613" s="2">
        <f ca="1"/>
        <v>28.926389880143152</v>
      </c>
      <c r="AG5613" s="2">
        <f ca="1"/>
        <v>0.61435374825029765</v>
      </c>
      <c r="AH5613" s="2" t="str">
        <f ca="1"/>
        <v>Bad</v>
      </c>
    </row>
    <row r="5614" spans="2:34">
      <c r="B5614" s="2">
        <f ca="1"/>
        <v>1.0427464515936125E-2</v>
      </c>
      <c r="O5614" s="2">
        <f ca="1"/>
        <v>0.92214016290750822</v>
      </c>
      <c r="X5614" s="2">
        <f ca="1"/>
        <v>47.518458949751988</v>
      </c>
      <c r="AG5614" s="2">
        <f ca="1"/>
        <v>0.25742847560819615</v>
      </c>
      <c r="AH5614" s="2" t="str">
        <f ca="1"/>
        <v>OK</v>
      </c>
    </row>
    <row r="5615" spans="2:34">
      <c r="B5615" s="2">
        <f ca="1"/>
        <v>0.27001940177888817</v>
      </c>
      <c r="O5615" s="2">
        <f ca="1"/>
        <v>-0.56182458422352943</v>
      </c>
      <c r="X5615" s="2">
        <f ca="1"/>
        <v>34.598619442873265</v>
      </c>
      <c r="AG5615" s="2">
        <f ca="1"/>
        <v>0.80839197045633715</v>
      </c>
      <c r="AH5615" s="2" t="str">
        <f ca="1"/>
        <v>Bad</v>
      </c>
    </row>
    <row r="5616" spans="2:34">
      <c r="B5616" s="2">
        <f ca="1"/>
        <v>0.61337066913782712</v>
      </c>
      <c r="O5616" s="2">
        <f ca="1"/>
        <v>-0.65838233080974284</v>
      </c>
      <c r="X5616" s="2">
        <f ca="1"/>
        <v>58.272837700475023</v>
      </c>
      <c r="AG5616" s="2">
        <f ca="1"/>
        <v>0.80611651462365752</v>
      </c>
      <c r="AH5616" s="2" t="str">
        <f ca="1"/>
        <v>Bad</v>
      </c>
    </row>
    <row r="5617" spans="2:34">
      <c r="B5617" s="2">
        <f ca="1"/>
        <v>0.67647932644757147</v>
      </c>
      <c r="O5617" s="2">
        <f ca="1"/>
        <v>1.0207502013118199</v>
      </c>
      <c r="X5617" s="2">
        <f ca="1"/>
        <v>28.003553488189617</v>
      </c>
      <c r="AG5617" s="2">
        <f ca="1"/>
        <v>0.29209298319944077</v>
      </c>
      <c r="AH5617" s="2" t="str">
        <f ca="1"/>
        <v>OK</v>
      </c>
    </row>
    <row r="5618" spans="2:34">
      <c r="B5618" s="2">
        <f ca="1"/>
        <v>0.13341628372675651</v>
      </c>
      <c r="O5618" s="2">
        <f ca="1"/>
        <v>-0.81790828404866311</v>
      </c>
      <c r="X5618" s="2">
        <f ca="1"/>
        <v>38.295521154743014</v>
      </c>
      <c r="AG5618" s="2">
        <f ca="1"/>
        <v>0.22654207766995405</v>
      </c>
      <c r="AH5618" s="2" t="str">
        <f ca="1"/>
        <v>OK</v>
      </c>
    </row>
    <row r="5619" spans="2:34">
      <c r="B5619" s="2">
        <f ca="1"/>
        <v>0.89051594358414143</v>
      </c>
      <c r="O5619" s="2">
        <f ca="1"/>
        <v>-2.2632757450660934</v>
      </c>
      <c r="X5619" s="2">
        <f ca="1"/>
        <v>47.920049763130663</v>
      </c>
      <c r="AG5619" s="2">
        <f ca="1"/>
        <v>0.33091935218888668</v>
      </c>
      <c r="AH5619" s="2" t="str">
        <f ca="1"/>
        <v>OK</v>
      </c>
    </row>
    <row r="5620" spans="2:34">
      <c r="B5620" s="2">
        <f ca="1"/>
        <v>0.63101034816001511</v>
      </c>
      <c r="O5620" s="2">
        <f ca="1"/>
        <v>-0.29244816329912565</v>
      </c>
      <c r="X5620" s="2">
        <f ca="1"/>
        <v>54.454078092708372</v>
      </c>
      <c r="AG5620" s="2">
        <f ca="1"/>
        <v>0.93759930048979201</v>
      </c>
      <c r="AH5620" s="2" t="str">
        <f ca="1"/>
        <v>Bad</v>
      </c>
    </row>
    <row r="5621" spans="2:34">
      <c r="B5621" s="2">
        <f ca="1"/>
        <v>0.42958306180661365</v>
      </c>
      <c r="O5621" s="2">
        <f ca="1"/>
        <v>-0.61115993776071043</v>
      </c>
      <c r="X5621" s="2">
        <f ca="1"/>
        <v>54.803260348276368</v>
      </c>
      <c r="AG5621" s="2">
        <f ca="1"/>
        <v>0.96661709619827163</v>
      </c>
      <c r="AH5621" s="2" t="str">
        <f ca="1"/>
        <v>Bad</v>
      </c>
    </row>
    <row r="5622" spans="2:34">
      <c r="B5622" s="2">
        <f ca="1"/>
        <v>0.6694264879719154</v>
      </c>
      <c r="O5622" s="2">
        <f ca="1"/>
        <v>-0.2865615289869699</v>
      </c>
      <c r="X5622" s="2">
        <f ca="1"/>
        <v>66.483326713957553</v>
      </c>
      <c r="AG5622" s="2">
        <f ca="1"/>
        <v>0.81747791862570685</v>
      </c>
      <c r="AH5622" s="2" t="str">
        <f ca="1"/>
        <v>Bad</v>
      </c>
    </row>
    <row r="5623" spans="2:34">
      <c r="B5623" s="2">
        <f ca="1"/>
        <v>8.4510159622045E-2</v>
      </c>
      <c r="O5623" s="2">
        <f ca="1"/>
        <v>-0.86032657011748381</v>
      </c>
      <c r="X5623" s="2">
        <f ca="1"/>
        <v>71.994912055835044</v>
      </c>
      <c r="AG5623" s="2">
        <f ca="1"/>
        <v>0.26074202524291068</v>
      </c>
      <c r="AH5623" s="2" t="str">
        <f ca="1"/>
        <v>OK</v>
      </c>
    </row>
    <row r="5624" spans="2:34">
      <c r="B5624" s="2">
        <f ca="1"/>
        <v>0.50074747089152671</v>
      </c>
      <c r="O5624" s="2">
        <f ca="1"/>
        <v>-8.1084883801720561E-2</v>
      </c>
      <c r="X5624" s="2">
        <f ca="1"/>
        <v>40.373963266023125</v>
      </c>
      <c r="AG5624" s="2">
        <f ca="1"/>
        <v>0.81089183237681106</v>
      </c>
      <c r="AH5624" s="2" t="str">
        <f ca="1"/>
        <v>Bad</v>
      </c>
    </row>
    <row r="5625" spans="2:34">
      <c r="B5625" s="2">
        <f ca="1"/>
        <v>0.43988186597936618</v>
      </c>
      <c r="O5625" s="2">
        <f ca="1"/>
        <v>0.85143563009710177</v>
      </c>
      <c r="X5625" s="2">
        <f ca="1"/>
        <v>45.936023749622414</v>
      </c>
      <c r="AG5625" s="2">
        <f ca="1"/>
        <v>0.92904742336911994</v>
      </c>
      <c r="AH5625" s="2" t="str">
        <f ca="1"/>
        <v>Bad</v>
      </c>
    </row>
    <row r="5626" spans="2:34">
      <c r="B5626" s="2">
        <f ca="1"/>
        <v>0.10889817977574512</v>
      </c>
      <c r="O5626" s="2">
        <f ca="1"/>
        <v>-2.0257527873480714</v>
      </c>
      <c r="X5626" s="2">
        <f ca="1"/>
        <v>47.443662561668695</v>
      </c>
      <c r="AG5626" s="2">
        <f ca="1"/>
        <v>0.60108459324771646</v>
      </c>
      <c r="AH5626" s="2" t="str">
        <f ca="1"/>
        <v>Bad</v>
      </c>
    </row>
    <row r="5627" spans="2:34">
      <c r="B5627" s="2">
        <f ca="1"/>
        <v>0.88675855960920513</v>
      </c>
      <c r="O5627" s="2">
        <f ca="1"/>
        <v>9.2256249033364116E-2</v>
      </c>
      <c r="X5627" s="2">
        <f ca="1"/>
        <v>40.682506444619186</v>
      </c>
      <c r="AG5627" s="2">
        <f ca="1"/>
        <v>8.1913920256336148E-2</v>
      </c>
      <c r="AH5627" s="2" t="str">
        <f ca="1"/>
        <v>OK</v>
      </c>
    </row>
    <row r="5628" spans="2:34">
      <c r="B5628" s="2">
        <f ca="1"/>
        <v>0.17490047759787553</v>
      </c>
      <c r="O5628" s="2">
        <f ca="1"/>
        <v>-0.8478993256935049</v>
      </c>
      <c r="X5628" s="2">
        <f ca="1"/>
        <v>57.069622987758073</v>
      </c>
      <c r="AG5628" s="2">
        <f ca="1"/>
        <v>0.71839617839330305</v>
      </c>
      <c r="AH5628" s="2" t="str">
        <f ca="1"/>
        <v>Bad</v>
      </c>
    </row>
    <row r="5629" spans="2:34">
      <c r="B5629" s="2">
        <f ca="1"/>
        <v>0.75844180096935787</v>
      </c>
      <c r="O5629" s="2">
        <f ca="1"/>
        <v>0.20349948478142954</v>
      </c>
      <c r="X5629" s="2">
        <f ca="1"/>
        <v>51.361984276995997</v>
      </c>
      <c r="AG5629" s="2">
        <f ca="1"/>
        <v>8.9165696834769381E-2</v>
      </c>
      <c r="AH5629" s="2" t="str">
        <f ca="1"/>
        <v>OK</v>
      </c>
    </row>
    <row r="5630" spans="2:34">
      <c r="B5630" s="2">
        <f ca="1"/>
        <v>0.51376404181921687</v>
      </c>
      <c r="O5630" s="2">
        <f ca="1"/>
        <v>0.84728851714274245</v>
      </c>
      <c r="X5630" s="2">
        <f ca="1"/>
        <v>38.060446536502305</v>
      </c>
      <c r="AG5630" s="2">
        <f ca="1"/>
        <v>0.89402765210196833</v>
      </c>
      <c r="AH5630" s="2" t="str">
        <f ca="1"/>
        <v>Bad</v>
      </c>
    </row>
    <row r="5631" spans="2:34">
      <c r="B5631" s="2">
        <f ca="1"/>
        <v>1.3478074641999127E-2</v>
      </c>
      <c r="O5631" s="2">
        <f ca="1"/>
        <v>-1.1747701439356584</v>
      </c>
      <c r="X5631" s="2">
        <f ca="1"/>
        <v>71.717826806935449</v>
      </c>
      <c r="AG5631" s="2">
        <f ca="1"/>
        <v>0.90260750428559788</v>
      </c>
      <c r="AH5631" s="2" t="str">
        <f ca="1"/>
        <v>Bad</v>
      </c>
    </row>
    <row r="5632" spans="2:34">
      <c r="B5632" s="2">
        <f ca="1"/>
        <v>0.48652366415643855</v>
      </c>
      <c r="O5632" s="2">
        <f ca="1"/>
        <v>-1.5886531464796052</v>
      </c>
      <c r="X5632" s="2">
        <f ca="1"/>
        <v>42.785449869047262</v>
      </c>
      <c r="AG5632" s="2">
        <f ca="1"/>
        <v>0.29688954869607231</v>
      </c>
      <c r="AH5632" s="2" t="str">
        <f ca="1"/>
        <v>OK</v>
      </c>
    </row>
    <row r="5633" spans="2:34">
      <c r="B5633" s="2">
        <f ca="1"/>
        <v>0.822327991966878</v>
      </c>
      <c r="O5633" s="2">
        <f ca="1"/>
        <v>-0.61273667653907848</v>
      </c>
      <c r="X5633" s="2">
        <f ca="1"/>
        <v>73.236944179432101</v>
      </c>
      <c r="AG5633" s="2">
        <f ca="1"/>
        <v>0.3472653911939676</v>
      </c>
      <c r="AH5633" s="2" t="str">
        <f ca="1"/>
        <v>OK</v>
      </c>
    </row>
    <row r="5634" spans="2:34">
      <c r="B5634" s="2">
        <f ca="1"/>
        <v>1.7413440089852017E-2</v>
      </c>
      <c r="O5634" s="2">
        <f ca="1"/>
        <v>-0.5988409250312724</v>
      </c>
      <c r="X5634" s="2">
        <f ca="1"/>
        <v>65.749728642986128</v>
      </c>
      <c r="AG5634" s="2">
        <f ca="1"/>
        <v>2.1163821077546219E-2</v>
      </c>
      <c r="AH5634" s="2" t="str">
        <f ca="1"/>
        <v>Good</v>
      </c>
    </row>
    <row r="5635" spans="2:34">
      <c r="B5635" s="2">
        <f ca="1"/>
        <v>0.4772443013573584</v>
      </c>
      <c r="O5635" s="2">
        <f ca="1"/>
        <v>-1.0592344002687606</v>
      </c>
      <c r="X5635" s="2">
        <f ca="1"/>
        <v>48.865060188173402</v>
      </c>
      <c r="AG5635" s="2">
        <f ca="1"/>
        <v>0.10906074882687067</v>
      </c>
      <c r="AH5635" s="2" t="str">
        <f ca="1"/>
        <v>OK</v>
      </c>
    </row>
    <row r="5636" spans="2:34">
      <c r="B5636" s="2">
        <f ca="1"/>
        <v>0.33173600050977003</v>
      </c>
      <c r="O5636" s="2">
        <f ca="1"/>
        <v>0.87712354945886817</v>
      </c>
      <c r="X5636" s="2">
        <f ca="1"/>
        <v>33.968021887715537</v>
      </c>
      <c r="AG5636" s="2">
        <f ca="1"/>
        <v>0.85098871021347811</v>
      </c>
      <c r="AH5636" s="2" t="str">
        <f ca="1"/>
        <v>Bad</v>
      </c>
    </row>
    <row r="5637" spans="2:34">
      <c r="B5637" s="2">
        <f ca="1"/>
        <v>3.7210384215488501E-2</v>
      </c>
      <c r="O5637" s="2">
        <f ca="1"/>
        <v>0.99811868735548015</v>
      </c>
      <c r="X5637" s="2">
        <f ca="1"/>
        <v>25.489009950649919</v>
      </c>
      <c r="AG5637" s="2">
        <f ca="1"/>
        <v>0.96185874940889815</v>
      </c>
      <c r="AH5637" s="2" t="str">
        <f ca="1"/>
        <v>Bad</v>
      </c>
    </row>
    <row r="5638" spans="2:34">
      <c r="B5638" s="2">
        <f ca="1"/>
        <v>0.56610961460497911</v>
      </c>
      <c r="O5638" s="2">
        <f ca="1"/>
        <v>-0.63532899217242578</v>
      </c>
      <c r="X5638" s="2">
        <f ca="1"/>
        <v>31.310793470977949</v>
      </c>
      <c r="AG5638" s="2">
        <f ca="1"/>
        <v>0.90868476353105865</v>
      </c>
      <c r="AH5638" s="2" t="str">
        <f ca="1"/>
        <v>Bad</v>
      </c>
    </row>
    <row r="5639" spans="2:34">
      <c r="B5639" s="2">
        <f ca="1"/>
        <v>0.38979540782992594</v>
      </c>
      <c r="O5639" s="2">
        <f ca="1"/>
        <v>-1.0129242821937054</v>
      </c>
      <c r="X5639" s="2">
        <f ca="1"/>
        <v>46.218964112063063</v>
      </c>
      <c r="AG5639" s="2">
        <f ca="1"/>
        <v>0.44945643605075114</v>
      </c>
      <c r="AH5639" s="2" t="str">
        <f ca="1"/>
        <v>Bad</v>
      </c>
    </row>
    <row r="5640" spans="2:34">
      <c r="B5640" s="2">
        <f ca="1"/>
        <v>0.66019868784470015</v>
      </c>
      <c r="O5640" s="2">
        <f ca="1"/>
        <v>-1.2848357958768912</v>
      </c>
      <c r="X5640" s="2">
        <f ca="1"/>
        <v>62.125087001933309</v>
      </c>
      <c r="AG5640" s="2">
        <f ca="1"/>
        <v>0.8437904982902229</v>
      </c>
      <c r="AH5640" s="2" t="str">
        <f ca="1"/>
        <v>Bad</v>
      </c>
    </row>
    <row r="5641" spans="2:34">
      <c r="B5641" s="2">
        <f ca="1"/>
        <v>0.11342165247570835</v>
      </c>
      <c r="O5641" s="2">
        <f ca="1"/>
        <v>0.53707531181763946</v>
      </c>
      <c r="X5641" s="2">
        <f ca="1"/>
        <v>28.672019646365424</v>
      </c>
      <c r="AG5641" s="2">
        <f ca="1"/>
        <v>0.13693128117546483</v>
      </c>
      <c r="AH5641" s="2" t="str">
        <f ca="1"/>
        <v>OK</v>
      </c>
    </row>
    <row r="5642" spans="2:34">
      <c r="B5642" s="2">
        <f ca="1"/>
        <v>0.89506397096827994</v>
      </c>
      <c r="O5642" s="2">
        <f ca="1"/>
        <v>0.69804683358864883</v>
      </c>
      <c r="X5642" s="2">
        <f ca="1"/>
        <v>50.410424444080768</v>
      </c>
      <c r="AG5642" s="2">
        <f ca="1"/>
        <v>0.13689506796844864</v>
      </c>
      <c r="AH5642" s="2" t="str">
        <f ca="1"/>
        <v>OK</v>
      </c>
    </row>
    <row r="5643" spans="2:34">
      <c r="B5643" s="2">
        <f ca="1"/>
        <v>0.1174606858461742</v>
      </c>
      <c r="O5643" s="2">
        <f ca="1"/>
        <v>1.0028197860996424</v>
      </c>
      <c r="X5643" s="2">
        <f ca="1"/>
        <v>54.17568038214651</v>
      </c>
      <c r="AG5643" s="2">
        <f ca="1"/>
        <v>0.60955957810183015</v>
      </c>
      <c r="AH5643" s="2" t="str">
        <f ca="1"/>
        <v>Bad</v>
      </c>
    </row>
    <row r="5644" spans="2:34">
      <c r="B5644" s="2">
        <f ca="1"/>
        <v>0.2407189355123478</v>
      </c>
      <c r="O5644" s="2">
        <f ca="1"/>
        <v>-0.5093526637251945</v>
      </c>
      <c r="X5644" s="2">
        <f ca="1"/>
        <v>51.920542907638264</v>
      </c>
      <c r="AG5644" s="2">
        <f ca="1"/>
        <v>0.34162315561245027</v>
      </c>
      <c r="AH5644" s="2" t="str">
        <f ca="1"/>
        <v>OK</v>
      </c>
    </row>
    <row r="5645" spans="2:34">
      <c r="B5645" s="2">
        <f ca="1"/>
        <v>0.17450074067834809</v>
      </c>
      <c r="O5645" s="2">
        <f ca="1"/>
        <v>0.57559465329163861</v>
      </c>
      <c r="X5645" s="2">
        <f ca="1"/>
        <v>28.984469567124101</v>
      </c>
      <c r="AG5645" s="2">
        <f ca="1"/>
        <v>0.76121746521758227</v>
      </c>
      <c r="AH5645" s="2" t="str">
        <f ca="1"/>
        <v>Bad</v>
      </c>
    </row>
    <row r="5646" spans="2:34">
      <c r="B5646" s="2">
        <f ca="1"/>
        <v>5.5256117055167087E-2</v>
      </c>
      <c r="O5646" s="2">
        <f ca="1"/>
        <v>-0.96453521492561367</v>
      </c>
      <c r="X5646" s="2">
        <f ca="1"/>
        <v>49.38334931031612</v>
      </c>
      <c r="AG5646" s="2">
        <f ca="1"/>
        <v>0.53914603254571469</v>
      </c>
      <c r="AH5646" s="2" t="str">
        <f ca="1"/>
        <v>Bad</v>
      </c>
    </row>
    <row r="5647" spans="2:34">
      <c r="B5647" s="2">
        <f ca="1"/>
        <v>0.99709143048275739</v>
      </c>
      <c r="O5647" s="2">
        <f ca="1"/>
        <v>-0.19048046031852509</v>
      </c>
      <c r="X5647" s="2">
        <f ca="1"/>
        <v>67.627133590799417</v>
      </c>
      <c r="AG5647" s="2">
        <f ca="1"/>
        <v>6.0862092282601532E-2</v>
      </c>
      <c r="AH5647" s="2" t="str">
        <f ca="1"/>
        <v>OK</v>
      </c>
    </row>
    <row r="5648" spans="2:34">
      <c r="B5648" s="2">
        <f ca="1"/>
        <v>0.45891512096245735</v>
      </c>
      <c r="O5648" s="2">
        <f ca="1"/>
        <v>0.83130354165021259</v>
      </c>
      <c r="X5648" s="2">
        <f ca="1"/>
        <v>59.122383885831098</v>
      </c>
      <c r="AG5648" s="2">
        <f ca="1"/>
        <v>0.93038342073339098</v>
      </c>
      <c r="AH5648" s="2" t="str">
        <f ca="1"/>
        <v>Bad</v>
      </c>
    </row>
    <row r="5649" spans="2:34">
      <c r="B5649" s="2">
        <f ca="1"/>
        <v>0.55152002731680838</v>
      </c>
      <c r="O5649" s="2">
        <f ca="1"/>
        <v>0.44577035078891541</v>
      </c>
      <c r="X5649" s="2">
        <f ca="1"/>
        <v>75.716676958991258</v>
      </c>
      <c r="AG5649" s="2">
        <f ca="1"/>
        <v>0.30864887526769147</v>
      </c>
      <c r="AH5649" s="2" t="str">
        <f ca="1"/>
        <v>OK</v>
      </c>
    </row>
    <row r="5650" spans="2:34">
      <c r="B5650" s="2">
        <f ca="1"/>
        <v>0.10238106872711294</v>
      </c>
      <c r="O5650" s="2">
        <f ca="1"/>
        <v>-2.0051835700446685</v>
      </c>
      <c r="X5650" s="2">
        <f ca="1"/>
        <v>69.950463470694487</v>
      </c>
      <c r="AG5650" s="2">
        <f ca="1"/>
        <v>0.34791505359728681</v>
      </c>
      <c r="AH5650" s="2" t="str">
        <f ca="1"/>
        <v>OK</v>
      </c>
    </row>
    <row r="5651" spans="2:34">
      <c r="B5651" s="2">
        <f ca="1"/>
        <v>2.9957901571508128E-2</v>
      </c>
      <c r="O5651" s="2">
        <f ca="1"/>
        <v>-0.96696504610757705</v>
      </c>
      <c r="X5651" s="2">
        <f ca="1"/>
        <v>35.683816485674726</v>
      </c>
      <c r="AG5651" s="2">
        <f ca="1"/>
        <v>0.70864514616663632</v>
      </c>
      <c r="AH5651" s="2" t="str">
        <f ca="1"/>
        <v>Bad</v>
      </c>
    </row>
    <row r="5652" spans="2:34">
      <c r="B5652" s="2">
        <f ca="1"/>
        <v>0.45141351869181978</v>
      </c>
      <c r="O5652" s="2">
        <f ca="1"/>
        <v>1.158145751180387</v>
      </c>
      <c r="X5652" s="2">
        <f ca="1"/>
        <v>45.077686028631589</v>
      </c>
      <c r="AG5652" s="2">
        <f ca="1"/>
        <v>0.57402309262408813</v>
      </c>
      <c r="AH5652" s="2" t="str">
        <f ca="1"/>
        <v>Bad</v>
      </c>
    </row>
    <row r="5653" spans="2:34">
      <c r="B5653" s="2">
        <f ca="1"/>
        <v>0.25206257296913992</v>
      </c>
      <c r="O5653" s="2">
        <f ca="1"/>
        <v>-1.0391599624124106</v>
      </c>
      <c r="X5653" s="2">
        <f ca="1"/>
        <v>48.56677767603621</v>
      </c>
      <c r="AG5653" s="2">
        <f ca="1"/>
        <v>0.74034781632181001</v>
      </c>
      <c r="AH5653" s="2" t="str">
        <f ca="1"/>
        <v>Bad</v>
      </c>
    </row>
    <row r="5654" spans="2:34">
      <c r="B5654" s="2">
        <f ca="1"/>
        <v>0.88055095473267797</v>
      </c>
      <c r="O5654" s="2">
        <f ca="1"/>
        <v>-0.87245293423064341</v>
      </c>
      <c r="X5654" s="2">
        <f ca="1"/>
        <v>38.362681125017723</v>
      </c>
      <c r="AG5654" s="2">
        <f ca="1"/>
        <v>0.67562803385651193</v>
      </c>
      <c r="AH5654" s="2" t="str">
        <f ca="1"/>
        <v>Bad</v>
      </c>
    </row>
    <row r="5655" spans="2:34">
      <c r="B5655" s="2">
        <f ca="1"/>
        <v>0.29119749931396965</v>
      </c>
      <c r="O5655" s="2">
        <f ca="1"/>
        <v>-1.1877792525074109</v>
      </c>
      <c r="X5655" s="2">
        <f ca="1"/>
        <v>53.386583018891386</v>
      </c>
      <c r="AG5655" s="2">
        <f ca="1"/>
        <v>0.44271529545159161</v>
      </c>
      <c r="AH5655" s="2" t="str">
        <f ca="1"/>
        <v>Bad</v>
      </c>
    </row>
    <row r="5656" spans="2:34">
      <c r="B5656" s="2">
        <f ca="1"/>
        <v>0.45119135595231463</v>
      </c>
      <c r="O5656" s="2">
        <f ca="1"/>
        <v>4.399443976454788E-2</v>
      </c>
      <c r="X5656" s="2">
        <f ca="1"/>
        <v>43.11864263730066</v>
      </c>
      <c r="AG5656" s="2">
        <f ca="1"/>
        <v>0.8180921859634136</v>
      </c>
      <c r="AH5656" s="2" t="str">
        <f ca="1"/>
        <v>Bad</v>
      </c>
    </row>
    <row r="5657" spans="2:34">
      <c r="B5657" s="2">
        <f ca="1"/>
        <v>0.18986287659442014</v>
      </c>
      <c r="O5657" s="2">
        <f ca="1"/>
        <v>-0.43470826365991816</v>
      </c>
      <c r="X5657" s="2">
        <f ca="1"/>
        <v>48.93139971562583</v>
      </c>
      <c r="AG5657" s="2">
        <f ca="1"/>
        <v>0.56438076119467362</v>
      </c>
      <c r="AH5657" s="2" t="str">
        <f ca="1"/>
        <v>Bad</v>
      </c>
    </row>
    <row r="5658" spans="2:34">
      <c r="B5658" s="2">
        <f ca="1"/>
        <v>0.63861679586147257</v>
      </c>
      <c r="O5658" s="2">
        <f ca="1"/>
        <v>1.5240059336626846</v>
      </c>
      <c r="X5658" s="2">
        <f ca="1"/>
        <v>85.626373300788146</v>
      </c>
      <c r="AG5658" s="2">
        <f ca="1"/>
        <v>0.73074103508778787</v>
      </c>
      <c r="AH5658" s="2" t="str">
        <f ca="1"/>
        <v>Bad</v>
      </c>
    </row>
    <row r="5659" spans="2:34">
      <c r="B5659" s="2">
        <f ca="1"/>
        <v>0.31530691717222736</v>
      </c>
      <c r="O5659" s="2">
        <f ca="1"/>
        <v>0.57612811459805258</v>
      </c>
      <c r="X5659" s="2">
        <f ca="1"/>
        <v>34.791145289796724</v>
      </c>
      <c r="AG5659" s="2">
        <f ca="1"/>
        <v>0.49814516690461352</v>
      </c>
      <c r="AH5659" s="2" t="str">
        <f ca="1"/>
        <v>Bad</v>
      </c>
    </row>
    <row r="5660" spans="2:34">
      <c r="B5660" s="2">
        <f ca="1"/>
        <v>0.39449508293318614</v>
      </c>
      <c r="O5660" s="2">
        <f ca="1"/>
        <v>-1.1013443889704615</v>
      </c>
      <c r="X5660" s="2">
        <f ca="1"/>
        <v>33.53169126019003</v>
      </c>
      <c r="AG5660" s="2">
        <f ca="1"/>
        <v>0.88950110392210591</v>
      </c>
      <c r="AH5660" s="2" t="str">
        <f ca="1"/>
        <v>Bad</v>
      </c>
    </row>
    <row r="5661" spans="2:34">
      <c r="B5661" s="2">
        <f ca="1"/>
        <v>0.32854063893838648</v>
      </c>
      <c r="O5661" s="2">
        <f ca="1"/>
        <v>-0.59805920094612142</v>
      </c>
      <c r="X5661" s="2">
        <f ca="1"/>
        <v>47.537360408910089</v>
      </c>
      <c r="AG5661" s="2">
        <f ca="1"/>
        <v>0.91297287542932581</v>
      </c>
      <c r="AH5661" s="2" t="str">
        <f ca="1"/>
        <v>Bad</v>
      </c>
    </row>
    <row r="5662" spans="2:34">
      <c r="B5662" s="2">
        <f ca="1"/>
        <v>0.94483167866068785</v>
      </c>
      <c r="O5662" s="2">
        <f ca="1"/>
        <v>-0.65941552741053189</v>
      </c>
      <c r="X5662" s="2">
        <f ca="1"/>
        <v>45.445582895270036</v>
      </c>
      <c r="AG5662" s="2">
        <f ca="1"/>
        <v>0.44560345642448951</v>
      </c>
      <c r="AH5662" s="2" t="str">
        <f ca="1"/>
        <v>Bad</v>
      </c>
    </row>
    <row r="5663" spans="2:34">
      <c r="B5663" s="2">
        <f ca="1"/>
        <v>9.8779209545727609E-2</v>
      </c>
      <c r="O5663" s="2">
        <f ca="1"/>
        <v>-0.32930666985030149</v>
      </c>
      <c r="X5663" s="2">
        <f ca="1"/>
        <v>16.436144201294884</v>
      </c>
      <c r="AG5663" s="2">
        <f ca="1"/>
        <v>1.6181660718002533E-2</v>
      </c>
      <c r="AH5663" s="2" t="str">
        <f ca="1"/>
        <v>Good</v>
      </c>
    </row>
    <row r="5664" spans="2:34">
      <c r="B5664" s="2">
        <f ca="1"/>
        <v>0.41259157224363507</v>
      </c>
      <c r="O5664" s="2">
        <f ca="1"/>
        <v>1.3555050887719877</v>
      </c>
      <c r="X5664" s="2">
        <f ca="1"/>
        <v>53.016890087855614</v>
      </c>
      <c r="AG5664" s="2">
        <f ca="1"/>
        <v>0.68654378077502587</v>
      </c>
      <c r="AH5664" s="2" t="str">
        <f ca="1"/>
        <v>Bad</v>
      </c>
    </row>
    <row r="5665" spans="2:34">
      <c r="B5665" s="2">
        <f ca="1"/>
        <v>0.35615407951510125</v>
      </c>
      <c r="O5665" s="2">
        <f ca="1"/>
        <v>3.6259845454780212E-2</v>
      </c>
      <c r="X5665" s="2">
        <f ca="1"/>
        <v>49.511596951202506</v>
      </c>
      <c r="AG5665" s="2">
        <f ca="1"/>
        <v>0.37904597813292051</v>
      </c>
      <c r="AH5665" s="2" t="str">
        <f ca="1"/>
        <v>OK</v>
      </c>
    </row>
    <row r="5666" spans="2:34">
      <c r="B5666" s="2">
        <f ca="1"/>
        <v>0.87720693870979916</v>
      </c>
      <c r="O5666" s="2">
        <f ca="1"/>
        <v>0.64293814546412698</v>
      </c>
      <c r="X5666" s="2">
        <f ca="1"/>
        <v>43.603242072323852</v>
      </c>
      <c r="AG5666" s="2">
        <f ca="1"/>
        <v>0.35588798797712706</v>
      </c>
      <c r="AH5666" s="2" t="str">
        <f ca="1"/>
        <v>OK</v>
      </c>
    </row>
    <row r="5667" spans="2:34">
      <c r="B5667" s="2">
        <f ca="1"/>
        <v>0.64259909558353812</v>
      </c>
      <c r="O5667" s="2">
        <f ca="1"/>
        <v>1.0141234241656201</v>
      </c>
      <c r="X5667" s="2">
        <f ca="1"/>
        <v>52.579190188514872</v>
      </c>
      <c r="AG5667" s="2">
        <f ca="1"/>
        <v>0.84707803575973828</v>
      </c>
      <c r="AH5667" s="2" t="str">
        <f ca="1"/>
        <v>Bad</v>
      </c>
    </row>
    <row r="5668" spans="2:34">
      <c r="B5668" s="2">
        <f ca="1"/>
        <v>8.2516423399227268E-2</v>
      </c>
      <c r="O5668" s="2">
        <f ca="1"/>
        <v>-0.34201026920257549</v>
      </c>
      <c r="X5668" s="2">
        <f ca="1"/>
        <v>36.072404664374382</v>
      </c>
      <c r="AG5668" s="2">
        <f ca="1"/>
        <v>0.44841276246649864</v>
      </c>
      <c r="AH5668" s="2" t="str">
        <f ca="1"/>
        <v>Bad</v>
      </c>
    </row>
    <row r="5669" spans="2:34">
      <c r="B5669" s="2">
        <f ca="1"/>
        <v>0.58100201570847365</v>
      </c>
      <c r="O5669" s="2">
        <f ca="1"/>
        <v>1.794301309137398</v>
      </c>
      <c r="X5669" s="2">
        <f ca="1"/>
        <v>53.720012448985067</v>
      </c>
      <c r="AG5669" s="2">
        <f ca="1"/>
        <v>0.12561854972983744</v>
      </c>
      <c r="AH5669" s="2" t="str">
        <f ca="1"/>
        <v>OK</v>
      </c>
    </row>
    <row r="5670" spans="2:34">
      <c r="B5670" s="2">
        <f ca="1"/>
        <v>0.28358093943647655</v>
      </c>
      <c r="O5670" s="2">
        <f ca="1"/>
        <v>-1.2303701267394314</v>
      </c>
      <c r="X5670" s="2">
        <f ca="1"/>
        <v>38.744699170835965</v>
      </c>
      <c r="AG5670" s="2">
        <f ca="1"/>
        <v>0.56784201488419961</v>
      </c>
      <c r="AH5670" s="2" t="str">
        <f ca="1"/>
        <v>Bad</v>
      </c>
    </row>
    <row r="5671" spans="2:34">
      <c r="B5671" s="2">
        <f ca="1"/>
        <v>0.91350129243864964</v>
      </c>
      <c r="O5671" s="2">
        <f ca="1"/>
        <v>3.3725983610741479E-2</v>
      </c>
      <c r="X5671" s="2">
        <f ca="1"/>
        <v>36.523332290319658</v>
      </c>
      <c r="AG5671" s="2">
        <f ca="1"/>
        <v>1.0767209991827231E-2</v>
      </c>
      <c r="AH5671" s="2" t="str">
        <f ca="1"/>
        <v>Good</v>
      </c>
    </row>
    <row r="5672" spans="2:34">
      <c r="B5672" s="2">
        <f ca="1"/>
        <v>0.40060214064751243</v>
      </c>
      <c r="O5672" s="2">
        <f ca="1"/>
        <v>1.0916529881184462</v>
      </c>
      <c r="X5672" s="2">
        <f ca="1"/>
        <v>25.704697855123815</v>
      </c>
      <c r="AG5672" s="2">
        <f ca="1"/>
        <v>0.60628805104824157</v>
      </c>
      <c r="AH5672" s="2" t="str">
        <f ca="1"/>
        <v>Bad</v>
      </c>
    </row>
    <row r="5673" spans="2:34">
      <c r="B5673" s="2">
        <f ca="1"/>
        <v>0.49428814177726199</v>
      </c>
      <c r="O5673" s="2">
        <f ca="1"/>
        <v>-0.75213185300353413</v>
      </c>
      <c r="X5673" s="2">
        <f ca="1"/>
        <v>47.153889327365363</v>
      </c>
      <c r="AG5673" s="2">
        <f ca="1"/>
        <v>0.91770205341061373</v>
      </c>
      <c r="AH5673" s="2" t="str">
        <f ca="1"/>
        <v>Bad</v>
      </c>
    </row>
    <row r="5674" spans="2:34">
      <c r="B5674" s="2">
        <f ca="1"/>
        <v>0.92215714092231771</v>
      </c>
      <c r="O5674" s="2">
        <f ca="1"/>
        <v>-1.4598409229450644E-2</v>
      </c>
      <c r="X5674" s="2">
        <f ca="1"/>
        <v>43.175272542733353</v>
      </c>
      <c r="AG5674" s="2">
        <f ca="1"/>
        <v>0.48368132606761649</v>
      </c>
      <c r="AH5674" s="2" t="str">
        <f ca="1"/>
        <v>Bad</v>
      </c>
    </row>
    <row r="5675" spans="2:34">
      <c r="B5675" s="2">
        <f ca="1"/>
        <v>0.32894668277764527</v>
      </c>
      <c r="O5675" s="2">
        <f ca="1"/>
        <v>2.4264778707227652</v>
      </c>
      <c r="X5675" s="2">
        <f ca="1"/>
        <v>50.504407638029683</v>
      </c>
      <c r="AG5675" s="2">
        <f ca="1"/>
        <v>0.63801882009598643</v>
      </c>
      <c r="AH5675" s="2" t="str">
        <f ca="1"/>
        <v>Bad</v>
      </c>
    </row>
    <row r="5676" spans="2:34">
      <c r="B5676" s="2">
        <f ca="1"/>
        <v>0.61348854801787156</v>
      </c>
      <c r="O5676" s="2">
        <f ca="1"/>
        <v>-0.21850177991567005</v>
      </c>
      <c r="X5676" s="2">
        <f ca="1"/>
        <v>36.970457638593935</v>
      </c>
      <c r="AG5676" s="2">
        <f ca="1"/>
        <v>0.78662964094890508</v>
      </c>
      <c r="AH5676" s="2" t="str">
        <f ca="1"/>
        <v>Bad</v>
      </c>
    </row>
    <row r="5677" spans="2:34">
      <c r="B5677" s="2">
        <f ca="1"/>
        <v>0.78312142208470115</v>
      </c>
      <c r="O5677" s="2">
        <f ca="1"/>
        <v>0.68700501160931249</v>
      </c>
      <c r="X5677" s="2">
        <f ca="1"/>
        <v>64.015834867487385</v>
      </c>
      <c r="AG5677" s="2">
        <f ca="1"/>
        <v>5.3012991286522926E-2</v>
      </c>
      <c r="AH5677" s="2" t="str">
        <f ca="1"/>
        <v>OK</v>
      </c>
    </row>
    <row r="5678" spans="2:34">
      <c r="B5678" s="2">
        <f ca="1"/>
        <v>0.92124189223426778</v>
      </c>
      <c r="O5678" s="2">
        <f ca="1"/>
        <v>-0.99021584127479589</v>
      </c>
      <c r="X5678" s="2">
        <f ca="1"/>
        <v>86.956464826619637</v>
      </c>
      <c r="AG5678" s="2">
        <f ca="1"/>
        <v>0.71649490706032126</v>
      </c>
      <c r="AH5678" s="2" t="str">
        <f ca="1"/>
        <v>Bad</v>
      </c>
    </row>
    <row r="5679" spans="2:34">
      <c r="B5679" s="2">
        <f ca="1"/>
        <v>0.95056041405057945</v>
      </c>
      <c r="O5679" s="2">
        <f ca="1"/>
        <v>0.99935591982658145</v>
      </c>
      <c r="X5679" s="2">
        <f ca="1"/>
        <v>52.494240953993156</v>
      </c>
      <c r="AG5679" s="2">
        <f ca="1"/>
        <v>0.55789494015836905</v>
      </c>
      <c r="AH5679" s="2" t="str">
        <f ca="1"/>
        <v>Bad</v>
      </c>
    </row>
    <row r="5680" spans="2:34">
      <c r="B5680" s="2">
        <f ca="1"/>
        <v>0.83091413969165262</v>
      </c>
      <c r="O5680" s="2">
        <f ca="1"/>
        <v>0.44843450649974276</v>
      </c>
      <c r="X5680" s="2">
        <f ca="1"/>
        <v>42.386003294832577</v>
      </c>
      <c r="AG5680" s="2">
        <f ca="1"/>
        <v>0.76656833412410563</v>
      </c>
      <c r="AH5680" s="2" t="str">
        <f ca="1"/>
        <v>Bad</v>
      </c>
    </row>
    <row r="5681" spans="2:34">
      <c r="B5681" s="2">
        <f ca="1"/>
        <v>0.38985615066755974</v>
      </c>
      <c r="O5681" s="2">
        <f ca="1"/>
        <v>0.40599852998701497</v>
      </c>
      <c r="X5681" s="2">
        <f ca="1"/>
        <v>48.836938999636182</v>
      </c>
      <c r="AG5681" s="2">
        <f ca="1"/>
        <v>0.48244263690223965</v>
      </c>
      <c r="AH5681" s="2" t="str">
        <f ca="1"/>
        <v>Bad</v>
      </c>
    </row>
    <row r="5682" spans="2:34">
      <c r="B5682" s="2">
        <f ca="1"/>
        <v>0.76169597296023017</v>
      </c>
      <c r="O5682" s="2">
        <f ca="1"/>
        <v>-3.9082312308647747E-2</v>
      </c>
      <c r="X5682" s="2">
        <f ca="1"/>
        <v>72.6928726658127</v>
      </c>
      <c r="AG5682" s="2">
        <f ca="1"/>
        <v>0.7260573874781342</v>
      </c>
      <c r="AH5682" s="2" t="str">
        <f ca="1"/>
        <v>Bad</v>
      </c>
    </row>
    <row r="5683" spans="2:34">
      <c r="B5683" s="2">
        <f ca="1"/>
        <v>0.29277512482815671</v>
      </c>
      <c r="O5683" s="2">
        <f ca="1"/>
        <v>-0.27657418618753266</v>
      </c>
      <c r="X5683" s="2">
        <f ca="1"/>
        <v>39.931364212763349</v>
      </c>
      <c r="AG5683" s="2">
        <f ca="1"/>
        <v>0.18469112684452038</v>
      </c>
      <c r="AH5683" s="2" t="str">
        <f ca="1"/>
        <v>OK</v>
      </c>
    </row>
    <row r="5684" spans="2:34">
      <c r="B5684" s="2">
        <f ca="1"/>
        <v>0.44244110507685197</v>
      </c>
      <c r="O5684" s="2">
        <f ca="1"/>
        <v>-1.0018248540347749</v>
      </c>
      <c r="X5684" s="2">
        <f ca="1"/>
        <v>48.726014813281502</v>
      </c>
      <c r="AG5684" s="2">
        <f ca="1"/>
        <v>0.83347991255813625</v>
      </c>
      <c r="AH5684" s="2" t="str">
        <f ca="1"/>
        <v>Bad</v>
      </c>
    </row>
    <row r="5685" spans="2:34">
      <c r="B5685" s="2">
        <f ca="1"/>
        <v>0.52182259168785117</v>
      </c>
      <c r="O5685" s="2">
        <f ca="1"/>
        <v>-0.27466739399368284</v>
      </c>
      <c r="X5685" s="2">
        <f ca="1"/>
        <v>63.299610394302647</v>
      </c>
      <c r="AG5685" s="2">
        <f ca="1"/>
        <v>1.3309388505986064E-2</v>
      </c>
      <c r="AH5685" s="2" t="str">
        <f ca="1"/>
        <v>Good</v>
      </c>
    </row>
    <row r="5686" spans="2:34">
      <c r="B5686" s="2">
        <f ca="1"/>
        <v>0.964057212329408</v>
      </c>
      <c r="O5686" s="2">
        <f ca="1"/>
        <v>0.63674353291272345</v>
      </c>
      <c r="X5686" s="2">
        <f ca="1"/>
        <v>43.587146137889889</v>
      </c>
      <c r="AG5686" s="2">
        <f ca="1"/>
        <v>0.24836013417767222</v>
      </c>
      <c r="AH5686" s="2" t="str">
        <f ca="1"/>
        <v>OK</v>
      </c>
    </row>
    <row r="5687" spans="2:34">
      <c r="B5687" s="2">
        <f ca="1"/>
        <v>0.18915106026228479</v>
      </c>
      <c r="O5687" s="2">
        <f ca="1"/>
        <v>-0.50515732804658797</v>
      </c>
      <c r="X5687" s="2">
        <f ca="1"/>
        <v>58.906710467788209</v>
      </c>
      <c r="AG5687" s="2">
        <f ca="1"/>
        <v>0.565041048579074</v>
      </c>
      <c r="AH5687" s="2" t="str">
        <f ca="1"/>
        <v>Bad</v>
      </c>
    </row>
    <row r="5688" spans="2:34">
      <c r="B5688" s="2">
        <f ca="1"/>
        <v>0.35939927213697898</v>
      </c>
      <c r="O5688" s="2">
        <f ca="1"/>
        <v>-1.933360908419993</v>
      </c>
      <c r="X5688" s="2">
        <f ca="1"/>
        <v>31.385039437517683</v>
      </c>
      <c r="AG5688" s="2">
        <f ca="1"/>
        <v>0.11986425407371848</v>
      </c>
      <c r="AH5688" s="2" t="str">
        <f ca="1"/>
        <v>OK</v>
      </c>
    </row>
    <row r="5689" spans="2:34">
      <c r="B5689" s="2">
        <f ca="1"/>
        <v>0.44332393286514593</v>
      </c>
      <c r="O5689" s="2">
        <f ca="1"/>
        <v>-0.13874889075049446</v>
      </c>
      <c r="X5689" s="2">
        <f ca="1"/>
        <v>29.498902826916648</v>
      </c>
      <c r="AG5689" s="2">
        <f ca="1"/>
        <v>0.442142700570203</v>
      </c>
      <c r="AH5689" s="2" t="str">
        <f ca="1"/>
        <v>Bad</v>
      </c>
    </row>
    <row r="5690" spans="2:34">
      <c r="B5690" s="2">
        <f ca="1"/>
        <v>0.7160041156360073</v>
      </c>
      <c r="O5690" s="2">
        <f ca="1"/>
        <v>1.2042577506675254</v>
      </c>
      <c r="X5690" s="2">
        <f ca="1"/>
        <v>53.983935022758594</v>
      </c>
      <c r="AG5690" s="2">
        <f ca="1"/>
        <v>0.24921687210902044</v>
      </c>
      <c r="AH5690" s="2" t="str">
        <f ca="1"/>
        <v>OK</v>
      </c>
    </row>
    <row r="5691" spans="2:34">
      <c r="B5691" s="2">
        <f ca="1"/>
        <v>4.8642107883447583E-3</v>
      </c>
      <c r="O5691" s="2">
        <f ca="1"/>
        <v>0.70003313843022241</v>
      </c>
      <c r="X5691" s="2">
        <f ca="1"/>
        <v>16.7946864654308</v>
      </c>
      <c r="AG5691" s="2">
        <f ca="1"/>
        <v>0.63169731285266018</v>
      </c>
      <c r="AH5691" s="2" t="str">
        <f ca="1"/>
        <v>Bad</v>
      </c>
    </row>
    <row r="5692" spans="2:34">
      <c r="B5692" s="2">
        <f ca="1"/>
        <v>0.1634460246893481</v>
      </c>
      <c r="O5692" s="2">
        <f ca="1"/>
        <v>7.7476638512558774E-2</v>
      </c>
      <c r="X5692" s="2">
        <f ca="1"/>
        <v>46.778177200399938</v>
      </c>
      <c r="AG5692" s="2">
        <f ca="1"/>
        <v>0.77575354384581097</v>
      </c>
      <c r="AH5692" s="2" t="str">
        <f ca="1"/>
        <v>Bad</v>
      </c>
    </row>
    <row r="5693" spans="2:34">
      <c r="B5693" s="2">
        <f ca="1"/>
        <v>0.22852868200919185</v>
      </c>
      <c r="O5693" s="2">
        <f ca="1"/>
        <v>-0.21849806903599464</v>
      </c>
      <c r="X5693" s="2">
        <f ca="1"/>
        <v>57.886385374741067</v>
      </c>
      <c r="AG5693" s="2">
        <f ca="1"/>
        <v>0.72792262220616744</v>
      </c>
      <c r="AH5693" s="2" t="str">
        <f ca="1"/>
        <v>Bad</v>
      </c>
    </row>
    <row r="5694" spans="2:34">
      <c r="B5694" s="2">
        <f ca="1"/>
        <v>0.67728909913161695</v>
      </c>
      <c r="O5694" s="2">
        <f ca="1"/>
        <v>-0.85497525214667525</v>
      </c>
      <c r="X5694" s="2">
        <f ca="1"/>
        <v>54.898683566515487</v>
      </c>
      <c r="AG5694" s="2">
        <f ca="1"/>
        <v>0.93126793274301045</v>
      </c>
      <c r="AH5694" s="2" t="str">
        <f ca="1"/>
        <v>Bad</v>
      </c>
    </row>
    <row r="5695" spans="2:34">
      <c r="B5695" s="2">
        <f ca="1"/>
        <v>0.31435973651984961</v>
      </c>
      <c r="O5695" s="2">
        <f ca="1"/>
        <v>-0.37759861270974276</v>
      </c>
      <c r="X5695" s="2">
        <f ca="1"/>
        <v>26.194216699037099</v>
      </c>
      <c r="AG5695" s="2">
        <f ca="1"/>
        <v>0.8128222390104034</v>
      </c>
      <c r="AH5695" s="2" t="str">
        <f ca="1"/>
        <v>Bad</v>
      </c>
    </row>
    <row r="5696" spans="2:34">
      <c r="B5696" s="2">
        <f ca="1"/>
        <v>0.67648917281459031</v>
      </c>
      <c r="O5696" s="2">
        <f ca="1"/>
        <v>0.63727165938918462</v>
      </c>
      <c r="X5696" s="2">
        <f ca="1"/>
        <v>70.500025668027433</v>
      </c>
      <c r="AG5696" s="2">
        <f ca="1"/>
        <v>0.41803740231344522</v>
      </c>
      <c r="AH5696" s="2" t="str">
        <f ca="1"/>
        <v>Bad</v>
      </c>
    </row>
    <row r="5697" spans="2:34">
      <c r="B5697" s="2">
        <f ca="1"/>
        <v>0.9429028564771087</v>
      </c>
      <c r="O5697" s="2">
        <f ca="1"/>
        <v>-0.11357263171545116</v>
      </c>
      <c r="X5697" s="2">
        <f ca="1"/>
        <v>46.710804835247473</v>
      </c>
      <c r="AG5697" s="2">
        <f ca="1"/>
        <v>0.95185397797301841</v>
      </c>
      <c r="AH5697" s="2" t="str">
        <f ca="1"/>
        <v>Bad</v>
      </c>
    </row>
    <row r="5698" spans="2:34">
      <c r="B5698" s="2">
        <f ca="1"/>
        <v>0.70318222187920409</v>
      </c>
      <c r="O5698" s="2">
        <f ca="1"/>
        <v>-0.4727245251501212</v>
      </c>
      <c r="X5698" s="2">
        <f ca="1"/>
        <v>57.618176038259989</v>
      </c>
      <c r="AG5698" s="2">
        <f ca="1"/>
        <v>0.95353772430487393</v>
      </c>
      <c r="AH5698" s="2" t="str">
        <f ca="1"/>
        <v>Bad</v>
      </c>
    </row>
    <row r="5699" spans="2:34">
      <c r="B5699" s="2">
        <f ca="1"/>
        <v>0.33949708470067863</v>
      </c>
      <c r="O5699" s="2">
        <f ca="1"/>
        <v>0.59511707999597907</v>
      </c>
      <c r="X5699" s="2">
        <f ca="1"/>
        <v>59.195906318321143</v>
      </c>
      <c r="AG5699" s="2">
        <f ca="1"/>
        <v>9.9728574678938697E-2</v>
      </c>
      <c r="AH5699" s="2" t="str">
        <f ca="1"/>
        <v>OK</v>
      </c>
    </row>
    <row r="5700" spans="2:34">
      <c r="B5700" s="2">
        <f ca="1"/>
        <v>0.50505075855436377</v>
      </c>
      <c r="O5700" s="2">
        <f ca="1"/>
        <v>1.2244711469422664</v>
      </c>
      <c r="X5700" s="2">
        <f ca="1"/>
        <v>61.34089098463172</v>
      </c>
      <c r="AG5700" s="2">
        <f ca="1"/>
        <v>5.9703283165146059E-2</v>
      </c>
      <c r="AH5700" s="2" t="str">
        <f ca="1"/>
        <v>OK</v>
      </c>
    </row>
    <row r="5701" spans="2:34">
      <c r="B5701" s="2">
        <f ca="1"/>
        <v>0.3355230465039527</v>
      </c>
      <c r="O5701" s="2">
        <f ca="1"/>
        <v>0.33717710907547038</v>
      </c>
      <c r="X5701" s="2">
        <f ca="1"/>
        <v>56.658156571742069</v>
      </c>
      <c r="AG5701" s="2">
        <f ca="1"/>
        <v>0.88661156664732688</v>
      </c>
      <c r="AH5701" s="2" t="str">
        <f ca="1"/>
        <v>Bad</v>
      </c>
    </row>
    <row r="5702" spans="2:34">
      <c r="B5702" s="2">
        <f ca="1"/>
        <v>0.12676579142082156</v>
      </c>
      <c r="O5702" s="2">
        <f ca="1"/>
        <v>-0.38088533145803666</v>
      </c>
      <c r="X5702" s="2">
        <f ca="1"/>
        <v>54.251870087966054</v>
      </c>
      <c r="AG5702" s="2">
        <f ca="1"/>
        <v>9.8342431535092922E-2</v>
      </c>
      <c r="AH5702" s="2" t="str">
        <f ca="1"/>
        <v>OK</v>
      </c>
    </row>
    <row r="5703" spans="2:34">
      <c r="B5703" s="2">
        <f ca="1"/>
        <v>0.10622564139558111</v>
      </c>
      <c r="O5703" s="2">
        <f ca="1"/>
        <v>0.55596664872111734</v>
      </c>
      <c r="X5703" s="2">
        <f ca="1"/>
        <v>61.57165035612644</v>
      </c>
      <c r="AG5703" s="2">
        <f ca="1"/>
        <v>0.25556333889648597</v>
      </c>
      <c r="AH5703" s="2" t="str">
        <f ca="1"/>
        <v>OK</v>
      </c>
    </row>
    <row r="5704" spans="2:34">
      <c r="B5704" s="2">
        <f ca="1"/>
        <v>0.49045083029928405</v>
      </c>
      <c r="O5704" s="2">
        <f ca="1"/>
        <v>-6.8376609866118487E-2</v>
      </c>
      <c r="X5704" s="2">
        <f ca="1"/>
        <v>38.714145173507461</v>
      </c>
      <c r="AG5704" s="2">
        <f ca="1"/>
        <v>0.48741351172103764</v>
      </c>
      <c r="AH5704" s="2" t="str">
        <f ca="1"/>
        <v>Bad</v>
      </c>
    </row>
    <row r="5705" spans="2:34">
      <c r="B5705" s="2">
        <f ca="1"/>
        <v>0.93128726921659055</v>
      </c>
      <c r="O5705" s="2">
        <f ca="1"/>
        <v>1.0349093991075062</v>
      </c>
      <c r="X5705" s="2">
        <f ca="1"/>
        <v>27.852463668463805</v>
      </c>
      <c r="AG5705" s="2">
        <f ca="1"/>
        <v>0.91856819418982938</v>
      </c>
      <c r="AH5705" s="2" t="str">
        <f ca="1"/>
        <v>Bad</v>
      </c>
    </row>
    <row r="5706" spans="2:34">
      <c r="B5706" s="2">
        <f ca="1"/>
        <v>0.37241524793629655</v>
      </c>
      <c r="O5706" s="2">
        <f ca="1"/>
        <v>0.84045220051547931</v>
      </c>
      <c r="X5706" s="2">
        <f ca="1"/>
        <v>36.976679754417312</v>
      </c>
      <c r="AG5706" s="2">
        <f ca="1"/>
        <v>0.6401871964354271</v>
      </c>
      <c r="AH5706" s="2" t="str">
        <f ca="1"/>
        <v>Bad</v>
      </c>
    </row>
    <row r="5707" spans="2:34">
      <c r="B5707" s="2">
        <f ca="1"/>
        <v>0.95332954140727932</v>
      </c>
      <c r="O5707" s="2">
        <f ca="1"/>
        <v>-0.41617718372227763</v>
      </c>
      <c r="X5707" s="2">
        <f ca="1"/>
        <v>40.879034366222264</v>
      </c>
      <c r="AG5707" s="2">
        <f ca="1"/>
        <v>0.61696187185982132</v>
      </c>
      <c r="AH5707" s="2" t="str">
        <f ca="1"/>
        <v>Bad</v>
      </c>
    </row>
    <row r="5708" spans="2:34">
      <c r="B5708" s="2">
        <f ca="1"/>
        <v>0.28971130442753013</v>
      </c>
      <c r="O5708" s="2">
        <f ca="1"/>
        <v>-1.5878985571646811</v>
      </c>
      <c r="X5708" s="2">
        <f ca="1"/>
        <v>64.570193273786003</v>
      </c>
      <c r="AG5708" s="2">
        <f ca="1"/>
        <v>0.60834527528110716</v>
      </c>
      <c r="AH5708" s="2" t="str">
        <f ca="1"/>
        <v>Bad</v>
      </c>
    </row>
    <row r="5709" spans="2:34">
      <c r="B5709" s="2">
        <f ca="1"/>
        <v>0.85107257365222222</v>
      </c>
      <c r="O5709" s="2">
        <f ca="1"/>
        <v>1.8341056207403512</v>
      </c>
      <c r="X5709" s="2">
        <f ca="1"/>
        <v>34.537639316966676</v>
      </c>
      <c r="AG5709" s="2">
        <f ca="1"/>
        <v>0.78502743652219431</v>
      </c>
      <c r="AH5709" s="2" t="str">
        <f ca="1"/>
        <v>Bad</v>
      </c>
    </row>
    <row r="5710" spans="2:34">
      <c r="B5710" s="2">
        <f ca="1"/>
        <v>0.32193964087996352</v>
      </c>
      <c r="O5710" s="2">
        <f ca="1"/>
        <v>-3.0483362733633002E-2</v>
      </c>
      <c r="X5710" s="2">
        <f ca="1"/>
        <v>43.983251032186985</v>
      </c>
      <c r="AG5710" s="2">
        <f ca="1"/>
        <v>0.46940740686708016</v>
      </c>
      <c r="AH5710" s="2" t="str">
        <f ca="1"/>
        <v>Bad</v>
      </c>
    </row>
    <row r="5711" spans="2:34">
      <c r="B5711" s="2">
        <f ca="1"/>
        <v>0.9407447446483026</v>
      </c>
      <c r="O5711" s="2">
        <f ca="1"/>
        <v>-9.0056074039354159E-2</v>
      </c>
      <c r="X5711" s="2">
        <f ca="1"/>
        <v>85.970367638417798</v>
      </c>
      <c r="AG5711" s="2">
        <f ca="1"/>
        <v>0.78834221205055655</v>
      </c>
      <c r="AH5711" s="2" t="str">
        <f ca="1"/>
        <v>Bad</v>
      </c>
    </row>
    <row r="5712" spans="2:34">
      <c r="B5712" s="2">
        <f ca="1"/>
        <v>4.9931963549969982E-2</v>
      </c>
      <c r="O5712" s="2">
        <f ca="1"/>
        <v>0.563019534479128</v>
      </c>
      <c r="X5712" s="2">
        <f ca="1"/>
        <v>40.153334046787386</v>
      </c>
      <c r="AG5712" s="2">
        <f ca="1"/>
        <v>0.52511344756863232</v>
      </c>
      <c r="AH5712" s="2" t="str">
        <f ca="1"/>
        <v>Bad</v>
      </c>
    </row>
    <row r="5713" spans="2:34">
      <c r="B5713" s="2">
        <f ca="1"/>
        <v>0.26999107102587661</v>
      </c>
      <c r="O5713" s="2">
        <f ca="1"/>
        <v>0.52967010491122091</v>
      </c>
      <c r="X5713" s="2">
        <f ca="1"/>
        <v>48.739712823793695</v>
      </c>
      <c r="AG5713" s="2">
        <f ca="1"/>
        <v>0.43380128726023548</v>
      </c>
      <c r="AH5713" s="2" t="str">
        <f ca="1"/>
        <v>Bad</v>
      </c>
    </row>
    <row r="5714" spans="2:34">
      <c r="B5714" s="2">
        <f ca="1"/>
        <v>0.66380092838259275</v>
      </c>
      <c r="O5714" s="2">
        <f ca="1"/>
        <v>0.27074805948413533</v>
      </c>
      <c r="X5714" s="2">
        <f ca="1"/>
        <v>26.735051184650153</v>
      </c>
      <c r="AG5714" s="2">
        <f ca="1"/>
        <v>0.17747753004026356</v>
      </c>
      <c r="AH5714" s="2" t="str">
        <f ca="1"/>
        <v>OK</v>
      </c>
    </row>
    <row r="5715" spans="2:34">
      <c r="B5715" s="2">
        <f ca="1"/>
        <v>0.32546121589909149</v>
      </c>
      <c r="O5715" s="2">
        <f ca="1"/>
        <v>0.45929682898459462</v>
      </c>
      <c r="X5715" s="2">
        <f ca="1"/>
        <v>73.6253331846967</v>
      </c>
      <c r="AG5715" s="2">
        <f ca="1"/>
        <v>2.7590935972269692E-2</v>
      </c>
      <c r="AH5715" s="2" t="str">
        <f ca="1"/>
        <v>Good</v>
      </c>
    </row>
    <row r="5716" spans="2:34">
      <c r="B5716" s="2">
        <f ca="1"/>
        <v>0.98093052659004254</v>
      </c>
      <c r="O5716" s="2">
        <f ca="1"/>
        <v>2.3554420701608092</v>
      </c>
      <c r="X5716" s="2">
        <f ca="1"/>
        <v>32.67144006266544</v>
      </c>
      <c r="AG5716" s="2">
        <f ca="1"/>
        <v>0.33086105592759329</v>
      </c>
      <c r="AH5716" s="2" t="str">
        <f ca="1"/>
        <v>OK</v>
      </c>
    </row>
    <row r="5717" spans="2:34">
      <c r="B5717" s="2">
        <f ca="1"/>
        <v>0.44900917421394593</v>
      </c>
      <c r="O5717" s="2">
        <f ca="1"/>
        <v>-1.0052878797637526</v>
      </c>
      <c r="X5717" s="2">
        <f ca="1"/>
        <v>23.374179355391082</v>
      </c>
      <c r="AG5717" s="2">
        <f ca="1"/>
        <v>7.675590246316899E-2</v>
      </c>
      <c r="AH5717" s="2" t="str">
        <f ca="1"/>
        <v>OK</v>
      </c>
    </row>
    <row r="5718" spans="2:34">
      <c r="B5718" s="2">
        <f ca="1"/>
        <v>0.39773631901573592</v>
      </c>
      <c r="O5718" s="2">
        <f ca="1"/>
        <v>0.12170191181416683</v>
      </c>
      <c r="X5718" s="2">
        <f ca="1"/>
        <v>45.930479284837006</v>
      </c>
      <c r="AG5718" s="2">
        <f ca="1"/>
        <v>0.87369826225811242</v>
      </c>
      <c r="AH5718" s="2" t="str">
        <f ca="1"/>
        <v>Bad</v>
      </c>
    </row>
    <row r="5719" spans="2:34">
      <c r="B5719" s="2">
        <f ca="1"/>
        <v>0.23993037970810405</v>
      </c>
      <c r="O5719" s="2">
        <f ca="1"/>
        <v>-0.62054006327544253</v>
      </c>
      <c r="X5719" s="2">
        <f ca="1"/>
        <v>82.846067992264736</v>
      </c>
      <c r="AG5719" s="2">
        <f ca="1"/>
        <v>0.68925120067488765</v>
      </c>
      <c r="AH5719" s="2" t="str">
        <f ca="1"/>
        <v>Bad</v>
      </c>
    </row>
    <row r="5720" spans="2:34">
      <c r="B5720" s="2">
        <f ca="1"/>
        <v>0.2433052446087649</v>
      </c>
      <c r="O5720" s="2">
        <f ca="1"/>
        <v>-1.0244400153448461</v>
      </c>
      <c r="X5720" s="2">
        <f ca="1"/>
        <v>63.278675077423529</v>
      </c>
      <c r="AG5720" s="2">
        <f ca="1"/>
        <v>0.56567450196471381</v>
      </c>
      <c r="AH5720" s="2" t="str">
        <f ca="1"/>
        <v>Bad</v>
      </c>
    </row>
    <row r="5721" spans="2:34">
      <c r="B5721" s="2">
        <f ca="1"/>
        <v>0.56344855733246546</v>
      </c>
      <c r="O5721" s="2">
        <f ca="1"/>
        <v>0.36371833202809278</v>
      </c>
      <c r="X5721" s="2">
        <f ca="1"/>
        <v>51.392235992383071</v>
      </c>
      <c r="AG5721" s="2">
        <f ca="1"/>
        <v>0.23929635166732233</v>
      </c>
      <c r="AH5721" s="2" t="str">
        <f ca="1"/>
        <v>OK</v>
      </c>
    </row>
    <row r="5722" spans="2:34">
      <c r="B5722" s="2">
        <f ca="1"/>
        <v>0.49892943018185898</v>
      </c>
      <c r="O5722" s="2">
        <f ca="1"/>
        <v>-1.0635031485764019</v>
      </c>
      <c r="X5722" s="2">
        <f ca="1"/>
        <v>63.578423412549803</v>
      </c>
      <c r="AG5722" s="2">
        <f ca="1"/>
        <v>0.28929359011117506</v>
      </c>
      <c r="AH5722" s="2" t="str">
        <f ca="1"/>
        <v>OK</v>
      </c>
    </row>
    <row r="5723" spans="2:34">
      <c r="B5723" s="2">
        <f ca="1"/>
        <v>0.26939630057984565</v>
      </c>
      <c r="O5723" s="2">
        <f ca="1"/>
        <v>1.090188798762507</v>
      </c>
      <c r="X5723" s="2">
        <f ca="1"/>
        <v>15.1267579760001</v>
      </c>
      <c r="AG5723" s="2">
        <f ca="1"/>
        <v>0.85649110163791864</v>
      </c>
      <c r="AH5723" s="2" t="str">
        <f ca="1"/>
        <v>Bad</v>
      </c>
    </row>
    <row r="5724" spans="2:34">
      <c r="B5724" s="2">
        <f ca="1"/>
        <v>0.59464334215861592</v>
      </c>
      <c r="O5724" s="2">
        <f ca="1"/>
        <v>-0.48615149897117277</v>
      </c>
      <c r="X5724" s="2">
        <f ca="1"/>
        <v>37.817485001203586</v>
      </c>
      <c r="AG5724" s="2">
        <f ca="1"/>
        <v>5.7864691054582584E-2</v>
      </c>
      <c r="AH5724" s="2" t="str">
        <f ca="1"/>
        <v>OK</v>
      </c>
    </row>
    <row r="5725" spans="2:34">
      <c r="B5725" s="2">
        <f ca="1"/>
        <v>1.0861779910490865E-2</v>
      </c>
      <c r="O5725" s="2">
        <f ca="1"/>
        <v>-1.7196675403575212</v>
      </c>
      <c r="X5725" s="2">
        <f ca="1"/>
        <v>34.317535020019598</v>
      </c>
      <c r="AG5725" s="2">
        <f ca="1"/>
        <v>3.9986068639319194E-2</v>
      </c>
      <c r="AH5725" s="2" t="str">
        <f ca="1"/>
        <v>Good</v>
      </c>
    </row>
    <row r="5726" spans="2:34">
      <c r="B5726" s="2">
        <f ca="1"/>
        <v>0.69094480328773877</v>
      </c>
      <c r="O5726" s="2">
        <f ca="1"/>
        <v>0.39892246697124634</v>
      </c>
      <c r="X5726" s="2">
        <f ca="1"/>
        <v>54.810468288651641</v>
      </c>
      <c r="AG5726" s="2">
        <f ca="1"/>
        <v>0.63603334514578114</v>
      </c>
      <c r="AH5726" s="2" t="str">
        <f ca="1"/>
        <v>Bad</v>
      </c>
    </row>
    <row r="5727" spans="2:34">
      <c r="B5727" s="2">
        <f ca="1"/>
        <v>0.17085139612967204</v>
      </c>
      <c r="O5727" s="2">
        <f ca="1"/>
        <v>-0.80644980160174573</v>
      </c>
      <c r="X5727" s="2">
        <f ca="1"/>
        <v>50.837349507466328</v>
      </c>
      <c r="AG5727" s="2">
        <f ca="1"/>
        <v>0.83684882644746317</v>
      </c>
      <c r="AH5727" s="2" t="str">
        <f ca="1"/>
        <v>Bad</v>
      </c>
    </row>
    <row r="5728" spans="2:34">
      <c r="B5728" s="2">
        <f ca="1"/>
        <v>0.8152326439095805</v>
      </c>
      <c r="O5728" s="2">
        <f ca="1"/>
        <v>1.1501607384700463</v>
      </c>
      <c r="X5728" s="2">
        <f ca="1"/>
        <v>41.535016685089829</v>
      </c>
      <c r="AG5728" s="2">
        <f ca="1"/>
        <v>0.33598590306454734</v>
      </c>
      <c r="AH5728" s="2" t="str">
        <f ca="1"/>
        <v>OK</v>
      </c>
    </row>
    <row r="5729" spans="2:34">
      <c r="B5729" s="2">
        <f ca="1"/>
        <v>0.68184536004503271</v>
      </c>
      <c r="O5729" s="2">
        <f ca="1"/>
        <v>1.0921285403354035</v>
      </c>
      <c r="X5729" s="2">
        <f ca="1"/>
        <v>35.368571168557516</v>
      </c>
      <c r="AG5729" s="2">
        <f ca="1"/>
        <v>0.20427111774237061</v>
      </c>
      <c r="AH5729" s="2" t="str">
        <f ca="1"/>
        <v>OK</v>
      </c>
    </row>
    <row r="5730" spans="2:34">
      <c r="B5730" s="2">
        <f ca="1"/>
        <v>8.7265948361847423E-2</v>
      </c>
      <c r="O5730" s="2">
        <f ca="1"/>
        <v>0.29517142275952213</v>
      </c>
      <c r="X5730" s="2">
        <f ca="1"/>
        <v>55.314855978161575</v>
      </c>
      <c r="AG5730" s="2">
        <f ca="1"/>
        <v>0.13580339659123752</v>
      </c>
      <c r="AH5730" s="2" t="str">
        <f ca="1"/>
        <v>OK</v>
      </c>
    </row>
    <row r="5731" spans="2:34">
      <c r="B5731" s="2">
        <f ca="1"/>
        <v>0.80191041843966548</v>
      </c>
      <c r="O5731" s="2">
        <f ca="1"/>
        <v>0.71601546358317036</v>
      </c>
      <c r="X5731" s="2">
        <f ca="1"/>
        <v>82.094852690438699</v>
      </c>
      <c r="AG5731" s="2">
        <f ca="1"/>
        <v>0.95751753624517355</v>
      </c>
      <c r="AH5731" s="2" t="str">
        <f ca="1"/>
        <v>Bad</v>
      </c>
    </row>
    <row r="5732" spans="2:34">
      <c r="B5732" s="2">
        <f ca="1"/>
        <v>0.92057469130164726</v>
      </c>
      <c r="O5732" s="2">
        <f ca="1"/>
        <v>-1.4196032338788829</v>
      </c>
      <c r="X5732" s="2">
        <f ca="1"/>
        <v>50.259124937641964</v>
      </c>
      <c r="AG5732" s="2">
        <f ca="1"/>
        <v>0.86622803951975413</v>
      </c>
      <c r="AH5732" s="2" t="str">
        <f ca="1"/>
        <v>Bad</v>
      </c>
    </row>
    <row r="5733" spans="2:34">
      <c r="B5733" s="2">
        <f ca="1"/>
        <v>0.35084632861271858</v>
      </c>
      <c r="O5733" s="2">
        <f ca="1"/>
        <v>0.11085358228205654</v>
      </c>
      <c r="X5733" s="2">
        <f ca="1"/>
        <v>30.337751509344596</v>
      </c>
      <c r="AG5733" s="2">
        <f ca="1"/>
        <v>4.2629094041493287E-2</v>
      </c>
      <c r="AH5733" s="2" t="str">
        <f ca="1"/>
        <v>Good</v>
      </c>
    </row>
    <row r="5734" spans="2:34">
      <c r="B5734" s="2">
        <f ca="1"/>
        <v>0.70690964406058265</v>
      </c>
      <c r="O5734" s="2">
        <f ca="1"/>
        <v>1.6062521620911723</v>
      </c>
      <c r="X5734" s="2">
        <f ca="1"/>
        <v>64.86732208597607</v>
      </c>
      <c r="AG5734" s="2">
        <f ca="1"/>
        <v>0.19628624780538284</v>
      </c>
      <c r="AH5734" s="2" t="str">
        <f ca="1"/>
        <v>OK</v>
      </c>
    </row>
    <row r="5735" spans="2:34">
      <c r="B5735" s="2">
        <f ca="1"/>
        <v>3.7446383617290246E-2</v>
      </c>
      <c r="O5735" s="2">
        <f ca="1"/>
        <v>1.041908503696412</v>
      </c>
      <c r="X5735" s="2">
        <f ca="1"/>
        <v>26.045437129789597</v>
      </c>
      <c r="AG5735" s="2">
        <f ca="1"/>
        <v>0.55877585036852762</v>
      </c>
      <c r="AH5735" s="2" t="str">
        <f ca="1"/>
        <v>Bad</v>
      </c>
    </row>
    <row r="5736" spans="2:34">
      <c r="B5736" s="2">
        <f ca="1"/>
        <v>0.81097370678338287</v>
      </c>
      <c r="O5736" s="2">
        <f ca="1"/>
        <v>1.1535940230338069</v>
      </c>
      <c r="X5736" s="2">
        <f ca="1"/>
        <v>43.275748817434874</v>
      </c>
      <c r="AG5736" s="2">
        <f ca="1"/>
        <v>0.42464695368665795</v>
      </c>
      <c r="AH5736" s="2" t="str">
        <f ca="1"/>
        <v>Bad</v>
      </c>
    </row>
    <row r="5737" spans="2:34">
      <c r="B5737" s="2">
        <f ca="1"/>
        <v>0.88318230052787294</v>
      </c>
      <c r="O5737" s="2">
        <f ca="1"/>
        <v>1.0290758352441995</v>
      </c>
      <c r="X5737" s="2">
        <f ca="1"/>
        <v>66.688781328624998</v>
      </c>
      <c r="AG5737" s="2">
        <f ca="1"/>
        <v>0.21911809370598401</v>
      </c>
      <c r="AH5737" s="2" t="str">
        <f ca="1"/>
        <v>OK</v>
      </c>
    </row>
    <row r="5738" spans="2:34">
      <c r="B5738" s="2">
        <f ca="1"/>
        <v>0.41971014694100206</v>
      </c>
      <c r="O5738" s="2">
        <f ca="1"/>
        <v>2.0267351996349023</v>
      </c>
      <c r="X5738" s="2">
        <f ca="1"/>
        <v>36.840405298237464</v>
      </c>
      <c r="AG5738" s="2">
        <f ca="1"/>
        <v>0.53659103676874853</v>
      </c>
      <c r="AH5738" s="2" t="str">
        <f ca="1"/>
        <v>Bad</v>
      </c>
    </row>
    <row r="5739" spans="2:34">
      <c r="B5739" s="2">
        <f ca="1"/>
        <v>0.24130591946962388</v>
      </c>
      <c r="O5739" s="2">
        <f ca="1"/>
        <v>0.19729525342811591</v>
      </c>
      <c r="X5739" s="2">
        <f ca="1"/>
        <v>43.785528211047961</v>
      </c>
      <c r="AG5739" s="2">
        <f ca="1"/>
        <v>0.68036689469591893</v>
      </c>
      <c r="AH5739" s="2" t="str">
        <f ca="1"/>
        <v>Bad</v>
      </c>
    </row>
    <row r="5740" spans="2:34">
      <c r="B5740" s="2">
        <f ca="1"/>
        <v>0.61606534747302866</v>
      </c>
      <c r="O5740" s="2">
        <f ca="1"/>
        <v>-0.31975816864811235</v>
      </c>
      <c r="X5740" s="2">
        <f ca="1"/>
        <v>72.975484318491425</v>
      </c>
      <c r="AG5740" s="2">
        <f ca="1"/>
        <v>0.74257383487288342</v>
      </c>
      <c r="AH5740" s="2" t="str">
        <f ca="1"/>
        <v>Bad</v>
      </c>
    </row>
    <row r="5741" spans="2:34">
      <c r="B5741" s="2">
        <f ca="1"/>
        <v>0.24669809232415574</v>
      </c>
      <c r="O5741" s="2">
        <f ca="1"/>
        <v>-1.3800559160830252</v>
      </c>
      <c r="X5741" s="2">
        <f ca="1"/>
        <v>33.102653374383074</v>
      </c>
      <c r="AG5741" s="2">
        <f ca="1"/>
        <v>0.17637601434357575</v>
      </c>
      <c r="AH5741" s="2" t="str">
        <f ca="1"/>
        <v>OK</v>
      </c>
    </row>
    <row r="5742" spans="2:34">
      <c r="B5742" s="2">
        <f ca="1"/>
        <v>0.78647563497512984</v>
      </c>
      <c r="O5742" s="2">
        <f ca="1"/>
        <v>0.12085728295764253</v>
      </c>
      <c r="X5742" s="2">
        <f ca="1"/>
        <v>31.594756623868783</v>
      </c>
      <c r="AG5742" s="2">
        <f ca="1"/>
        <v>0.20234699937403633</v>
      </c>
      <c r="AH5742" s="2" t="str">
        <f ca="1"/>
        <v>OK</v>
      </c>
    </row>
    <row r="5743" spans="2:34">
      <c r="B5743" s="2">
        <f ca="1"/>
        <v>0.8487963018624578</v>
      </c>
      <c r="O5743" s="2">
        <f ca="1"/>
        <v>0.501610995714594</v>
      </c>
      <c r="X5743" s="2">
        <f ca="1"/>
        <v>64.755679707006124</v>
      </c>
      <c r="AG5743" s="2">
        <f ca="1"/>
        <v>0.60593691074102751</v>
      </c>
      <c r="AH5743" s="2" t="str">
        <f ca="1"/>
        <v>Bad</v>
      </c>
    </row>
    <row r="5744" spans="2:34">
      <c r="B5744" s="2">
        <f ca="1"/>
        <v>0.34769001913961439</v>
      </c>
      <c r="O5744" s="2">
        <f ca="1"/>
        <v>-0.21629571986779786</v>
      </c>
      <c r="X5744" s="2">
        <f ca="1"/>
        <v>26.088278236202115</v>
      </c>
      <c r="AG5744" s="2">
        <f ca="1"/>
        <v>0.60873330588920194</v>
      </c>
      <c r="AH5744" s="2" t="str">
        <f ca="1"/>
        <v>Bad</v>
      </c>
    </row>
    <row r="5745" spans="2:34">
      <c r="B5745" s="2">
        <f ca="1"/>
        <v>0.59707059487570846</v>
      </c>
      <c r="O5745" s="2">
        <f ca="1"/>
        <v>0.53549989863886294</v>
      </c>
      <c r="X5745" s="2">
        <f ca="1"/>
        <v>61.271599875767315</v>
      </c>
      <c r="AG5745" s="2">
        <f ca="1"/>
        <v>0.66537113727689934</v>
      </c>
      <c r="AH5745" s="2" t="str">
        <f ca="1"/>
        <v>Bad</v>
      </c>
    </row>
    <row r="5746" spans="2:34">
      <c r="B5746" s="2">
        <f ca="1"/>
        <v>9.768514081402202E-2</v>
      </c>
      <c r="O5746" s="2">
        <f ca="1"/>
        <v>7.346015408108671E-3</v>
      </c>
      <c r="X5746" s="2">
        <f ca="1"/>
        <v>34.374959732153783</v>
      </c>
      <c r="AG5746" s="2">
        <f ca="1"/>
        <v>5.5397758804032637E-2</v>
      </c>
      <c r="AH5746" s="2" t="str">
        <f ca="1"/>
        <v>OK</v>
      </c>
    </row>
    <row r="5747" spans="2:34">
      <c r="B5747" s="2">
        <f ca="1"/>
        <v>0.72617690491957365</v>
      </c>
      <c r="O5747" s="2">
        <f ca="1"/>
        <v>-0.6730439614568775</v>
      </c>
      <c r="X5747" s="2">
        <f ca="1"/>
        <v>31.161355997547769</v>
      </c>
      <c r="AG5747" s="2">
        <f ca="1"/>
        <v>0.87370191875800041</v>
      </c>
      <c r="AH5747" s="2" t="str">
        <f ca="1"/>
        <v>Bad</v>
      </c>
    </row>
    <row r="5748" spans="2:34">
      <c r="B5748" s="2">
        <f ca="1"/>
        <v>0.45344256345563028</v>
      </c>
      <c r="O5748" s="2">
        <f ca="1"/>
        <v>-0.56304581354557071</v>
      </c>
      <c r="X5748" s="2">
        <f ca="1"/>
        <v>43.385624918210482</v>
      </c>
      <c r="AG5748" s="2">
        <f ca="1"/>
        <v>0.6680808900803088</v>
      </c>
      <c r="AH5748" s="2" t="str">
        <f ca="1"/>
        <v>Bad</v>
      </c>
    </row>
    <row r="5749" spans="2:34">
      <c r="B5749" s="2">
        <f ca="1"/>
        <v>0.12664141707406307</v>
      </c>
      <c r="O5749" s="2">
        <f ca="1"/>
        <v>-0.18159388966344589</v>
      </c>
      <c r="X5749" s="2">
        <f ca="1"/>
        <v>44.683314319276974</v>
      </c>
      <c r="AG5749" s="2">
        <f ca="1"/>
        <v>0.21204421617681968</v>
      </c>
      <c r="AH5749" s="2" t="str">
        <f ca="1"/>
        <v>OK</v>
      </c>
    </row>
    <row r="5750" spans="2:34">
      <c r="B5750" s="2">
        <f ca="1"/>
        <v>0.60254503154849726</v>
      </c>
      <c r="O5750" s="2">
        <f ca="1"/>
        <v>2.0997111147094283</v>
      </c>
      <c r="X5750" s="2">
        <f ca="1"/>
        <v>51.029432143317663</v>
      </c>
      <c r="AG5750" s="2">
        <f ca="1"/>
        <v>0.5736620499726155</v>
      </c>
      <c r="AH5750" s="2" t="str">
        <f ca="1"/>
        <v>Bad</v>
      </c>
    </row>
    <row r="5751" spans="2:34">
      <c r="B5751" s="2">
        <f ca="1"/>
        <v>0.83144404666759852</v>
      </c>
      <c r="O5751" s="2">
        <f ca="1"/>
        <v>0.2735445138219994</v>
      </c>
      <c r="X5751" s="2">
        <f ca="1"/>
        <v>51.627883383431225</v>
      </c>
      <c r="AG5751" s="2">
        <f ca="1"/>
        <v>0.59516342287991586</v>
      </c>
      <c r="AH5751" s="2" t="str">
        <f ca="1"/>
        <v>Bad</v>
      </c>
    </row>
    <row r="5752" spans="2:34">
      <c r="B5752" s="2">
        <f ca="1"/>
        <v>0.96151098883214292</v>
      </c>
      <c r="O5752" s="2">
        <f ca="1"/>
        <v>1.0281560702821235</v>
      </c>
      <c r="X5752" s="2">
        <f ca="1"/>
        <v>52.390715168242572</v>
      </c>
      <c r="AG5752" s="2">
        <f ca="1"/>
        <v>1.8778456500570861E-2</v>
      </c>
      <c r="AH5752" s="2" t="str">
        <f ca="1"/>
        <v>Good</v>
      </c>
    </row>
    <row r="5753" spans="2:34">
      <c r="B5753" s="2">
        <f ca="1"/>
        <v>3.2339770634974618E-2</v>
      </c>
      <c r="O5753" s="2">
        <f ca="1"/>
        <v>1.6216619959408464E-2</v>
      </c>
      <c r="X5753" s="2">
        <f ca="1"/>
        <v>58.327793176195108</v>
      </c>
      <c r="AG5753" s="2">
        <f ca="1"/>
        <v>0.12492285628180122</v>
      </c>
      <c r="AH5753" s="2" t="str">
        <f ca="1"/>
        <v>OK</v>
      </c>
    </row>
    <row r="5754" spans="2:34">
      <c r="B5754" s="2">
        <f ca="1"/>
        <v>5.2068126426970229E-2</v>
      </c>
      <c r="O5754" s="2">
        <f ca="1"/>
        <v>0.25584174119513337</v>
      </c>
      <c r="X5754" s="2">
        <f ca="1"/>
        <v>57.190536740083246</v>
      </c>
      <c r="AG5754" s="2">
        <f ca="1"/>
        <v>0.56146420532431507</v>
      </c>
      <c r="AH5754" s="2" t="str">
        <f ca="1"/>
        <v>Bad</v>
      </c>
    </row>
    <row r="5755" spans="2:34">
      <c r="B5755" s="2">
        <f ca="1"/>
        <v>0.76956430740473514</v>
      </c>
      <c r="O5755" s="2">
        <f ca="1"/>
        <v>1.3093690882333979</v>
      </c>
      <c r="X5755" s="2">
        <f ca="1"/>
        <v>102.38770365995713</v>
      </c>
      <c r="AG5755" s="2">
        <f ca="1"/>
        <v>0.89908549041194763</v>
      </c>
      <c r="AH5755" s="2" t="str">
        <f ca="1"/>
        <v>Bad</v>
      </c>
    </row>
    <row r="5756" spans="2:34">
      <c r="B5756" s="2">
        <f ca="1"/>
        <v>0.8414231032630084</v>
      </c>
      <c r="O5756" s="2">
        <f ca="1"/>
        <v>0.99528141549851645</v>
      </c>
      <c r="X5756" s="2">
        <f ca="1"/>
        <v>30.696693326157639</v>
      </c>
      <c r="AG5756" s="2">
        <f ca="1"/>
        <v>0.3976040190811283</v>
      </c>
      <c r="AH5756" s="2" t="str">
        <f ca="1"/>
        <v>OK</v>
      </c>
    </row>
    <row r="5757" spans="2:34">
      <c r="B5757" s="2">
        <f ca="1"/>
        <v>0.62536752204321888</v>
      </c>
      <c r="O5757" s="2">
        <f ca="1"/>
        <v>0.68057778066826502</v>
      </c>
      <c r="X5757" s="2">
        <f ca="1"/>
        <v>31.233146902584078</v>
      </c>
      <c r="AG5757" s="2">
        <f ca="1"/>
        <v>0.27636974891982979</v>
      </c>
      <c r="AH5757" s="2" t="str">
        <f ca="1"/>
        <v>OK</v>
      </c>
    </row>
    <row r="5758" spans="2:34">
      <c r="B5758" s="2">
        <f ca="1"/>
        <v>0.31051907216907471</v>
      </c>
      <c r="O5758" s="2">
        <f ca="1"/>
        <v>0.82746199624679062</v>
      </c>
      <c r="X5758" s="2">
        <f ca="1"/>
        <v>41.643671563461098</v>
      </c>
      <c r="AG5758" s="2">
        <f ca="1"/>
        <v>0.10417211442014285</v>
      </c>
      <c r="AH5758" s="2" t="str">
        <f ca="1"/>
        <v>OK</v>
      </c>
    </row>
    <row r="5759" spans="2:34">
      <c r="B5759" s="2">
        <f ca="1"/>
        <v>7.738047959855443E-2</v>
      </c>
      <c r="O5759" s="2">
        <f ca="1"/>
        <v>0.27281369518614762</v>
      </c>
      <c r="X5759" s="2">
        <f ca="1"/>
        <v>76.345499858734669</v>
      </c>
      <c r="AG5759" s="2">
        <f ca="1"/>
        <v>0.93281704851276848</v>
      </c>
      <c r="AH5759" s="2" t="str">
        <f ca="1"/>
        <v>Bad</v>
      </c>
    </row>
    <row r="5760" spans="2:34">
      <c r="B5760" s="2">
        <f ca="1"/>
        <v>0.41548861983484886</v>
      </c>
      <c r="O5760" s="2">
        <f ca="1"/>
        <v>0.1343646177582036</v>
      </c>
      <c r="X5760" s="2">
        <f ca="1"/>
        <v>68.670049636721856</v>
      </c>
      <c r="AG5760" s="2">
        <f ca="1"/>
        <v>0.93709876467607978</v>
      </c>
      <c r="AH5760" s="2" t="str">
        <f ca="1"/>
        <v>Bad</v>
      </c>
    </row>
    <row r="5761" spans="2:34">
      <c r="B5761" s="2">
        <f ca="1"/>
        <v>0.39360017755166821</v>
      </c>
      <c r="O5761" s="2">
        <f ca="1"/>
        <v>0.22391758678717164</v>
      </c>
      <c r="X5761" s="2">
        <f ca="1"/>
        <v>55.338472778716579</v>
      </c>
      <c r="AG5761" s="2">
        <f ca="1"/>
        <v>0.52803436779698298</v>
      </c>
      <c r="AH5761" s="2" t="str">
        <f ca="1"/>
        <v>Bad</v>
      </c>
    </row>
    <row r="5762" spans="2:34">
      <c r="B5762" s="2">
        <f ca="1"/>
        <v>0.21933344997629511</v>
      </c>
      <c r="O5762" s="2">
        <f ca="1"/>
        <v>-2.4588078572517107</v>
      </c>
      <c r="X5762" s="2">
        <f ca="1"/>
        <v>47.68432235203926</v>
      </c>
      <c r="AG5762" s="2">
        <f ca="1"/>
        <v>0.12578202926830029</v>
      </c>
      <c r="AH5762" s="2" t="str">
        <f ca="1"/>
        <v>OK</v>
      </c>
    </row>
    <row r="5763" spans="2:34">
      <c r="B5763" s="2">
        <f ca="1"/>
        <v>0.38152355765815504</v>
      </c>
      <c r="O5763" s="2">
        <f ca="1"/>
        <v>-1.7586651905526081</v>
      </c>
      <c r="X5763" s="2">
        <f ca="1"/>
        <v>39.093456259205198</v>
      </c>
      <c r="AG5763" s="2">
        <f ca="1"/>
        <v>0.33991321639507688</v>
      </c>
      <c r="AH5763" s="2" t="str">
        <f ca="1"/>
        <v>OK</v>
      </c>
    </row>
    <row r="5764" spans="2:34">
      <c r="B5764" s="2">
        <f ca="1"/>
        <v>0.15807430607026518</v>
      </c>
      <c r="O5764" s="2">
        <f ca="1"/>
        <v>9.3366276757640046E-2</v>
      </c>
      <c r="X5764" s="2">
        <f ca="1"/>
        <v>33.788073485694319</v>
      </c>
      <c r="AG5764" s="2">
        <f ca="1"/>
        <v>0.12678004474338755</v>
      </c>
      <c r="AH5764" s="2" t="str">
        <f ca="1"/>
        <v>OK</v>
      </c>
    </row>
    <row r="5765" spans="2:34">
      <c r="B5765" s="2">
        <f ca="1"/>
        <v>0.32412096372946619</v>
      </c>
      <c r="O5765" s="2">
        <f ca="1"/>
        <v>2.121879215630353</v>
      </c>
      <c r="X5765" s="2">
        <f ca="1"/>
        <v>42.171766351887214</v>
      </c>
      <c r="AG5765" s="2">
        <f ca="1"/>
        <v>0.45562337777356188</v>
      </c>
      <c r="AH5765" s="2" t="str">
        <f ca="1"/>
        <v>Bad</v>
      </c>
    </row>
    <row r="5766" spans="2:34">
      <c r="B5766" s="2">
        <f ca="1"/>
        <v>0.70130015992297601</v>
      </c>
      <c r="O5766" s="2">
        <f ca="1"/>
        <v>1.2847751358839454</v>
      </c>
      <c r="X5766" s="2">
        <f ca="1"/>
        <v>41.024516276226379</v>
      </c>
      <c r="AG5766" s="2">
        <f ca="1"/>
        <v>6.3114482172757835E-2</v>
      </c>
      <c r="AH5766" s="2" t="str">
        <f ca="1"/>
        <v>OK</v>
      </c>
    </row>
    <row r="5767" spans="2:34">
      <c r="B5767" s="2">
        <f ca="1"/>
        <v>0.10590742796899799</v>
      </c>
      <c r="O5767" s="2">
        <f ca="1"/>
        <v>0.69989707079856622</v>
      </c>
      <c r="X5767" s="2">
        <f ca="1"/>
        <v>32.032903091066807</v>
      </c>
      <c r="AG5767" s="2">
        <f ca="1"/>
        <v>2.8677854495316568E-2</v>
      </c>
      <c r="AH5767" s="2" t="str">
        <f ca="1"/>
        <v>Good</v>
      </c>
    </row>
    <row r="5768" spans="2:34">
      <c r="B5768" s="2">
        <f ca="1"/>
        <v>0.61399421717462843</v>
      </c>
      <c r="O5768" s="2">
        <f ca="1"/>
        <v>-0.78314169818700852</v>
      </c>
      <c r="X5768" s="2">
        <f ca="1"/>
        <v>26.089499783526083</v>
      </c>
      <c r="AG5768" s="2">
        <f ca="1"/>
        <v>0.26038248442993828</v>
      </c>
      <c r="AH5768" s="2" t="str">
        <f ca="1"/>
        <v>OK</v>
      </c>
    </row>
    <row r="5769" spans="2:34">
      <c r="B5769" s="2">
        <f ca="1"/>
        <v>0.79855951991251062</v>
      </c>
      <c r="O5769" s="2">
        <f ca="1"/>
        <v>0.52512062446482632</v>
      </c>
      <c r="X5769" s="2">
        <f ca="1"/>
        <v>23.767388244226556</v>
      </c>
      <c r="AG5769" s="2">
        <f ca="1"/>
        <v>0.57108803325625423</v>
      </c>
      <c r="AH5769" s="2" t="str">
        <f ca="1"/>
        <v>Bad</v>
      </c>
    </row>
    <row r="5770" spans="2:34">
      <c r="B5770" s="2">
        <f ca="1"/>
        <v>0.72356973178612782</v>
      </c>
      <c r="O5770" s="2">
        <f ca="1"/>
        <v>0.43851074442898919</v>
      </c>
      <c r="X5770" s="2">
        <f ca="1"/>
        <v>60.724473138652741</v>
      </c>
      <c r="AG5770" s="2">
        <f ca="1"/>
        <v>0.81652224842676491</v>
      </c>
      <c r="AH5770" s="2" t="str">
        <f ca="1"/>
        <v>Bad</v>
      </c>
    </row>
    <row r="5771" spans="2:34">
      <c r="B5771" s="2">
        <f ca="1"/>
        <v>0.18331746452741116</v>
      </c>
      <c r="O5771" s="2">
        <f ca="1"/>
        <v>-0.9625859314325852</v>
      </c>
      <c r="X5771" s="2">
        <f ca="1"/>
        <v>28.60037624228671</v>
      </c>
      <c r="AG5771" s="2">
        <f ca="1"/>
        <v>0.59342224035381919</v>
      </c>
      <c r="AH5771" s="2" t="str">
        <f ca="1"/>
        <v>Bad</v>
      </c>
    </row>
    <row r="5772" spans="2:34">
      <c r="B5772" s="2">
        <f ca="1"/>
        <v>0.12648286916539764</v>
      </c>
      <c r="O5772" s="2">
        <f ca="1"/>
        <v>-0.45109812840612801</v>
      </c>
      <c r="X5772" s="2">
        <f ca="1"/>
        <v>27.673701878101337</v>
      </c>
      <c r="AG5772" s="2">
        <f ca="1"/>
        <v>3.4721188060621744E-2</v>
      </c>
      <c r="AH5772" s="2" t="str">
        <f ca="1"/>
        <v>Good</v>
      </c>
    </row>
    <row r="5773" spans="2:34">
      <c r="B5773" s="2">
        <f ca="1"/>
        <v>0.27540833099071982</v>
      </c>
      <c r="O5773" s="2">
        <f ca="1"/>
        <v>-0.20134303363586628</v>
      </c>
      <c r="X5773" s="2">
        <f ca="1"/>
        <v>32.262476719180633</v>
      </c>
      <c r="AG5773" s="2">
        <f ca="1"/>
        <v>0.72032210693010201</v>
      </c>
      <c r="AH5773" s="2" t="str">
        <f ca="1"/>
        <v>Bad</v>
      </c>
    </row>
    <row r="5774" spans="2:34">
      <c r="B5774" s="2">
        <f ca="1"/>
        <v>0.4262803899216312</v>
      </c>
      <c r="O5774" s="2">
        <f ca="1"/>
        <v>-0.21118932190006984</v>
      </c>
      <c r="X5774" s="2">
        <f ca="1"/>
        <v>38.484267484725351</v>
      </c>
      <c r="AG5774" s="2">
        <f ca="1"/>
        <v>0.63948874880460682</v>
      </c>
      <c r="AH5774" s="2" t="str">
        <f ca="1"/>
        <v>Bad</v>
      </c>
    </row>
    <row r="5775" spans="2:34">
      <c r="B5775" s="2">
        <f ca="1"/>
        <v>0.62120707697864708</v>
      </c>
      <c r="O5775" s="2">
        <f ca="1"/>
        <v>-1.5616287945638136</v>
      </c>
      <c r="X5775" s="2">
        <f ca="1"/>
        <v>64.248681056541415</v>
      </c>
      <c r="AG5775" s="2">
        <f ca="1"/>
        <v>0.9934396478212888</v>
      </c>
      <c r="AH5775" s="2" t="str">
        <f ca="1"/>
        <v>Bad</v>
      </c>
    </row>
    <row r="5776" spans="2:34">
      <c r="B5776" s="2">
        <f ca="1"/>
        <v>0.931299265853053</v>
      </c>
      <c r="O5776" s="2">
        <f ca="1"/>
        <v>0.419794032809582</v>
      </c>
      <c r="X5776" s="2">
        <f ca="1"/>
        <v>76.343080084583846</v>
      </c>
      <c r="AG5776" s="2">
        <f ca="1"/>
        <v>0.59175101108304107</v>
      </c>
      <c r="AH5776" s="2" t="str">
        <f ca="1"/>
        <v>Bad</v>
      </c>
    </row>
    <row r="5777" spans="2:34">
      <c r="B5777" s="2">
        <f ca="1"/>
        <v>0.65122789408989168</v>
      </c>
      <c r="O5777" s="2">
        <f ca="1"/>
        <v>1.2506851830600347</v>
      </c>
      <c r="X5777" s="2">
        <f ca="1"/>
        <v>46.133742790584627</v>
      </c>
      <c r="AG5777" s="2">
        <f ca="1"/>
        <v>0.87371794413909121</v>
      </c>
      <c r="AH5777" s="2" t="str">
        <f ca="1"/>
        <v>Bad</v>
      </c>
    </row>
    <row r="5778" spans="2:34">
      <c r="B5778" s="2">
        <f ca="1"/>
        <v>0.93528924162349503</v>
      </c>
      <c r="O5778" s="2">
        <f ca="1"/>
        <v>-0.46971857289264807</v>
      </c>
      <c r="X5778" s="2">
        <f ca="1"/>
        <v>30.443183438157991</v>
      </c>
      <c r="AG5778" s="2">
        <f ca="1"/>
        <v>0.45912676309429501</v>
      </c>
      <c r="AH5778" s="2" t="str">
        <f ca="1"/>
        <v>Bad</v>
      </c>
    </row>
    <row r="5779" spans="2:34">
      <c r="B5779" s="2">
        <f ca="1"/>
        <v>0.64191274625645067</v>
      </c>
      <c r="O5779" s="2">
        <f ca="1"/>
        <v>0.94304262458641197</v>
      </c>
      <c r="X5779" s="2">
        <f ca="1"/>
        <v>51.125034038870382</v>
      </c>
      <c r="AG5779" s="2">
        <f ca="1"/>
        <v>0.42318562510767888</v>
      </c>
      <c r="AH5779" s="2" t="str">
        <f ca="1"/>
        <v>Bad</v>
      </c>
    </row>
    <row r="5780" spans="2:34">
      <c r="B5780" s="2">
        <f ca="1"/>
        <v>0.63322235040548924</v>
      </c>
      <c r="O5780" s="2">
        <f ca="1"/>
        <v>0.35875207874035525</v>
      </c>
      <c r="X5780" s="2">
        <f ca="1"/>
        <v>28.817876099804778</v>
      </c>
      <c r="AG5780" s="2">
        <f ca="1"/>
        <v>0.73939526573276315</v>
      </c>
      <c r="AH5780" s="2" t="str">
        <f ca="1"/>
        <v>Bad</v>
      </c>
    </row>
    <row r="5781" spans="2:34">
      <c r="B5781" s="2">
        <f ca="1"/>
        <v>0.90685189447830972</v>
      </c>
      <c r="O5781" s="2">
        <f ca="1"/>
        <v>-0.11458837117169164</v>
      </c>
      <c r="X5781" s="2">
        <f ca="1"/>
        <v>70.584123974770677</v>
      </c>
      <c r="AG5781" s="2">
        <f ca="1"/>
        <v>0.10451122277322611</v>
      </c>
      <c r="AH5781" s="2" t="str">
        <f ca="1"/>
        <v>OK</v>
      </c>
    </row>
    <row r="5782" spans="2:34">
      <c r="B5782" s="2">
        <f ca="1"/>
        <v>1.4852737566786622E-2</v>
      </c>
      <c r="O5782" s="2">
        <f ca="1"/>
        <v>-1.6701916711732399</v>
      </c>
      <c r="X5782" s="2">
        <f ca="1"/>
        <v>60.958328689544068</v>
      </c>
      <c r="AG5782" s="2">
        <f ca="1"/>
        <v>0.17979327988807237</v>
      </c>
      <c r="AH5782" s="2" t="str">
        <f ca="1"/>
        <v>OK</v>
      </c>
    </row>
    <row r="5783" spans="2:34">
      <c r="B5783" s="2">
        <f ca="1"/>
        <v>0.37437187590444587</v>
      </c>
      <c r="O5783" s="2">
        <f ca="1"/>
        <v>0.31388745173303856</v>
      </c>
      <c r="X5783" s="2">
        <f ca="1"/>
        <v>31.797738710250492</v>
      </c>
      <c r="AG5783" s="2">
        <f ca="1"/>
        <v>0.7404887842369734</v>
      </c>
      <c r="AH5783" s="2" t="str">
        <f ca="1"/>
        <v>Bad</v>
      </c>
    </row>
    <row r="5784" spans="2:34">
      <c r="B5784" s="2">
        <f ca="1"/>
        <v>0.87654116247660596</v>
      </c>
      <c r="O5784" s="2">
        <f ca="1"/>
        <v>-0.86388746732342669</v>
      </c>
      <c r="X5784" s="2">
        <f ca="1"/>
        <v>62.932338473810567</v>
      </c>
      <c r="AG5784" s="2">
        <f ca="1"/>
        <v>0.79335203124258635</v>
      </c>
      <c r="AH5784" s="2" t="str">
        <f ca="1"/>
        <v>Bad</v>
      </c>
    </row>
    <row r="5785" spans="2:34">
      <c r="B5785" s="2">
        <f ca="1"/>
        <v>0.78531788034659433</v>
      </c>
      <c r="O5785" s="2">
        <f ca="1"/>
        <v>-1.4960889879374331</v>
      </c>
      <c r="X5785" s="2">
        <f ca="1"/>
        <v>43.88230757757367</v>
      </c>
      <c r="AG5785" s="2">
        <f ca="1"/>
        <v>0.63139267692714163</v>
      </c>
      <c r="AH5785" s="2" t="str">
        <f ca="1"/>
        <v>Bad</v>
      </c>
    </row>
    <row r="5786" spans="2:34">
      <c r="B5786" s="2">
        <f ca="1"/>
        <v>0.51823768872862797</v>
      </c>
      <c r="O5786" s="2">
        <f ca="1"/>
        <v>-8.9081960785768285E-2</v>
      </c>
      <c r="X5786" s="2">
        <f ca="1"/>
        <v>48.646521030422001</v>
      </c>
      <c r="AG5786" s="2">
        <f ca="1"/>
        <v>0.9367937605354133</v>
      </c>
      <c r="AH5786" s="2" t="str">
        <f ca="1"/>
        <v>Bad</v>
      </c>
    </row>
    <row r="5787" spans="2:34">
      <c r="B5787" s="2">
        <f ca="1"/>
        <v>0.17028569050898756</v>
      </c>
      <c r="O5787" s="2">
        <f ca="1"/>
        <v>-6.4716695268378366E-2</v>
      </c>
      <c r="X5787" s="2">
        <f ca="1"/>
        <v>58.249927394100965</v>
      </c>
      <c r="AG5787" s="2">
        <f ca="1"/>
        <v>4.0358286149636324E-2</v>
      </c>
      <c r="AH5787" s="2" t="str">
        <f ca="1"/>
        <v>Good</v>
      </c>
    </row>
    <row r="5788" spans="2:34">
      <c r="B5788" s="2">
        <f ca="1"/>
        <v>0.63695670781347258</v>
      </c>
      <c r="O5788" s="2">
        <f ca="1"/>
        <v>0.27841070176182409</v>
      </c>
      <c r="X5788" s="2">
        <f ca="1"/>
        <v>27.207530797233751</v>
      </c>
      <c r="AG5788" s="2">
        <f ca="1"/>
        <v>0.2954452810822481</v>
      </c>
      <c r="AH5788" s="2" t="str">
        <f ca="1"/>
        <v>OK</v>
      </c>
    </row>
    <row r="5789" spans="2:34">
      <c r="B5789" s="2">
        <f ca="1"/>
        <v>0.42921474450980157</v>
      </c>
      <c r="O5789" s="2">
        <f ca="1"/>
        <v>2.4597068441891463</v>
      </c>
      <c r="X5789" s="2">
        <f ca="1"/>
        <v>32.236957173941775</v>
      </c>
      <c r="AG5789" s="2">
        <f ca="1"/>
        <v>0.59876901202463984</v>
      </c>
      <c r="AH5789" s="2" t="str">
        <f ca="1"/>
        <v>Bad</v>
      </c>
    </row>
    <row r="5790" spans="2:34">
      <c r="B5790" s="2">
        <f ca="1"/>
        <v>0.68374919865356532</v>
      </c>
      <c r="O5790" s="2">
        <f ca="1"/>
        <v>-1.4725626354817911</v>
      </c>
      <c r="X5790" s="2">
        <f ca="1"/>
        <v>50.137202853096774</v>
      </c>
      <c r="AG5790" s="2">
        <f ca="1"/>
        <v>0.15473158249786945</v>
      </c>
      <c r="AH5790" s="2" t="str">
        <f ca="1"/>
        <v>OK</v>
      </c>
    </row>
    <row r="5791" spans="2:34">
      <c r="B5791" s="2">
        <f ca="1"/>
        <v>0.89064904390765021</v>
      </c>
      <c r="O5791" s="2">
        <f ca="1"/>
        <v>0.80218432007128171</v>
      </c>
      <c r="X5791" s="2">
        <f ca="1"/>
        <v>56.120384353659986</v>
      </c>
      <c r="AG5791" s="2">
        <f ca="1"/>
        <v>0.46203565752000553</v>
      </c>
      <c r="AH5791" s="2" t="str">
        <f ca="1"/>
        <v>Bad</v>
      </c>
    </row>
    <row r="5792" spans="2:34">
      <c r="B5792" s="2">
        <f ca="1"/>
        <v>0.51955194692386764</v>
      </c>
      <c r="O5792" s="2">
        <f ca="1"/>
        <v>2.9564859139668207</v>
      </c>
      <c r="X5792" s="2">
        <f ca="1"/>
        <v>42.551698571621408</v>
      </c>
      <c r="AG5792" s="2">
        <f ca="1"/>
        <v>0.55419665670509044</v>
      </c>
      <c r="AH5792" s="2" t="str">
        <f ca="1"/>
        <v>Bad</v>
      </c>
    </row>
    <row r="5793" spans="2:34">
      <c r="B5793" s="2">
        <f ca="1"/>
        <v>0.89778258053993398</v>
      </c>
      <c r="O5793" s="2">
        <f ca="1"/>
        <v>-0.45642650247244276</v>
      </c>
      <c r="X5793" s="2">
        <f ca="1"/>
        <v>41.715942460783282</v>
      </c>
      <c r="AG5793" s="2">
        <f ca="1"/>
        <v>0.86988575467273832</v>
      </c>
      <c r="AH5793" s="2" t="str">
        <f ca="1"/>
        <v>Bad</v>
      </c>
    </row>
    <row r="5794" spans="2:34">
      <c r="B5794" s="2">
        <f ca="1"/>
        <v>6.6304432014278269E-2</v>
      </c>
      <c r="O5794" s="2">
        <f ca="1"/>
        <v>-0.6361813632125386</v>
      </c>
      <c r="X5794" s="2">
        <f ca="1"/>
        <v>55.4958930020004</v>
      </c>
      <c r="AG5794" s="2">
        <f ca="1"/>
        <v>0.14348766304146277</v>
      </c>
      <c r="AH5794" s="2" t="str">
        <f ca="1"/>
        <v>OK</v>
      </c>
    </row>
    <row r="5795" spans="2:34">
      <c r="B5795" s="2">
        <f ca="1"/>
        <v>2.6198241620615237E-2</v>
      </c>
      <c r="O5795" s="2">
        <f ca="1"/>
        <v>5.864648801823158E-2</v>
      </c>
      <c r="X5795" s="2">
        <f ca="1"/>
        <v>59.344542781995543</v>
      </c>
      <c r="AG5795" s="2">
        <f ca="1"/>
        <v>0.9791670263330603</v>
      </c>
      <c r="AH5795" s="2" t="str">
        <f ca="1"/>
        <v>Bad</v>
      </c>
    </row>
    <row r="5796" spans="2:34">
      <c r="B5796" s="2">
        <f ca="1"/>
        <v>0.15045948284681288</v>
      </c>
      <c r="O5796" s="2">
        <f ca="1"/>
        <v>0.30843673709184083</v>
      </c>
      <c r="X5796" s="2">
        <f ca="1"/>
        <v>43.539326147456599</v>
      </c>
      <c r="AG5796" s="2">
        <f ca="1"/>
        <v>0.22731872894994187</v>
      </c>
      <c r="AH5796" s="2" t="str">
        <f ca="1"/>
        <v>OK</v>
      </c>
    </row>
    <row r="5797" spans="2:34">
      <c r="B5797" s="2">
        <f ca="1"/>
        <v>0.24047196374148228</v>
      </c>
      <c r="O5797" s="2">
        <f ca="1"/>
        <v>-7.8562730697079391E-2</v>
      </c>
      <c r="X5797" s="2">
        <f ca="1"/>
        <v>35.731871681818987</v>
      </c>
      <c r="AG5797" s="2">
        <f ca="1"/>
        <v>0.29225022866315031</v>
      </c>
      <c r="AH5797" s="2" t="str">
        <f ca="1"/>
        <v>OK</v>
      </c>
    </row>
    <row r="5798" spans="2:34">
      <c r="B5798" s="2">
        <f ca="1"/>
        <v>0.85625691141995253</v>
      </c>
      <c r="O5798" s="2">
        <f ca="1"/>
        <v>-0.46094430207923853</v>
      </c>
      <c r="X5798" s="2">
        <f ca="1"/>
        <v>61.816347148630058</v>
      </c>
      <c r="AG5798" s="2">
        <f ca="1"/>
        <v>0.64154719981458719</v>
      </c>
      <c r="AH5798" s="2" t="str">
        <f ca="1"/>
        <v>Bad</v>
      </c>
    </row>
    <row r="5799" spans="2:34">
      <c r="B5799" s="2">
        <f ca="1"/>
        <v>0.12879920039376702</v>
      </c>
      <c r="O5799" s="2">
        <f ca="1"/>
        <v>-1.691498034838204</v>
      </c>
      <c r="X5799" s="2">
        <f ca="1"/>
        <v>52.847655959673183</v>
      </c>
      <c r="AG5799" s="2">
        <f ca="1"/>
        <v>0.14730348635879231</v>
      </c>
      <c r="AH5799" s="2" t="str">
        <f ca="1"/>
        <v>OK</v>
      </c>
    </row>
    <row r="5800" spans="2:34">
      <c r="B5800" s="2">
        <f ca="1"/>
        <v>0.43519044020280839</v>
      </c>
      <c r="O5800" s="2">
        <f ca="1"/>
        <v>1.116851829027748</v>
      </c>
      <c r="X5800" s="2">
        <f ca="1"/>
        <v>47.1519271953483</v>
      </c>
      <c r="AG5800" s="2">
        <f ca="1"/>
        <v>0.38366353281731547</v>
      </c>
      <c r="AH5800" s="2" t="str">
        <f ca="1"/>
        <v>OK</v>
      </c>
    </row>
    <row r="5801" spans="2:34">
      <c r="B5801" s="2">
        <f ca="1"/>
        <v>0.46481995441480062</v>
      </c>
      <c r="O5801" s="2">
        <f ca="1"/>
        <v>0.29980799279254822</v>
      </c>
      <c r="X5801" s="2">
        <f ca="1"/>
        <v>29.965511426812171</v>
      </c>
      <c r="AG5801" s="2">
        <f ca="1"/>
        <v>0.50282156814149359</v>
      </c>
      <c r="AH5801" s="2" t="str">
        <f ca="1"/>
        <v>Bad</v>
      </c>
    </row>
    <row r="5802" spans="2:34">
      <c r="B5802" s="2">
        <f ca="1"/>
        <v>0.3678936602763756</v>
      </c>
      <c r="O5802" s="2">
        <f ca="1"/>
        <v>-0.47068911723028606</v>
      </c>
      <c r="X5802" s="2">
        <f ca="1"/>
        <v>31.942251919436853</v>
      </c>
      <c r="AG5802" s="2">
        <f ca="1"/>
        <v>0.90297936906011156</v>
      </c>
      <c r="AH5802" s="2" t="str">
        <f ca="1"/>
        <v>Bad</v>
      </c>
    </row>
    <row r="5803" spans="2:34">
      <c r="B5803" s="2">
        <f ca="1"/>
        <v>0.44525308254120621</v>
      </c>
      <c r="O5803" s="2">
        <f ca="1"/>
        <v>0.13381041162630652</v>
      </c>
      <c r="X5803" s="2">
        <f ca="1"/>
        <v>52.53217551248067</v>
      </c>
      <c r="AG5803" s="2">
        <f ca="1"/>
        <v>0.25857105203375852</v>
      </c>
      <c r="AH5803" s="2" t="str">
        <f ca="1"/>
        <v>OK</v>
      </c>
    </row>
    <row r="5804" spans="2:34">
      <c r="B5804" s="2">
        <f ca="1"/>
        <v>0.15599435367515113</v>
      </c>
      <c r="O5804" s="2">
        <f ca="1"/>
        <v>0.5618301050075083</v>
      </c>
      <c r="X5804" s="2">
        <f ca="1"/>
        <v>39.754403819876487</v>
      </c>
      <c r="AG5804" s="2">
        <f ca="1"/>
        <v>0.15818472372472248</v>
      </c>
      <c r="AH5804" s="2" t="str">
        <f ca="1"/>
        <v>OK</v>
      </c>
    </row>
    <row r="5805" spans="2:34">
      <c r="B5805" s="2">
        <f ca="1"/>
        <v>0.65193666582499943</v>
      </c>
      <c r="O5805" s="2">
        <f ca="1"/>
        <v>-0.82675228145996094</v>
      </c>
      <c r="X5805" s="2">
        <f ca="1"/>
        <v>54.120050930403288</v>
      </c>
      <c r="AG5805" s="2">
        <f ca="1"/>
        <v>0.4171809617650406</v>
      </c>
      <c r="AH5805" s="2" t="str">
        <f ca="1"/>
        <v>Bad</v>
      </c>
    </row>
    <row r="5806" spans="2:34">
      <c r="B5806" s="2">
        <f ca="1"/>
        <v>0.74310787637454401</v>
      </c>
      <c r="O5806" s="2">
        <f ca="1"/>
        <v>1.3731864578775277</v>
      </c>
      <c r="X5806" s="2">
        <f ca="1"/>
        <v>65.294094684796946</v>
      </c>
      <c r="AG5806" s="2">
        <f ca="1"/>
        <v>0.44277214038311952</v>
      </c>
      <c r="AH5806" s="2" t="str">
        <f ca="1"/>
        <v>Bad</v>
      </c>
    </row>
    <row r="5807" spans="2:34">
      <c r="B5807" s="2">
        <f ca="1"/>
        <v>8.3646493034201796E-3</v>
      </c>
      <c r="O5807" s="2">
        <f ca="1"/>
        <v>0.21836757624420663</v>
      </c>
      <c r="X5807" s="2">
        <f ca="1"/>
        <v>101.91391824733928</v>
      </c>
      <c r="AG5807" s="2">
        <f ca="1"/>
        <v>0.15747655099975222</v>
      </c>
      <c r="AH5807" s="2" t="str">
        <f ca="1"/>
        <v>OK</v>
      </c>
    </row>
    <row r="5808" spans="2:34">
      <c r="B5808" s="2">
        <f ca="1"/>
        <v>0.39218014943097268</v>
      </c>
      <c r="O5808" s="2">
        <f ca="1"/>
        <v>0.45950482573755519</v>
      </c>
      <c r="X5808" s="2">
        <f ca="1"/>
        <v>74.442067423837671</v>
      </c>
      <c r="AG5808" s="2">
        <f ca="1"/>
        <v>0.689436214286824</v>
      </c>
      <c r="AH5808" s="2" t="str">
        <f ca="1"/>
        <v>Bad</v>
      </c>
    </row>
    <row r="5809" spans="2:34">
      <c r="B5809" s="2">
        <f ca="1"/>
        <v>0.8137751537049811</v>
      </c>
      <c r="O5809" s="2">
        <f ca="1"/>
        <v>-0.23692778495900782</v>
      </c>
      <c r="X5809" s="2">
        <f ca="1"/>
        <v>43.635484542447955</v>
      </c>
      <c r="AG5809" s="2">
        <f ca="1"/>
        <v>0.32182048821881626</v>
      </c>
      <c r="AH5809" s="2" t="str">
        <f ca="1"/>
        <v>OK</v>
      </c>
    </row>
    <row r="5810" spans="2:34">
      <c r="B5810" s="2">
        <f ca="1"/>
        <v>0.4571320644717809</v>
      </c>
      <c r="O5810" s="2">
        <f ca="1"/>
        <v>-0.95107649177785958</v>
      </c>
      <c r="X5810" s="2">
        <f ca="1"/>
        <v>53.830165035001087</v>
      </c>
      <c r="AG5810" s="2">
        <f ca="1"/>
        <v>0.4825033690958771</v>
      </c>
      <c r="AH5810" s="2" t="str">
        <f ca="1"/>
        <v>Bad</v>
      </c>
    </row>
    <row r="5811" spans="2:34">
      <c r="B5811" s="2">
        <f ca="1"/>
        <v>0.67990056917692043</v>
      </c>
      <c r="O5811" s="2">
        <f ca="1"/>
        <v>-1.1929659957379839</v>
      </c>
      <c r="X5811" s="2">
        <f ca="1"/>
        <v>70.646018345354861</v>
      </c>
      <c r="AG5811" s="2">
        <f ca="1"/>
        <v>0.77352051790237009</v>
      </c>
      <c r="AH5811" s="2" t="str">
        <f ca="1"/>
        <v>Bad</v>
      </c>
    </row>
    <row r="5812" spans="2:34">
      <c r="B5812" s="2">
        <f ca="1"/>
        <v>0.40794677494950626</v>
      </c>
      <c r="O5812" s="2">
        <f ca="1"/>
        <v>2.0603514785211701</v>
      </c>
      <c r="X5812" s="2">
        <f ca="1"/>
        <v>46.763315958887652</v>
      </c>
      <c r="AG5812" s="2">
        <f ca="1"/>
        <v>0.17772010861440624</v>
      </c>
      <c r="AH5812" s="2" t="str">
        <f ca="1"/>
        <v>OK</v>
      </c>
    </row>
    <row r="5813" spans="2:34">
      <c r="B5813" s="2">
        <f ca="1"/>
        <v>0.4835212354767553</v>
      </c>
      <c r="O5813" s="2">
        <f ca="1"/>
        <v>0.46994564206919365</v>
      </c>
      <c r="X5813" s="2">
        <f ca="1"/>
        <v>54.598922966637147</v>
      </c>
      <c r="AG5813" s="2">
        <f ca="1"/>
        <v>0.1552709971214683</v>
      </c>
      <c r="AH5813" s="2" t="str">
        <f ca="1"/>
        <v>OK</v>
      </c>
    </row>
    <row r="5814" spans="2:34">
      <c r="B5814" s="2">
        <f ca="1"/>
        <v>7.9091496912824244E-2</v>
      </c>
      <c r="O5814" s="2">
        <f ca="1"/>
        <v>-0.17112123011948319</v>
      </c>
      <c r="X5814" s="2">
        <f ca="1"/>
        <v>65.73193568778629</v>
      </c>
      <c r="AG5814" s="2">
        <f ca="1"/>
        <v>0.54620556024445999</v>
      </c>
      <c r="AH5814" s="2" t="str">
        <f ca="1"/>
        <v>Bad</v>
      </c>
    </row>
    <row r="5815" spans="2:34">
      <c r="B5815" s="2">
        <f ca="1"/>
        <v>0.3912667664352345</v>
      </c>
      <c r="O5815" s="2">
        <f ca="1"/>
        <v>-0.50465571951325838</v>
      </c>
      <c r="X5815" s="2">
        <f ca="1"/>
        <v>38.337712580837781</v>
      </c>
      <c r="AG5815" s="2">
        <f ca="1"/>
        <v>0.32929988972841073</v>
      </c>
      <c r="AH5815" s="2" t="str">
        <f ca="1"/>
        <v>OK</v>
      </c>
    </row>
    <row r="5816" spans="2:34">
      <c r="B5816" s="2">
        <f ca="1"/>
        <v>0.51611255235503473</v>
      </c>
      <c r="O5816" s="2">
        <f ca="1"/>
        <v>-0.38529861684098898</v>
      </c>
      <c r="X5816" s="2">
        <f ca="1"/>
        <v>67.144523950801457</v>
      </c>
      <c r="AG5816" s="2">
        <f ca="1"/>
        <v>0.19374540787727468</v>
      </c>
      <c r="AH5816" s="2" t="str">
        <f ca="1"/>
        <v>OK</v>
      </c>
    </row>
    <row r="5817" spans="2:34">
      <c r="B5817" s="2">
        <f ca="1"/>
        <v>0.96749172903804626</v>
      </c>
      <c r="O5817" s="2">
        <f ca="1"/>
        <v>-1.3663201309110338</v>
      </c>
      <c r="X5817" s="2">
        <f ca="1"/>
        <v>32.998750251086548</v>
      </c>
      <c r="AG5817" s="2">
        <f ca="1"/>
        <v>0.29239119942931224</v>
      </c>
      <c r="AH5817" s="2" t="str">
        <f ca="1"/>
        <v>OK</v>
      </c>
    </row>
    <row r="5818" spans="2:34">
      <c r="B5818" s="2">
        <f ca="1"/>
        <v>1.1950264251096909E-2</v>
      </c>
      <c r="O5818" s="2">
        <f ca="1"/>
        <v>-1.1359754483578308</v>
      </c>
      <c r="X5818" s="2">
        <f ca="1"/>
        <v>59.580632184021439</v>
      </c>
      <c r="AG5818" s="2">
        <f ca="1"/>
        <v>0.56007306264247214</v>
      </c>
      <c r="AH5818" s="2" t="str">
        <f ca="1"/>
        <v>Bad</v>
      </c>
    </row>
    <row r="5819" spans="2:34">
      <c r="B5819" s="2">
        <f ca="1"/>
        <v>0.55732436612469605</v>
      </c>
      <c r="O5819" s="2">
        <f ca="1"/>
        <v>1.5127682810958223</v>
      </c>
      <c r="X5819" s="2">
        <f ca="1"/>
        <v>72.868889997610879</v>
      </c>
      <c r="AG5819" s="2">
        <f ca="1"/>
        <v>9.3453000225721672E-2</v>
      </c>
      <c r="AH5819" s="2" t="str">
        <f ca="1"/>
        <v>OK</v>
      </c>
    </row>
    <row r="5820" spans="2:34">
      <c r="B5820" s="2">
        <f ca="1"/>
        <v>0.38541692312302933</v>
      </c>
      <c r="O5820" s="2">
        <f ca="1"/>
        <v>0.40629036925499706</v>
      </c>
      <c r="X5820" s="2">
        <f ca="1"/>
        <v>41.993065479760347</v>
      </c>
      <c r="AG5820" s="2">
        <f ca="1"/>
        <v>0.13917260086520367</v>
      </c>
      <c r="AH5820" s="2" t="str">
        <f ca="1"/>
        <v>OK</v>
      </c>
    </row>
    <row r="5821" spans="2:34">
      <c r="B5821" s="2">
        <f ca="1"/>
        <v>0.97975240036204991</v>
      </c>
      <c r="O5821" s="2">
        <f ca="1"/>
        <v>0.45179383417252639</v>
      </c>
      <c r="X5821" s="2">
        <f ca="1"/>
        <v>50.640181280436785</v>
      </c>
      <c r="AG5821" s="2">
        <f ca="1"/>
        <v>0.57847046953799675</v>
      </c>
      <c r="AH5821" s="2" t="str">
        <f ca="1"/>
        <v>Bad</v>
      </c>
    </row>
    <row r="5822" spans="2:34">
      <c r="B5822" s="2">
        <f ca="1"/>
        <v>0.3082451964157964</v>
      </c>
      <c r="O5822" s="2">
        <f ca="1"/>
        <v>0.38272130538656146</v>
      </c>
      <c r="X5822" s="2">
        <f ca="1"/>
        <v>59.258150177449338</v>
      </c>
      <c r="AG5822" s="2">
        <f ca="1"/>
        <v>0.16823537243432751</v>
      </c>
      <c r="AH5822" s="2" t="str">
        <f ca="1"/>
        <v>OK</v>
      </c>
    </row>
    <row r="5823" spans="2:34">
      <c r="B5823" s="2">
        <f ca="1"/>
        <v>0.82593399223908781</v>
      </c>
      <c r="O5823" s="2">
        <f ca="1"/>
        <v>-0.11272993754189277</v>
      </c>
      <c r="X5823" s="2">
        <f ca="1"/>
        <v>59.142411474180335</v>
      </c>
      <c r="AG5823" s="2">
        <f ca="1"/>
        <v>0.58304354153091653</v>
      </c>
      <c r="AH5823" s="2" t="str">
        <f ca="1"/>
        <v>Bad</v>
      </c>
    </row>
    <row r="5824" spans="2:34">
      <c r="B5824" s="2">
        <f ca="1"/>
        <v>0.4071996853168276</v>
      </c>
      <c r="O5824" s="2">
        <f ca="1"/>
        <v>0.14528114541088907</v>
      </c>
      <c r="X5824" s="2">
        <f ca="1"/>
        <v>43.911454242940593</v>
      </c>
      <c r="AG5824" s="2">
        <f ca="1"/>
        <v>0.35344743289055658</v>
      </c>
      <c r="AH5824" s="2" t="str">
        <f ca="1"/>
        <v>OK</v>
      </c>
    </row>
    <row r="5825" spans="2:34">
      <c r="B5825" s="2">
        <f ca="1"/>
        <v>0.66694485314118968</v>
      </c>
      <c r="O5825" s="2">
        <f ca="1"/>
        <v>-0.20371057573893767</v>
      </c>
      <c r="X5825" s="2">
        <f ca="1"/>
        <v>45.820034352031634</v>
      </c>
      <c r="AG5825" s="2">
        <f ca="1"/>
        <v>0.91486270905238931</v>
      </c>
      <c r="AH5825" s="2" t="str">
        <f ca="1"/>
        <v>Bad</v>
      </c>
    </row>
    <row r="5826" spans="2:34">
      <c r="B5826" s="2">
        <f ca="1"/>
        <v>0.45250890603705218</v>
      </c>
      <c r="O5826" s="2">
        <f ca="1"/>
        <v>-0.16980888834491295</v>
      </c>
      <c r="X5826" s="2">
        <f ca="1"/>
        <v>40.808536580697982</v>
      </c>
      <c r="AG5826" s="2">
        <f ca="1"/>
        <v>0.79266893391958293</v>
      </c>
      <c r="AH5826" s="2" t="str">
        <f ca="1"/>
        <v>Bad</v>
      </c>
    </row>
    <row r="5827" spans="2:34">
      <c r="B5827" s="2">
        <f ca="1"/>
        <v>0.13658159452844432</v>
      </c>
      <c r="O5827" s="2">
        <f ca="1"/>
        <v>6.7390714911804202E-3</v>
      </c>
      <c r="X5827" s="2">
        <f ca="1"/>
        <v>56.026389595721909</v>
      </c>
      <c r="AG5827" s="2">
        <f ca="1"/>
        <v>0.45304778206142005</v>
      </c>
      <c r="AH5827" s="2" t="str">
        <f ca="1"/>
        <v>Bad</v>
      </c>
    </row>
    <row r="5828" spans="2:34">
      <c r="B5828" s="2">
        <f ca="1"/>
        <v>0.84892030039361566</v>
      </c>
      <c r="O5828" s="2">
        <f ca="1"/>
        <v>-0.88238444214769651</v>
      </c>
      <c r="X5828" s="2">
        <f ca="1"/>
        <v>31.860519755760155</v>
      </c>
      <c r="AG5828" s="2">
        <f ca="1"/>
        <v>0.72404365270549675</v>
      </c>
      <c r="AH5828" s="2" t="str">
        <f ca="1"/>
        <v>Bad</v>
      </c>
    </row>
    <row r="5829" spans="2:34">
      <c r="B5829" s="2">
        <f ca="1"/>
        <v>0.44621534819342545</v>
      </c>
      <c r="O5829" s="2">
        <f ca="1"/>
        <v>-0.3927582278011883</v>
      </c>
      <c r="X5829" s="2">
        <f ca="1"/>
        <v>47.451771776290983</v>
      </c>
      <c r="AG5829" s="2">
        <f ca="1"/>
        <v>9.68464707034562E-2</v>
      </c>
      <c r="AH5829" s="2" t="str">
        <f ca="1"/>
        <v>OK</v>
      </c>
    </row>
    <row r="5830" spans="2:34">
      <c r="B5830" s="2">
        <f ca="1"/>
        <v>9.6091032617461991E-2</v>
      </c>
      <c r="O5830" s="2">
        <f ca="1"/>
        <v>0.55746638401659576</v>
      </c>
      <c r="X5830" s="2">
        <f ca="1"/>
        <v>53.86768014925967</v>
      </c>
      <c r="AG5830" s="2">
        <f ca="1"/>
        <v>0.68155427096262589</v>
      </c>
      <c r="AH5830" s="2" t="str">
        <f ca="1"/>
        <v>Bad</v>
      </c>
    </row>
    <row r="5831" spans="2:34">
      <c r="B5831" s="2">
        <f ca="1"/>
        <v>0.83923632981070484</v>
      </c>
      <c r="O5831" s="2">
        <f ca="1"/>
        <v>0.64639001348647251</v>
      </c>
      <c r="X5831" s="2">
        <f ca="1"/>
        <v>69.123954077736741</v>
      </c>
      <c r="AG5831" s="2">
        <f ca="1"/>
        <v>0.40983641917933045</v>
      </c>
      <c r="AH5831" s="2" t="str">
        <f ca="1"/>
        <v>Bad</v>
      </c>
    </row>
    <row r="5832" spans="2:34">
      <c r="B5832" s="2">
        <f ca="1"/>
        <v>0.44360971749344991</v>
      </c>
      <c r="O5832" s="2">
        <f ca="1"/>
        <v>0.86088444637292316</v>
      </c>
      <c r="X5832" s="2">
        <f ca="1"/>
        <v>45.505007820214033</v>
      </c>
      <c r="AG5832" s="2">
        <f ca="1"/>
        <v>0.53265702038303586</v>
      </c>
      <c r="AH5832" s="2" t="str">
        <f ca="1"/>
        <v>Bad</v>
      </c>
    </row>
    <row r="5833" spans="2:34">
      <c r="B5833" s="2">
        <f ca="1"/>
        <v>5.0560429124538064E-2</v>
      </c>
      <c r="O5833" s="2">
        <f ca="1"/>
        <v>-1.3494227375376571</v>
      </c>
      <c r="X5833" s="2">
        <f ca="1"/>
        <v>53.550789107773866</v>
      </c>
      <c r="AG5833" s="2">
        <f ca="1"/>
        <v>0.66500502426079389</v>
      </c>
      <c r="AH5833" s="2" t="str">
        <f ca="1"/>
        <v>Bad</v>
      </c>
    </row>
    <row r="5834" spans="2:34">
      <c r="B5834" s="2">
        <f ca="1"/>
        <v>0.73693248330776551</v>
      </c>
      <c r="O5834" s="2">
        <f ca="1"/>
        <v>-0.10653325326899593</v>
      </c>
      <c r="X5834" s="2">
        <f ca="1"/>
        <v>33.196131300464693</v>
      </c>
      <c r="AG5834" s="2">
        <f ca="1"/>
        <v>0.94198737104275465</v>
      </c>
      <c r="AH5834" s="2" t="str">
        <f ca="1"/>
        <v>Bad</v>
      </c>
    </row>
    <row r="5835" spans="2:34">
      <c r="B5835" s="2">
        <f ca="1"/>
        <v>0.62636535380097391</v>
      </c>
      <c r="O5835" s="2">
        <f ca="1"/>
        <v>0.48090165997089906</v>
      </c>
      <c r="X5835" s="2">
        <f ca="1"/>
        <v>36.882854422255299</v>
      </c>
      <c r="AG5835" s="2">
        <f ca="1"/>
        <v>0.17798326729741865</v>
      </c>
      <c r="AH5835" s="2" t="str">
        <f ca="1"/>
        <v>OK</v>
      </c>
    </row>
    <row r="5836" spans="2:34">
      <c r="B5836" s="2">
        <f ca="1"/>
        <v>0.66128772715769224</v>
      </c>
      <c r="O5836" s="2">
        <f ca="1"/>
        <v>0.86683033713664381</v>
      </c>
      <c r="X5836" s="2">
        <f ca="1"/>
        <v>53.495231729964026</v>
      </c>
      <c r="AG5836" s="2">
        <f ca="1"/>
        <v>0.94527946447551958</v>
      </c>
      <c r="AH5836" s="2" t="str">
        <f ca="1"/>
        <v>Bad</v>
      </c>
    </row>
    <row r="5837" spans="2:34">
      <c r="B5837" s="2">
        <f ca="1"/>
        <v>0.10474685613153656</v>
      </c>
      <c r="O5837" s="2">
        <f ca="1"/>
        <v>-0.89525060429868297</v>
      </c>
      <c r="X5837" s="2">
        <f ca="1"/>
        <v>99.542688278277211</v>
      </c>
      <c r="AG5837" s="2">
        <f ca="1"/>
        <v>0.96769849186072809</v>
      </c>
      <c r="AH5837" s="2" t="str">
        <f ca="1"/>
        <v>Bad</v>
      </c>
    </row>
    <row r="5838" spans="2:34">
      <c r="B5838" s="2">
        <f ca="1"/>
        <v>0.87511171942916688</v>
      </c>
      <c r="O5838" s="2">
        <f ca="1"/>
        <v>0.4603064457303831</v>
      </c>
      <c r="X5838" s="2">
        <f ca="1"/>
        <v>64.165137252464589</v>
      </c>
      <c r="AG5838" s="2">
        <f ca="1"/>
        <v>0.7484393648074994</v>
      </c>
      <c r="AH5838" s="2" t="str">
        <f ca="1"/>
        <v>Bad</v>
      </c>
    </row>
    <row r="5839" spans="2:34">
      <c r="B5839" s="2">
        <f ca="1"/>
        <v>0.43276528878618281</v>
      </c>
      <c r="O5839" s="2">
        <f ca="1"/>
        <v>1.5347942609096001</v>
      </c>
      <c r="X5839" s="2">
        <f ca="1"/>
        <v>47.825097558298722</v>
      </c>
      <c r="AG5839" s="2">
        <f ca="1"/>
        <v>9.7411144930566351E-2</v>
      </c>
      <c r="AH5839" s="2" t="str">
        <f ca="1"/>
        <v>OK</v>
      </c>
    </row>
    <row r="5840" spans="2:34">
      <c r="B5840" s="2">
        <f ca="1"/>
        <v>0.34993676763127635</v>
      </c>
      <c r="O5840" s="2">
        <f ca="1"/>
        <v>1.5254768318153631</v>
      </c>
      <c r="X5840" s="2">
        <f ca="1"/>
        <v>31.535491431781697</v>
      </c>
      <c r="AG5840" s="2">
        <f ca="1"/>
        <v>0.51359206218783737</v>
      </c>
      <c r="AH5840" s="2" t="str">
        <f ca="1"/>
        <v>Bad</v>
      </c>
    </row>
    <row r="5841" spans="2:34">
      <c r="B5841" s="2">
        <f ca="1"/>
        <v>0.72137430954395443</v>
      </c>
      <c r="O5841" s="2">
        <f ca="1"/>
        <v>-1.2748601734614411</v>
      </c>
      <c r="X5841" s="2">
        <f ca="1"/>
        <v>51.635320382329972</v>
      </c>
      <c r="AG5841" s="2">
        <f ca="1"/>
        <v>0.5817626269627918</v>
      </c>
      <c r="AH5841" s="2" t="str">
        <f ca="1"/>
        <v>Bad</v>
      </c>
    </row>
    <row r="5842" spans="2:34">
      <c r="B5842" s="2">
        <f ca="1"/>
        <v>0.70654244380629017</v>
      </c>
      <c r="O5842" s="2">
        <f ca="1"/>
        <v>0.94914459982898458</v>
      </c>
      <c r="X5842" s="2">
        <f ca="1"/>
        <v>69.126721366657776</v>
      </c>
      <c r="AG5842" s="2">
        <f ca="1"/>
        <v>0.41125254744335105</v>
      </c>
      <c r="AH5842" s="2" t="str">
        <f ca="1"/>
        <v>Bad</v>
      </c>
    </row>
    <row r="5843" spans="2:34">
      <c r="B5843" s="2">
        <f ca="1"/>
        <v>0.54537652034623108</v>
      </c>
      <c r="O5843" s="2">
        <f ca="1"/>
        <v>-0.99320139952789077</v>
      </c>
      <c r="X5843" s="2">
        <f ca="1"/>
        <v>22.541618395714053</v>
      </c>
      <c r="AG5843" s="2">
        <f ca="1"/>
        <v>5.0963801569581246E-3</v>
      </c>
      <c r="AH5843" s="2" t="str">
        <f ca="1"/>
        <v>Good</v>
      </c>
    </row>
    <row r="5844" spans="2:34">
      <c r="B5844" s="2">
        <f ca="1"/>
        <v>0.86770423545624209</v>
      </c>
      <c r="O5844" s="2">
        <f ca="1"/>
        <v>-0.57101570342119501</v>
      </c>
      <c r="X5844" s="2">
        <f ca="1"/>
        <v>84.010438516061527</v>
      </c>
      <c r="AG5844" s="2">
        <f ca="1"/>
        <v>0.48947441609241316</v>
      </c>
      <c r="AH5844" s="2" t="str">
        <f ca="1"/>
        <v>Bad</v>
      </c>
    </row>
    <row r="5845" spans="2:34">
      <c r="B5845" s="2">
        <f ca="1"/>
        <v>0.15778208991374476</v>
      </c>
      <c r="O5845" s="2">
        <f ca="1"/>
        <v>0.39679731455385109</v>
      </c>
      <c r="X5845" s="2">
        <f ca="1"/>
        <v>37.542533153642552</v>
      </c>
      <c r="AG5845" s="2">
        <f ca="1"/>
        <v>0.76912645048247352</v>
      </c>
      <c r="AH5845" s="2" t="str">
        <f ca="1"/>
        <v>Bad</v>
      </c>
    </row>
    <row r="5846" spans="2:34">
      <c r="B5846" s="2">
        <f ca="1"/>
        <v>0.69879702773666996</v>
      </c>
      <c r="O5846" s="2">
        <f ca="1"/>
        <v>-0.77591656523946484</v>
      </c>
      <c r="X5846" s="2">
        <f ca="1"/>
        <v>93.596563050833879</v>
      </c>
      <c r="AG5846" s="2">
        <f ca="1"/>
        <v>0.1170764010740688</v>
      </c>
      <c r="AH5846" s="2" t="str">
        <f ca="1"/>
        <v>OK</v>
      </c>
    </row>
    <row r="5847" spans="2:34">
      <c r="B5847" s="2">
        <f ca="1"/>
        <v>0.10257315245049159</v>
      </c>
      <c r="O5847" s="2">
        <f ca="1"/>
        <v>9.4274592997653936E-2</v>
      </c>
      <c r="X5847" s="2">
        <f ca="1"/>
        <v>46.639311549659396</v>
      </c>
      <c r="AG5847" s="2">
        <f ca="1"/>
        <v>0.45587360306252744</v>
      </c>
      <c r="AH5847" s="2" t="str">
        <f ca="1"/>
        <v>Bad</v>
      </c>
    </row>
    <row r="5848" spans="2:34">
      <c r="B5848" s="2">
        <f ca="1"/>
        <v>0.9661644673894092</v>
      </c>
      <c r="O5848" s="2">
        <f ca="1"/>
        <v>0.23934666198897922</v>
      </c>
      <c r="X5848" s="2">
        <f ca="1"/>
        <v>24.201207927590467</v>
      </c>
      <c r="AG5848" s="2">
        <f ca="1"/>
        <v>0.40225990545622969</v>
      </c>
      <c r="AH5848" s="2" t="str">
        <f ca="1"/>
        <v>Bad</v>
      </c>
    </row>
    <row r="5849" spans="2:34">
      <c r="B5849" s="2">
        <f ca="1"/>
        <v>0.33231362958790878</v>
      </c>
      <c r="O5849" s="2">
        <f ca="1"/>
        <v>1.246285628077541</v>
      </c>
      <c r="X5849" s="2">
        <f ca="1"/>
        <v>28.155591796291244</v>
      </c>
      <c r="AG5849" s="2">
        <f ca="1"/>
        <v>0.26950662668075531</v>
      </c>
      <c r="AH5849" s="2" t="str">
        <f ca="1"/>
        <v>OK</v>
      </c>
    </row>
    <row r="5850" spans="2:34">
      <c r="B5850" s="2">
        <f ca="1"/>
        <v>0.57331281654081123</v>
      </c>
      <c r="O5850" s="2">
        <f ca="1"/>
        <v>1.6345644323675848</v>
      </c>
      <c r="X5850" s="2">
        <f ca="1"/>
        <v>48.047194769562402</v>
      </c>
      <c r="AG5850" s="2">
        <f ca="1"/>
        <v>0.43007254452976884</v>
      </c>
      <c r="AH5850" s="2" t="str">
        <f ca="1"/>
        <v>Bad</v>
      </c>
    </row>
    <row r="5851" spans="2:34">
      <c r="B5851" s="2">
        <f ca="1"/>
        <v>0.40302363417648057</v>
      </c>
      <c r="O5851" s="2">
        <f ca="1"/>
        <v>1.4415487183192877</v>
      </c>
      <c r="X5851" s="2">
        <f ca="1"/>
        <v>76.023696805201595</v>
      </c>
      <c r="AG5851" s="2">
        <f ca="1"/>
        <v>0.97027035636684622</v>
      </c>
      <c r="AH5851" s="2" t="str">
        <f ca="1"/>
        <v>Bad</v>
      </c>
    </row>
    <row r="5852" spans="2:34">
      <c r="B5852" s="2">
        <f ca="1"/>
        <v>0.91922770948035915</v>
      </c>
      <c r="O5852" s="2">
        <f ca="1"/>
        <v>-0.920411851252114</v>
      </c>
      <c r="X5852" s="2">
        <f ca="1"/>
        <v>55.257638679939063</v>
      </c>
      <c r="AG5852" s="2">
        <f ca="1"/>
        <v>0.10607313804987561</v>
      </c>
      <c r="AH5852" s="2" t="str">
        <f ca="1"/>
        <v>OK</v>
      </c>
    </row>
    <row r="5853" spans="2:34">
      <c r="B5853" s="2">
        <f ca="1"/>
        <v>0.36755744467341711</v>
      </c>
      <c r="O5853" s="2">
        <f ca="1"/>
        <v>0.20706483015285279</v>
      </c>
      <c r="X5853" s="2">
        <f ca="1"/>
        <v>60.932017738641846</v>
      </c>
      <c r="AG5853" s="2">
        <f ca="1"/>
        <v>0.6423597857896659</v>
      </c>
      <c r="AH5853" s="2" t="str">
        <f ca="1"/>
        <v>Bad</v>
      </c>
    </row>
    <row r="5854" spans="2:34">
      <c r="B5854" s="2">
        <f ca="1"/>
        <v>0.8867842344596466</v>
      </c>
      <c r="O5854" s="2">
        <f ca="1"/>
        <v>0.38753825176272572</v>
      </c>
      <c r="X5854" s="2">
        <f ca="1"/>
        <v>54.459999426541977</v>
      </c>
      <c r="AG5854" s="2">
        <f ca="1"/>
        <v>5.7074086975405169E-2</v>
      </c>
      <c r="AH5854" s="2" t="str">
        <f ca="1"/>
        <v>OK</v>
      </c>
    </row>
    <row r="5855" spans="2:34">
      <c r="B5855" s="2">
        <f ca="1"/>
        <v>0.21491280786636846</v>
      </c>
      <c r="O5855" s="2">
        <f ca="1"/>
        <v>0.70970523805732033</v>
      </c>
      <c r="X5855" s="2">
        <f ca="1"/>
        <v>88.946515195778829</v>
      </c>
      <c r="AG5855" s="2">
        <f ca="1"/>
        <v>0.95859372246092933</v>
      </c>
      <c r="AH5855" s="2" t="str">
        <f ca="1"/>
        <v>Bad</v>
      </c>
    </row>
    <row r="5856" spans="2:34">
      <c r="B5856" s="2">
        <f ca="1"/>
        <v>0.82039349348196433</v>
      </c>
      <c r="O5856" s="2">
        <f ca="1"/>
        <v>1.3527175905838558</v>
      </c>
      <c r="X5856" s="2">
        <f ca="1"/>
        <v>37.403679592253141</v>
      </c>
      <c r="AG5856" s="2">
        <f ca="1"/>
        <v>0.54029162069827552</v>
      </c>
      <c r="AH5856" s="2" t="str">
        <f ca="1"/>
        <v>Bad</v>
      </c>
    </row>
    <row r="5857" spans="2:34">
      <c r="B5857" s="2">
        <f ca="1"/>
        <v>0.68115097496091792</v>
      </c>
      <c r="O5857" s="2">
        <f ca="1"/>
        <v>0.76567183935460592</v>
      </c>
      <c r="X5857" s="2">
        <f ca="1"/>
        <v>42.788050329228476</v>
      </c>
      <c r="AG5857" s="2">
        <f ca="1"/>
        <v>0.12092279549930174</v>
      </c>
      <c r="AH5857" s="2" t="str">
        <f ca="1"/>
        <v>OK</v>
      </c>
    </row>
    <row r="5858" spans="2:34">
      <c r="B5858" s="2">
        <f ca="1"/>
        <v>0.23576310269555534</v>
      </c>
      <c r="O5858" s="2">
        <f ca="1"/>
        <v>-0.27083932997028703</v>
      </c>
      <c r="X5858" s="2">
        <f ca="1"/>
        <v>45.915695637658303</v>
      </c>
      <c r="AG5858" s="2">
        <f ca="1"/>
        <v>0.84346043015460626</v>
      </c>
      <c r="AH5858" s="2" t="str">
        <f ca="1"/>
        <v>Bad</v>
      </c>
    </row>
    <row r="5859" spans="2:34">
      <c r="B5859" s="2">
        <f ca="1"/>
        <v>5.1798875563457969E-4</v>
      </c>
      <c r="O5859" s="2">
        <f ca="1"/>
        <v>-0.18838753642678027</v>
      </c>
      <c r="X5859" s="2">
        <f ca="1"/>
        <v>71.914847928652136</v>
      </c>
      <c r="AG5859" s="2">
        <f ca="1"/>
        <v>0.12772490590830499</v>
      </c>
      <c r="AH5859" s="2" t="str">
        <f ca="1"/>
        <v>OK</v>
      </c>
    </row>
    <row r="5860" spans="2:34">
      <c r="B5860" s="2">
        <f ca="1"/>
        <v>0.36393634730822977</v>
      </c>
      <c r="O5860" s="2">
        <f ca="1"/>
        <v>-1.8546711074854618</v>
      </c>
      <c r="X5860" s="2">
        <f ca="1"/>
        <v>40.352955111887887</v>
      </c>
      <c r="AG5860" s="2">
        <f ca="1"/>
        <v>0.80727036342453795</v>
      </c>
      <c r="AH5860" s="2" t="str">
        <f ca="1"/>
        <v>Bad</v>
      </c>
    </row>
    <row r="5861" spans="2:34">
      <c r="B5861" s="2">
        <f ca="1"/>
        <v>0.54615220406695753</v>
      </c>
      <c r="O5861" s="2">
        <f ca="1"/>
        <v>-0.17679131879005999</v>
      </c>
      <c r="X5861" s="2">
        <f ca="1"/>
        <v>49.464555606396829</v>
      </c>
      <c r="AG5861" s="2">
        <f ca="1"/>
        <v>0.26398495173395298</v>
      </c>
      <c r="AH5861" s="2" t="str">
        <f ca="1"/>
        <v>OK</v>
      </c>
    </row>
    <row r="5862" spans="2:34">
      <c r="B5862" s="2">
        <f ca="1"/>
        <v>0.50157563296895225</v>
      </c>
      <c r="O5862" s="2">
        <f ca="1"/>
        <v>0.89738119375347458</v>
      </c>
      <c r="X5862" s="2">
        <f ca="1"/>
        <v>45.262961664575897</v>
      </c>
      <c r="AG5862" s="2">
        <f ca="1"/>
        <v>0.27692529738919269</v>
      </c>
      <c r="AH5862" s="2" t="str">
        <f ca="1"/>
        <v>OK</v>
      </c>
    </row>
    <row r="5863" spans="2:34">
      <c r="B5863" s="2">
        <f ca="1"/>
        <v>0.92086945842471768</v>
      </c>
      <c r="O5863" s="2">
        <f ca="1"/>
        <v>-0.52570390156295266</v>
      </c>
      <c r="X5863" s="2">
        <f ca="1"/>
        <v>97.700747813457852</v>
      </c>
      <c r="AG5863" s="2">
        <f ca="1"/>
        <v>0.43707670740976257</v>
      </c>
      <c r="AH5863" s="2" t="str">
        <f ca="1"/>
        <v>Bad</v>
      </c>
    </row>
    <row r="5864" spans="2:34">
      <c r="B5864" s="2">
        <f ca="1"/>
        <v>0.3614386479096523</v>
      </c>
      <c r="O5864" s="2">
        <f ca="1"/>
        <v>-0.19644866803140787</v>
      </c>
      <c r="X5864" s="2">
        <f ca="1"/>
        <v>37.43257714241529</v>
      </c>
      <c r="AG5864" s="2">
        <f ca="1"/>
        <v>0.89915512615462245</v>
      </c>
      <c r="AH5864" s="2" t="str">
        <f ca="1"/>
        <v>Bad</v>
      </c>
    </row>
    <row r="5865" spans="2:34">
      <c r="B5865" s="2">
        <f ca="1"/>
        <v>0.15152342779743377</v>
      </c>
      <c r="O5865" s="2">
        <f ca="1"/>
        <v>0.4125338025641675</v>
      </c>
      <c r="X5865" s="2">
        <f ca="1"/>
        <v>54.921683304946697</v>
      </c>
      <c r="AG5865" s="2">
        <f ca="1"/>
        <v>0.97501667855507135</v>
      </c>
      <c r="AH5865" s="2" t="str">
        <f ca="1"/>
        <v>Bad</v>
      </c>
    </row>
    <row r="5866" spans="2:34">
      <c r="B5866" s="2">
        <f ca="1"/>
        <v>0.23347472182890949</v>
      </c>
      <c r="O5866" s="2">
        <f ca="1"/>
        <v>0.6435763562867427</v>
      </c>
      <c r="X5866" s="2">
        <f ca="1"/>
        <v>27.86317460761602</v>
      </c>
      <c r="AG5866" s="2">
        <f ca="1"/>
        <v>0.84369703756351755</v>
      </c>
      <c r="AH5866" s="2" t="str">
        <f ca="1"/>
        <v>Bad</v>
      </c>
    </row>
    <row r="5867" spans="2:34">
      <c r="B5867" s="2">
        <f ca="1"/>
        <v>0.1141515578329404</v>
      </c>
      <c r="O5867" s="2">
        <f ca="1"/>
        <v>0.15661263264954345</v>
      </c>
      <c r="X5867" s="2">
        <f ca="1"/>
        <v>47.186346006544902</v>
      </c>
      <c r="AG5867" s="2">
        <f ca="1"/>
        <v>0.12493198532896543</v>
      </c>
      <c r="AH5867" s="2" t="str">
        <f ca="1"/>
        <v>OK</v>
      </c>
    </row>
    <row r="5868" spans="2:34">
      <c r="B5868" s="2">
        <f ca="1"/>
        <v>0.76839508443705973</v>
      </c>
      <c r="O5868" s="2">
        <f ca="1"/>
        <v>1.0040027034210157</v>
      </c>
      <c r="X5868" s="2">
        <f ca="1"/>
        <v>48.319049808793785</v>
      </c>
      <c r="AG5868" s="2">
        <f ca="1"/>
        <v>0.89529728994053048</v>
      </c>
      <c r="AH5868" s="2" t="str">
        <f ca="1"/>
        <v>Bad</v>
      </c>
    </row>
    <row r="5869" spans="2:34">
      <c r="B5869" s="2">
        <f ca="1"/>
        <v>0.65471613584661137</v>
      </c>
      <c r="O5869" s="2">
        <f ca="1"/>
        <v>-2.2642677368295221</v>
      </c>
      <c r="X5869" s="2">
        <f ca="1"/>
        <v>42.654006673786988</v>
      </c>
      <c r="AG5869" s="2">
        <f ca="1"/>
        <v>0.41952498261729265</v>
      </c>
      <c r="AH5869" s="2" t="str">
        <f ca="1"/>
        <v>Bad</v>
      </c>
    </row>
    <row r="5870" spans="2:34">
      <c r="B5870" s="2">
        <f ca="1"/>
        <v>0.36535662488118104</v>
      </c>
      <c r="O5870" s="2">
        <f ca="1"/>
        <v>0.64066885305105614</v>
      </c>
      <c r="X5870" s="2">
        <f ca="1"/>
        <v>36.218793550071659</v>
      </c>
      <c r="AG5870" s="2">
        <f ca="1"/>
        <v>0.46926307844442672</v>
      </c>
      <c r="AH5870" s="2" t="str">
        <f ca="1"/>
        <v>Bad</v>
      </c>
    </row>
    <row r="5871" spans="2:34">
      <c r="B5871" s="2">
        <f ca="1"/>
        <v>0.88981585690763021</v>
      </c>
      <c r="O5871" s="2">
        <f ca="1"/>
        <v>-1.1370887610156295</v>
      </c>
      <c r="X5871" s="2">
        <f ca="1"/>
        <v>41.487312425582587</v>
      </c>
      <c r="AG5871" s="2">
        <f ca="1"/>
        <v>0.55697070190895004</v>
      </c>
      <c r="AH5871" s="2" t="str">
        <f ca="1"/>
        <v>Bad</v>
      </c>
    </row>
    <row r="5872" spans="2:34">
      <c r="B5872" s="2">
        <f ca="1"/>
        <v>0.51984301794969268</v>
      </c>
      <c r="O5872" s="2">
        <f ca="1"/>
        <v>0.3589277624977919</v>
      </c>
      <c r="X5872" s="2">
        <f ca="1"/>
        <v>32.086678192436445</v>
      </c>
      <c r="AG5872" s="2">
        <f ca="1"/>
        <v>0.93218405269208304</v>
      </c>
      <c r="AH5872" s="2" t="str">
        <f ca="1"/>
        <v>Bad</v>
      </c>
    </row>
    <row r="5873" spans="2:34">
      <c r="B5873" s="2">
        <f ca="1"/>
        <v>0.84439869230347431</v>
      </c>
      <c r="O5873" s="2">
        <f ca="1"/>
        <v>-0.59102373683675336</v>
      </c>
      <c r="X5873" s="2">
        <f ca="1"/>
        <v>59.326627355298584</v>
      </c>
      <c r="AG5873" s="2">
        <f ca="1"/>
        <v>0.43840137123264955</v>
      </c>
      <c r="AH5873" s="2" t="str">
        <f ca="1"/>
        <v>Bad</v>
      </c>
    </row>
    <row r="5874" spans="2:34">
      <c r="B5874" s="2">
        <f ca="1"/>
        <v>0.73298214341791113</v>
      </c>
      <c r="O5874" s="2">
        <f ca="1"/>
        <v>-2.8001213151216175E-2</v>
      </c>
      <c r="X5874" s="2">
        <f ca="1"/>
        <v>57.443138588658911</v>
      </c>
      <c r="AG5874" s="2">
        <f ca="1"/>
        <v>0.60775557546328129</v>
      </c>
      <c r="AH5874" s="2" t="str">
        <f ca="1"/>
        <v>Bad</v>
      </c>
    </row>
    <row r="5875" spans="2:34">
      <c r="B5875" s="2">
        <f ca="1"/>
        <v>0.39435943220610215</v>
      </c>
      <c r="O5875" s="2">
        <f ca="1"/>
        <v>-0.11968689959930541</v>
      </c>
      <c r="X5875" s="2">
        <f ca="1"/>
        <v>66.328264154290565</v>
      </c>
      <c r="AG5875" s="2">
        <f ca="1"/>
        <v>0.56122734618156289</v>
      </c>
      <c r="AH5875" s="2" t="str">
        <f ca="1"/>
        <v>Bad</v>
      </c>
    </row>
    <row r="5876" spans="2:34">
      <c r="B5876" s="2">
        <f ca="1"/>
        <v>0.31951055685335827</v>
      </c>
      <c r="O5876" s="2">
        <f ca="1"/>
        <v>-1.3466355963026388</v>
      </c>
      <c r="X5876" s="2">
        <f ca="1"/>
        <v>65.881677821575494</v>
      </c>
      <c r="AG5876" s="2">
        <f ca="1"/>
        <v>0.56985697734672347</v>
      </c>
      <c r="AH5876" s="2" t="str">
        <f ca="1"/>
        <v>Bad</v>
      </c>
    </row>
    <row r="5877" spans="2:34">
      <c r="B5877" s="2">
        <f ca="1"/>
        <v>0.96139740264201157</v>
      </c>
      <c r="O5877" s="2">
        <f ca="1"/>
        <v>0.84056306744571929</v>
      </c>
      <c r="X5877" s="2">
        <f ca="1"/>
        <v>39.323860337779223</v>
      </c>
      <c r="AG5877" s="2">
        <f ca="1"/>
        <v>0.86172493126023553</v>
      </c>
      <c r="AH5877" s="2" t="str">
        <f ca="1"/>
        <v>Bad</v>
      </c>
    </row>
    <row r="5878" spans="2:34">
      <c r="B5878" s="2">
        <f ca="1"/>
        <v>0.18664356079220434</v>
      </c>
      <c r="O5878" s="2">
        <f ca="1"/>
        <v>-0.19899083518820254</v>
      </c>
      <c r="X5878" s="2">
        <f ca="1"/>
        <v>49.465139946321884</v>
      </c>
      <c r="AG5878" s="2">
        <f ca="1"/>
        <v>0.25819032937648001</v>
      </c>
      <c r="AH5878" s="2" t="str">
        <f ca="1"/>
        <v>OK</v>
      </c>
    </row>
    <row r="5879" spans="2:34">
      <c r="B5879" s="2">
        <f ca="1"/>
        <v>0.40954803989997512</v>
      </c>
      <c r="O5879" s="2">
        <f ca="1"/>
        <v>-0.8191964788984254</v>
      </c>
      <c r="X5879" s="2">
        <f ca="1"/>
        <v>42.783259946734944</v>
      </c>
      <c r="AG5879" s="2">
        <f ca="1"/>
        <v>0.88434991617090319</v>
      </c>
      <c r="AH5879" s="2" t="str">
        <f ca="1"/>
        <v>Bad</v>
      </c>
    </row>
    <row r="5880" spans="2:34">
      <c r="B5880" s="2">
        <f ca="1"/>
        <v>0.70686522156827225</v>
      </c>
      <c r="O5880" s="2">
        <f ca="1"/>
        <v>0.23421379926580319</v>
      </c>
      <c r="X5880" s="2">
        <f ca="1"/>
        <v>45.381595048577594</v>
      </c>
      <c r="AG5880" s="2">
        <f ca="1"/>
        <v>0.36252220817829017</v>
      </c>
      <c r="AH5880" s="2" t="str">
        <f ca="1"/>
        <v>OK</v>
      </c>
    </row>
    <row r="5881" spans="2:34">
      <c r="B5881" s="2">
        <f ca="1"/>
        <v>0.57032683527724193</v>
      </c>
      <c r="O5881" s="2">
        <f ca="1"/>
        <v>0.13680779623216224</v>
      </c>
      <c r="X5881" s="2">
        <f ca="1"/>
        <v>64.574760324474255</v>
      </c>
      <c r="AG5881" s="2">
        <f ca="1"/>
        <v>0.43630960369617755</v>
      </c>
      <c r="AH5881" s="2" t="str">
        <f ca="1"/>
        <v>Bad</v>
      </c>
    </row>
    <row r="5882" spans="2:34">
      <c r="B5882" s="2">
        <f ca="1"/>
        <v>0.13548034846062773</v>
      </c>
      <c r="O5882" s="2">
        <f ca="1"/>
        <v>2.9994792621586761</v>
      </c>
      <c r="X5882" s="2">
        <f ca="1"/>
        <v>67.50372474551358</v>
      </c>
      <c r="AG5882" s="2">
        <f ca="1"/>
        <v>0.95877292274058501</v>
      </c>
      <c r="AH5882" s="2" t="str">
        <f ca="1"/>
        <v>Bad</v>
      </c>
    </row>
    <row r="5883" spans="2:34">
      <c r="B5883" s="2">
        <f ca="1"/>
        <v>0.75689505015930658</v>
      </c>
      <c r="O5883" s="2">
        <f ca="1"/>
        <v>1.0772617192663001</v>
      </c>
      <c r="X5883" s="2">
        <f ca="1"/>
        <v>59.286041223287462</v>
      </c>
      <c r="AG5883" s="2">
        <f ca="1"/>
        <v>0.52234401817405751</v>
      </c>
      <c r="AH5883" s="2" t="str">
        <f ca="1"/>
        <v>Bad</v>
      </c>
    </row>
    <row r="5884" spans="2:34">
      <c r="B5884" s="2">
        <f ca="1"/>
        <v>0.65075466523390979</v>
      </c>
      <c r="O5884" s="2">
        <f ca="1"/>
        <v>1.3526338409802884E-3</v>
      </c>
      <c r="X5884" s="2">
        <f ca="1"/>
        <v>45.645798508306655</v>
      </c>
      <c r="AG5884" s="2">
        <f ca="1"/>
        <v>0.58348354054026519</v>
      </c>
      <c r="AH5884" s="2" t="str">
        <f ca="1"/>
        <v>Bad</v>
      </c>
    </row>
    <row r="5885" spans="2:34">
      <c r="B5885" s="2">
        <f ca="1"/>
        <v>0.81835007663449666</v>
      </c>
      <c r="O5885" s="2">
        <f ca="1"/>
        <v>-0.99334111332736574</v>
      </c>
      <c r="X5885" s="2">
        <f ca="1"/>
        <v>37.271066256058667</v>
      </c>
      <c r="AG5885" s="2">
        <f ca="1"/>
        <v>0.23025728764037967</v>
      </c>
      <c r="AH5885" s="2" t="str">
        <f ca="1"/>
        <v>OK</v>
      </c>
    </row>
    <row r="5886" spans="2:34">
      <c r="B5886" s="2">
        <f ca="1"/>
        <v>0.53954407804018167</v>
      </c>
      <c r="O5886" s="2">
        <f ca="1"/>
        <v>-1.4197937097026092</v>
      </c>
      <c r="X5886" s="2">
        <f ca="1"/>
        <v>36.353618108356329</v>
      </c>
      <c r="AG5886" s="2">
        <f ca="1"/>
        <v>0.53525219097357701</v>
      </c>
      <c r="AH5886" s="2" t="str">
        <f ca="1"/>
        <v>Bad</v>
      </c>
    </row>
    <row r="5887" spans="2:34">
      <c r="B5887" s="2">
        <f ca="1"/>
        <v>0.63257254040824229</v>
      </c>
      <c r="O5887" s="2">
        <f ca="1"/>
        <v>-0.78233242829895133</v>
      </c>
      <c r="X5887" s="2">
        <f ca="1"/>
        <v>38.85444650552401</v>
      </c>
      <c r="AG5887" s="2">
        <f ca="1"/>
        <v>0.36428902470675784</v>
      </c>
      <c r="AH5887" s="2" t="str">
        <f ca="1"/>
        <v>OK</v>
      </c>
    </row>
    <row r="5888" spans="2:34">
      <c r="B5888" s="2">
        <f ca="1"/>
        <v>0.40717017436126013</v>
      </c>
      <c r="O5888" s="2">
        <f ca="1"/>
        <v>-1.0856278284461072</v>
      </c>
      <c r="X5888" s="2">
        <f ca="1"/>
        <v>58.540661046606537</v>
      </c>
      <c r="AG5888" s="2">
        <f ca="1"/>
        <v>0.822638374484012</v>
      </c>
      <c r="AH5888" s="2" t="str">
        <f ca="1"/>
        <v>Bad</v>
      </c>
    </row>
    <row r="5889" spans="2:34">
      <c r="B5889" s="2">
        <f ca="1"/>
        <v>0.37289385792038554</v>
      </c>
      <c r="O5889" s="2">
        <f ca="1"/>
        <v>0.64096186169928671</v>
      </c>
      <c r="X5889" s="2">
        <f ca="1"/>
        <v>55.871519905950748</v>
      </c>
      <c r="AG5889" s="2">
        <f ca="1"/>
        <v>0.12133401728658111</v>
      </c>
      <c r="AH5889" s="2" t="str">
        <f ca="1"/>
        <v>OK</v>
      </c>
    </row>
    <row r="5890" spans="2:34">
      <c r="B5890" s="2">
        <f ca="1"/>
        <v>0.85628916686806122</v>
      </c>
      <c r="O5890" s="2">
        <f ca="1"/>
        <v>0.15432219615572984</v>
      </c>
      <c r="X5890" s="2">
        <f ca="1"/>
        <v>31.868703117468868</v>
      </c>
      <c r="AG5890" s="2">
        <f ca="1"/>
        <v>0.72462177717531095</v>
      </c>
      <c r="AH5890" s="2" t="str">
        <f ca="1"/>
        <v>Bad</v>
      </c>
    </row>
    <row r="5891" spans="2:34">
      <c r="B5891" s="2">
        <f ca="1"/>
        <v>0.15579668158021609</v>
      </c>
      <c r="O5891" s="2">
        <f ca="1"/>
        <v>1.9379476686804155E-2</v>
      </c>
      <c r="X5891" s="2">
        <f ca="1"/>
        <v>43.881898518543309</v>
      </c>
      <c r="AG5891" s="2">
        <f ca="1"/>
        <v>2.0568836693721115E-2</v>
      </c>
      <c r="AH5891" s="2" t="str">
        <f ca="1"/>
        <v>Good</v>
      </c>
    </row>
    <row r="5892" spans="2:34">
      <c r="B5892" s="2">
        <f ca="1"/>
        <v>0.9110527271725064</v>
      </c>
      <c r="O5892" s="2">
        <f ca="1"/>
        <v>-1.3552094143685147</v>
      </c>
      <c r="X5892" s="2">
        <f ca="1"/>
        <v>50.805433054546356</v>
      </c>
      <c r="AG5892" s="2">
        <f ca="1"/>
        <v>0.98241591525381344</v>
      </c>
      <c r="AH5892" s="2" t="str">
        <f ca="1"/>
        <v>Bad</v>
      </c>
    </row>
    <row r="5893" spans="2:34">
      <c r="B5893" s="2">
        <f ca="1"/>
        <v>0.90479909096111877</v>
      </c>
      <c r="O5893" s="2">
        <f ca="1"/>
        <v>0.36852879892291929</v>
      </c>
      <c r="X5893" s="2">
        <f ca="1"/>
        <v>29.916946946223355</v>
      </c>
      <c r="AG5893" s="2">
        <f ca="1"/>
        <v>0.27739203662175149</v>
      </c>
      <c r="AH5893" s="2" t="str">
        <f ca="1"/>
        <v>OK</v>
      </c>
    </row>
    <row r="5894" spans="2:34">
      <c r="B5894" s="2">
        <f ca="1"/>
        <v>6.3259442277631583E-2</v>
      </c>
      <c r="O5894" s="2">
        <f ca="1"/>
        <v>0.57507573622930652</v>
      </c>
      <c r="X5894" s="2">
        <f ca="1"/>
        <v>90.050276925379961</v>
      </c>
      <c r="AG5894" s="2">
        <f ca="1"/>
        <v>0.94360055075726335</v>
      </c>
      <c r="AH5894" s="2" t="str">
        <f ca="1"/>
        <v>Bad</v>
      </c>
    </row>
    <row r="5895" spans="2:34">
      <c r="B5895" s="2">
        <f ca="1"/>
        <v>0.66709443629740295</v>
      </c>
      <c r="O5895" s="2">
        <f ca="1"/>
        <v>0.43485771130816575</v>
      </c>
      <c r="X5895" s="2">
        <f ca="1"/>
        <v>60.297287381587964</v>
      </c>
      <c r="AG5895" s="2">
        <f ca="1"/>
        <v>0.78316365874928962</v>
      </c>
      <c r="AH5895" s="2" t="str">
        <f ca="1"/>
        <v>Bad</v>
      </c>
    </row>
    <row r="5896" spans="2:34">
      <c r="B5896" s="2">
        <f ca="1"/>
        <v>0.95614403626093081</v>
      </c>
      <c r="O5896" s="2">
        <f ca="1"/>
        <v>-1.1235167735928568</v>
      </c>
      <c r="X5896" s="2">
        <f ca="1"/>
        <v>30.209987647619201</v>
      </c>
      <c r="AG5896" s="2">
        <f ca="1"/>
        <v>0.48833985288401505</v>
      </c>
      <c r="AH5896" s="2" t="str">
        <f ca="1"/>
        <v>Bad</v>
      </c>
    </row>
    <row r="5897" spans="2:34">
      <c r="B5897" s="2">
        <f ca="1"/>
        <v>0.51980980865535709</v>
      </c>
      <c r="O5897" s="2">
        <f ca="1"/>
        <v>0.9628666563498377</v>
      </c>
      <c r="X5897" s="2">
        <f ca="1"/>
        <v>66.712553082889841</v>
      </c>
      <c r="AG5897" s="2">
        <f ca="1"/>
        <v>0.7047090294331515</v>
      </c>
      <c r="AH5897" s="2" t="str">
        <f ca="1"/>
        <v>Bad</v>
      </c>
    </row>
    <row r="5898" spans="2:34">
      <c r="B5898" s="2">
        <f ca="1"/>
        <v>0.53239835660231716</v>
      </c>
      <c r="O5898" s="2">
        <f ca="1"/>
        <v>-0.2802239384870967</v>
      </c>
      <c r="X5898" s="2">
        <f ca="1"/>
        <v>39.0205029774461</v>
      </c>
      <c r="AG5898" s="2">
        <f ca="1"/>
        <v>0.14728542712493287</v>
      </c>
      <c r="AH5898" s="2" t="str">
        <f ca="1"/>
        <v>OK</v>
      </c>
    </row>
    <row r="5899" spans="2:34">
      <c r="B5899" s="2">
        <f ca="1"/>
        <v>0.49995035520501907</v>
      </c>
      <c r="O5899" s="2">
        <f ca="1"/>
        <v>0.29787758631346062</v>
      </c>
      <c r="X5899" s="2">
        <f ca="1"/>
        <v>54.843664008789823</v>
      </c>
      <c r="AG5899" s="2">
        <f ca="1"/>
        <v>0.32432767511217264</v>
      </c>
      <c r="AH5899" s="2" t="str">
        <f ca="1"/>
        <v>OK</v>
      </c>
    </row>
    <row r="5900" spans="2:34">
      <c r="B5900" s="2">
        <f ca="1"/>
        <v>0.85518266630463957</v>
      </c>
      <c r="O5900" s="2">
        <f ca="1"/>
        <v>-1.4168312768585318</v>
      </c>
      <c r="X5900" s="2">
        <f ca="1"/>
        <v>40.735872148548076</v>
      </c>
      <c r="AG5900" s="2">
        <f ca="1"/>
        <v>0.42252621609261332</v>
      </c>
      <c r="AH5900" s="2" t="str">
        <f ca="1"/>
        <v>Bad</v>
      </c>
    </row>
    <row r="5901" spans="2:34">
      <c r="B5901" s="2">
        <f ca="1"/>
        <v>0.98156125863323629</v>
      </c>
      <c r="O5901" s="2">
        <f ca="1"/>
        <v>-0.5559903990456152</v>
      </c>
      <c r="X5901" s="2">
        <f ca="1"/>
        <v>51.082523867610263</v>
      </c>
      <c r="AG5901" s="2">
        <f ca="1"/>
        <v>1.4004925663013479E-2</v>
      </c>
      <c r="AH5901" s="2" t="str">
        <f ca="1"/>
        <v>Good</v>
      </c>
    </row>
    <row r="5902" spans="2:34">
      <c r="B5902" s="2">
        <f ca="1"/>
        <v>0.64878257429326314</v>
      </c>
      <c r="O5902" s="2">
        <f ca="1"/>
        <v>0.22193045369264366</v>
      </c>
      <c r="X5902" s="2">
        <f ca="1"/>
        <v>63.854513272015922</v>
      </c>
      <c r="AG5902" s="2">
        <f ca="1"/>
        <v>0.36615653768008771</v>
      </c>
      <c r="AH5902" s="2" t="str">
        <f ca="1"/>
        <v>OK</v>
      </c>
    </row>
    <row r="5903" spans="2:34">
      <c r="B5903" s="2">
        <f ca="1"/>
        <v>0.44070451600437077</v>
      </c>
      <c r="O5903" s="2">
        <f ca="1"/>
        <v>-0.83523568628162004</v>
      </c>
      <c r="X5903" s="2">
        <f ca="1"/>
        <v>53.779538740744357</v>
      </c>
      <c r="AG5903" s="2">
        <f ca="1"/>
        <v>3.5697344890909921E-2</v>
      </c>
      <c r="AH5903" s="2" t="str">
        <f ca="1"/>
        <v>Good</v>
      </c>
    </row>
    <row r="5904" spans="2:34">
      <c r="B5904" s="2">
        <f ca="1"/>
        <v>0.98662296682308148</v>
      </c>
      <c r="O5904" s="2">
        <f ca="1"/>
        <v>-0.5171944824860718</v>
      </c>
      <c r="X5904" s="2">
        <f ca="1"/>
        <v>18.986017272770994</v>
      </c>
      <c r="AG5904" s="2">
        <f ca="1"/>
        <v>0.41296439614437364</v>
      </c>
      <c r="AH5904" s="2" t="str">
        <f ca="1"/>
        <v>Bad</v>
      </c>
    </row>
    <row r="5905" spans="2:34">
      <c r="B5905" s="2">
        <f ca="1"/>
        <v>0.38989305196763002</v>
      </c>
      <c r="O5905" s="2">
        <f ca="1"/>
        <v>-0.37639158240033554</v>
      </c>
      <c r="X5905" s="2">
        <f ca="1"/>
        <v>59.129970466921684</v>
      </c>
      <c r="AG5905" s="2">
        <f ca="1"/>
        <v>0.21701968238618718</v>
      </c>
      <c r="AH5905" s="2" t="str">
        <f ca="1"/>
        <v>OK</v>
      </c>
    </row>
    <row r="5906" spans="2:34">
      <c r="B5906" s="2">
        <f ca="1"/>
        <v>2.3314914850955049E-2</v>
      </c>
      <c r="O5906" s="2">
        <f ca="1"/>
        <v>-1.5226192804689607</v>
      </c>
      <c r="X5906" s="2">
        <f ca="1"/>
        <v>46.715717952565903</v>
      </c>
      <c r="AG5906" s="2">
        <f ca="1"/>
        <v>0.41792908148561869</v>
      </c>
      <c r="AH5906" s="2" t="str">
        <f ca="1"/>
        <v>Bad</v>
      </c>
    </row>
    <row r="5907" spans="2:34">
      <c r="B5907" s="2">
        <f ca="1"/>
        <v>0.19085771897714476</v>
      </c>
      <c r="O5907" s="2">
        <f ca="1"/>
        <v>-0.88742174018069286</v>
      </c>
      <c r="X5907" s="2">
        <f ca="1"/>
        <v>61.805385938903648</v>
      </c>
      <c r="AG5907" s="2">
        <f ca="1"/>
        <v>0.65808146575454196</v>
      </c>
      <c r="AH5907" s="2" t="str">
        <f ca="1"/>
        <v>Bad</v>
      </c>
    </row>
    <row r="5908" spans="2:34">
      <c r="B5908" s="2">
        <f ca="1"/>
        <v>7.659271071373408E-2</v>
      </c>
      <c r="O5908" s="2">
        <f ca="1"/>
        <v>1.4283820671901342</v>
      </c>
      <c r="X5908" s="2">
        <f ca="1"/>
        <v>42.94301074481907</v>
      </c>
      <c r="AG5908" s="2">
        <f ca="1"/>
        <v>9.3100041760839414E-2</v>
      </c>
      <c r="AH5908" s="2" t="str">
        <f ca="1"/>
        <v>OK</v>
      </c>
    </row>
    <row r="5909" spans="2:34">
      <c r="B5909" s="2">
        <f ca="1"/>
        <v>3.8090639015734284E-2</v>
      </c>
      <c r="O5909" s="2">
        <f ca="1"/>
        <v>0.9383183263557604</v>
      </c>
      <c r="X5909" s="2">
        <f ca="1"/>
        <v>47.411886918905175</v>
      </c>
      <c r="AG5909" s="2">
        <f ca="1"/>
        <v>8.3057385048180832E-2</v>
      </c>
      <c r="AH5909" s="2" t="str">
        <f ca="1"/>
        <v>OK</v>
      </c>
    </row>
    <row r="5910" spans="2:34">
      <c r="B5910" s="2">
        <f ca="1"/>
        <v>0.67378666373666096</v>
      </c>
      <c r="O5910" s="2">
        <f ca="1"/>
        <v>2.3874885837173805</v>
      </c>
      <c r="X5910" s="2">
        <f ca="1"/>
        <v>36.297884301424176</v>
      </c>
      <c r="AG5910" s="2">
        <f ca="1"/>
        <v>0.83229847638828747</v>
      </c>
      <c r="AH5910" s="2" t="str">
        <f ca="1"/>
        <v>Bad</v>
      </c>
    </row>
    <row r="5911" spans="2:34">
      <c r="B5911" s="2">
        <f ca="1"/>
        <v>0.93009913142187006</v>
      </c>
      <c r="O5911" s="2">
        <f ca="1"/>
        <v>1.2206756718912066</v>
      </c>
      <c r="X5911" s="2">
        <f ca="1"/>
        <v>46.806438829507407</v>
      </c>
      <c r="AG5911" s="2">
        <f ca="1"/>
        <v>0.50891754107126852</v>
      </c>
      <c r="AH5911" s="2" t="str">
        <f ca="1"/>
        <v>Bad</v>
      </c>
    </row>
    <row r="5912" spans="2:34">
      <c r="B5912" s="2">
        <f ca="1"/>
        <v>3.4870267605445315E-2</v>
      </c>
      <c r="O5912" s="2">
        <f ca="1"/>
        <v>0.8636212465352977</v>
      </c>
      <c r="X5912" s="2">
        <f ca="1"/>
        <v>53.149176052353724</v>
      </c>
      <c r="AG5912" s="2">
        <f ca="1"/>
        <v>0.18635045522660509</v>
      </c>
      <c r="AH5912" s="2" t="str">
        <f ca="1"/>
        <v>OK</v>
      </c>
    </row>
    <row r="5913" spans="2:34">
      <c r="B5913" s="2">
        <f ca="1"/>
        <v>0.64469998695787267</v>
      </c>
      <c r="O5913" s="2">
        <f ca="1"/>
        <v>0.80476275688044119</v>
      </c>
      <c r="X5913" s="2">
        <f ca="1"/>
        <v>45.775805383270345</v>
      </c>
      <c r="AG5913" s="2">
        <f ca="1"/>
        <v>0.37717720263360111</v>
      </c>
      <c r="AH5913" s="2" t="str">
        <f ca="1"/>
        <v>OK</v>
      </c>
    </row>
    <row r="5914" spans="2:34">
      <c r="B5914" s="2">
        <f ca="1"/>
        <v>0.34079402336832665</v>
      </c>
      <c r="O5914" s="2">
        <f ca="1"/>
        <v>-0.37732963629141014</v>
      </c>
      <c r="X5914" s="2">
        <f ca="1"/>
        <v>47.953078807620386</v>
      </c>
      <c r="AG5914" s="2">
        <f ca="1"/>
        <v>7.8898208755522781E-2</v>
      </c>
      <c r="AH5914" s="2" t="str">
        <f ca="1"/>
        <v>OK</v>
      </c>
    </row>
    <row r="5915" spans="2:34">
      <c r="B5915" s="2">
        <f ca="1"/>
        <v>0.35312125294654817</v>
      </c>
      <c r="O5915" s="2">
        <f ca="1"/>
        <v>-0.42392224669419898</v>
      </c>
      <c r="X5915" s="2">
        <f ca="1"/>
        <v>48.786867217681511</v>
      </c>
      <c r="AG5915" s="2">
        <f ca="1"/>
        <v>0.30944404227513922</v>
      </c>
      <c r="AH5915" s="2" t="str">
        <f ca="1"/>
        <v>OK</v>
      </c>
    </row>
    <row r="5916" spans="2:34">
      <c r="B5916" s="2">
        <f ca="1"/>
        <v>0.26085478519074567</v>
      </c>
      <c r="O5916" s="2">
        <f ca="1"/>
        <v>-1.869255051577756</v>
      </c>
      <c r="X5916" s="2">
        <f ca="1"/>
        <v>41.747117261566629</v>
      </c>
      <c r="AG5916" s="2">
        <f ca="1"/>
        <v>0.42765571174028372</v>
      </c>
      <c r="AH5916" s="2" t="str">
        <f ca="1"/>
        <v>Bad</v>
      </c>
    </row>
    <row r="5917" spans="2:34">
      <c r="B5917" s="2">
        <f ca="1"/>
        <v>0.35429921802941999</v>
      </c>
      <c r="O5917" s="2">
        <f ca="1"/>
        <v>-0.6030148112210153</v>
      </c>
      <c r="X5917" s="2">
        <f ca="1"/>
        <v>38.582582046890877</v>
      </c>
      <c r="AG5917" s="2">
        <f ca="1"/>
        <v>0.21334014915342836</v>
      </c>
      <c r="AH5917" s="2" t="str">
        <f ca="1"/>
        <v>OK</v>
      </c>
    </row>
    <row r="5918" spans="2:34">
      <c r="B5918" s="2">
        <f ca="1"/>
        <v>0.74292057950202173</v>
      </c>
      <c r="O5918" s="2">
        <f ca="1"/>
        <v>7.2550857122724202E-2</v>
      </c>
      <c r="X5918" s="2">
        <f ca="1"/>
        <v>51.42727599832655</v>
      </c>
      <c r="AG5918" s="2">
        <f ca="1"/>
        <v>0.45276121712782103</v>
      </c>
      <c r="AH5918" s="2" t="str">
        <f ca="1"/>
        <v>Bad</v>
      </c>
    </row>
    <row r="5919" spans="2:34">
      <c r="B5919" s="2">
        <f ca="1"/>
        <v>0.89444144910350687</v>
      </c>
      <c r="O5919" s="2">
        <f ca="1"/>
        <v>0.88669227506985637</v>
      </c>
      <c r="X5919" s="2">
        <f ca="1"/>
        <v>90.651494751972848</v>
      </c>
      <c r="AG5919" s="2">
        <f ca="1"/>
        <v>0.14908602317940223</v>
      </c>
      <c r="AH5919" s="2" t="str">
        <f ca="1"/>
        <v>OK</v>
      </c>
    </row>
    <row r="5920" spans="2:34">
      <c r="B5920" s="2">
        <f ca="1"/>
        <v>0.39301042798046115</v>
      </c>
      <c r="O5920" s="2">
        <f ca="1"/>
        <v>0.27766801445798406</v>
      </c>
      <c r="X5920" s="2">
        <f ca="1"/>
        <v>71.244498185361465</v>
      </c>
      <c r="AG5920" s="2">
        <f ca="1"/>
        <v>0.44079939407856106</v>
      </c>
      <c r="AH5920" s="2" t="str">
        <f ca="1"/>
        <v>Bad</v>
      </c>
    </row>
    <row r="5921" spans="2:34">
      <c r="B5921" s="2">
        <f ca="1"/>
        <v>0.11068459105010242</v>
      </c>
      <c r="O5921" s="2">
        <f ca="1"/>
        <v>0.67732857682052872</v>
      </c>
      <c r="X5921" s="2">
        <f ca="1"/>
        <v>67.00429278094245</v>
      </c>
      <c r="AG5921" s="2">
        <f ca="1"/>
        <v>0.25990285014033665</v>
      </c>
      <c r="AH5921" s="2" t="str">
        <f ca="1"/>
        <v>OK</v>
      </c>
    </row>
    <row r="5922" spans="2:34">
      <c r="B5922" s="2">
        <f ca="1"/>
        <v>0.82081877611966458</v>
      </c>
      <c r="O5922" s="2">
        <f ca="1"/>
        <v>1.7911092593018867</v>
      </c>
      <c r="X5922" s="2">
        <f ca="1"/>
        <v>45.627187309786208</v>
      </c>
      <c r="AG5922" s="2">
        <f ca="1"/>
        <v>0.4018959525655692</v>
      </c>
      <c r="AH5922" s="2" t="str">
        <f ca="1"/>
        <v>Bad</v>
      </c>
    </row>
    <row r="5923" spans="2:34">
      <c r="B5923" s="2">
        <f ca="1"/>
        <v>0.49290443599403844</v>
      </c>
      <c r="O5923" s="2">
        <f ca="1"/>
        <v>0.5669076055627722</v>
      </c>
      <c r="X5923" s="2">
        <f ca="1"/>
        <v>37.847876227929987</v>
      </c>
      <c r="AG5923" s="2">
        <f ca="1"/>
        <v>0.39734000227642108</v>
      </c>
      <c r="AH5923" s="2" t="str">
        <f ca="1"/>
        <v>OK</v>
      </c>
    </row>
    <row r="5924" spans="2:34">
      <c r="B5924" s="2">
        <f ca="1"/>
        <v>0.88961266502697223</v>
      </c>
      <c r="O5924" s="2">
        <f ca="1"/>
        <v>0.42809319692619752</v>
      </c>
      <c r="X5924" s="2">
        <f ca="1"/>
        <v>60.22860822056704</v>
      </c>
      <c r="AG5924" s="2">
        <f ca="1"/>
        <v>7.5464171013928771E-2</v>
      </c>
      <c r="AH5924" s="2" t="str">
        <f ca="1"/>
        <v>OK</v>
      </c>
    </row>
    <row r="5925" spans="2:34">
      <c r="B5925" s="2">
        <f ca="1"/>
        <v>0.23631129789883443</v>
      </c>
      <c r="O5925" s="2">
        <f ca="1"/>
        <v>-0.70368098163911508</v>
      </c>
      <c r="X5925" s="2">
        <f ca="1"/>
        <v>60.21169400415252</v>
      </c>
      <c r="AG5925" s="2">
        <f ca="1"/>
        <v>0.47264799217773978</v>
      </c>
      <c r="AH5925" s="2" t="str">
        <f ca="1"/>
        <v>Bad</v>
      </c>
    </row>
    <row r="5926" spans="2:34">
      <c r="B5926" s="2">
        <f ca="1"/>
        <v>0.47363755707379362</v>
      </c>
      <c r="O5926" s="2">
        <f ca="1"/>
        <v>-0.10083949811612422</v>
      </c>
      <c r="X5926" s="2">
        <f ca="1"/>
        <v>21.568315144702286</v>
      </c>
      <c r="AG5926" s="2">
        <f ca="1"/>
        <v>0.76645544941860222</v>
      </c>
      <c r="AH5926" s="2" t="str">
        <f ca="1"/>
        <v>Bad</v>
      </c>
    </row>
    <row r="5927" spans="2:34">
      <c r="B5927" s="2">
        <f ca="1"/>
        <v>0.80315148308894857</v>
      </c>
      <c r="O5927" s="2">
        <f ca="1"/>
        <v>1.5087429924466478</v>
      </c>
      <c r="X5927" s="2">
        <f ca="1"/>
        <v>37.48392365595496</v>
      </c>
      <c r="AG5927" s="2">
        <f ca="1"/>
        <v>8.2256199706589594E-3</v>
      </c>
      <c r="AH5927" s="2" t="str">
        <f ca="1"/>
        <v>Good</v>
      </c>
    </row>
    <row r="5928" spans="2:34">
      <c r="B5928" s="2">
        <f ca="1"/>
        <v>0.99268898461663047</v>
      </c>
      <c r="O5928" s="2">
        <f ca="1"/>
        <v>-1.5686409757959034</v>
      </c>
      <c r="X5928" s="2">
        <f ca="1"/>
        <v>68.932534955677355</v>
      </c>
      <c r="AG5928" s="2">
        <f ca="1"/>
        <v>0.92904440291052826</v>
      </c>
      <c r="AH5928" s="2" t="str">
        <f ca="1"/>
        <v>Bad</v>
      </c>
    </row>
    <row r="5929" spans="2:34">
      <c r="B5929" s="2">
        <f ca="1"/>
        <v>0.34324665389506004</v>
      </c>
      <c r="O5929" s="2">
        <f ca="1"/>
        <v>0.28694689086091257</v>
      </c>
      <c r="X5929" s="2">
        <f ca="1"/>
        <v>47.377264091041027</v>
      </c>
      <c r="AG5929" s="2">
        <f ca="1"/>
        <v>0.75522665950282386</v>
      </c>
      <c r="AH5929" s="2" t="str">
        <f ca="1"/>
        <v>Bad</v>
      </c>
    </row>
    <row r="5930" spans="2:34">
      <c r="B5930" s="2">
        <f ca="1"/>
        <v>0.22448328606301504</v>
      </c>
      <c r="O5930" s="2">
        <f ca="1"/>
        <v>2.9171371937066808</v>
      </c>
      <c r="X5930" s="2">
        <f ca="1"/>
        <v>65.89344867598642</v>
      </c>
      <c r="AG5930" s="2">
        <f ca="1"/>
        <v>0.1661717126339024</v>
      </c>
      <c r="AH5930" s="2" t="str">
        <f ca="1"/>
        <v>OK</v>
      </c>
    </row>
    <row r="5931" spans="2:34">
      <c r="B5931" s="2">
        <f ca="1"/>
        <v>0.85962459032013139</v>
      </c>
      <c r="O5931" s="2">
        <f ca="1"/>
        <v>3.0316555039315611</v>
      </c>
      <c r="X5931" s="2">
        <f ca="1"/>
        <v>45.983788092910054</v>
      </c>
      <c r="AG5931" s="2">
        <f ca="1"/>
        <v>0.23974804305019259</v>
      </c>
      <c r="AH5931" s="2" t="str">
        <f ca="1"/>
        <v>OK</v>
      </c>
    </row>
    <row r="5932" spans="2:34">
      <c r="B5932" s="2">
        <f ca="1"/>
        <v>0.91477806336695644</v>
      </c>
      <c r="O5932" s="2">
        <f ca="1"/>
        <v>-0.948032427163359</v>
      </c>
      <c r="X5932" s="2">
        <f ca="1"/>
        <v>52.87213292265605</v>
      </c>
      <c r="AG5932" s="2">
        <f ca="1"/>
        <v>0.72418580685564016</v>
      </c>
      <c r="AH5932" s="2" t="str">
        <f ca="1"/>
        <v>Bad</v>
      </c>
    </row>
    <row r="5933" spans="2:34">
      <c r="B5933" s="2">
        <f ca="1"/>
        <v>9.1414202705327074E-2</v>
      </c>
      <c r="O5933" s="2">
        <f ca="1"/>
        <v>0.50157903535127568</v>
      </c>
      <c r="X5933" s="2">
        <f ca="1"/>
        <v>35.91577778480616</v>
      </c>
      <c r="AG5933" s="2">
        <f ca="1"/>
        <v>0.54338894238838598</v>
      </c>
      <c r="AH5933" s="2" t="str">
        <f ca="1"/>
        <v>Bad</v>
      </c>
    </row>
    <row r="5934" spans="2:34">
      <c r="B5934" s="2">
        <f ca="1"/>
        <v>0.96899127776863025</v>
      </c>
      <c r="O5934" s="2">
        <f ca="1"/>
        <v>-1.3676549631015222</v>
      </c>
      <c r="X5934" s="2">
        <f ca="1"/>
        <v>36.490422698599183</v>
      </c>
      <c r="AG5934" s="2">
        <f ca="1"/>
        <v>0.25032835665044573</v>
      </c>
      <c r="AH5934" s="2" t="str">
        <f ca="1"/>
        <v>OK</v>
      </c>
    </row>
    <row r="5935" spans="2:34">
      <c r="B5935" s="2">
        <f ca="1"/>
        <v>0.6118276730688732</v>
      </c>
      <c r="O5935" s="2">
        <f ca="1"/>
        <v>-0.13963106164511632</v>
      </c>
      <c r="X5935" s="2">
        <f ca="1"/>
        <v>30.53562873540583</v>
      </c>
      <c r="AG5935" s="2">
        <f ca="1"/>
        <v>0.29394297069122088</v>
      </c>
      <c r="AH5935" s="2" t="str">
        <f ca="1"/>
        <v>OK</v>
      </c>
    </row>
    <row r="5936" spans="2:34">
      <c r="B5936" s="2">
        <f ca="1"/>
        <v>0.34313885313013226</v>
      </c>
      <c r="O5936" s="2">
        <f ca="1"/>
        <v>0.14830518739454979</v>
      </c>
      <c r="X5936" s="2">
        <f ca="1"/>
        <v>42.033703114670402</v>
      </c>
      <c r="AG5936" s="2">
        <f ca="1"/>
        <v>0.65639687707344674</v>
      </c>
      <c r="AH5936" s="2" t="str">
        <f ca="1"/>
        <v>Bad</v>
      </c>
    </row>
    <row r="5937" spans="2:34">
      <c r="B5937" s="2">
        <f ca="1"/>
        <v>0.26370025899499638</v>
      </c>
      <c r="O5937" s="2">
        <f ca="1"/>
        <v>0.67215072121413622</v>
      </c>
      <c r="X5937" s="2">
        <f ca="1"/>
        <v>36.580230728606089</v>
      </c>
      <c r="AG5937" s="2">
        <f ca="1"/>
        <v>0.53257599043920623</v>
      </c>
      <c r="AH5937" s="2" t="str">
        <f ca="1"/>
        <v>Bad</v>
      </c>
    </row>
    <row r="5938" spans="2:34">
      <c r="B5938" s="2">
        <f ca="1"/>
        <v>0.7168208762906334</v>
      </c>
      <c r="O5938" s="2">
        <f ca="1"/>
        <v>0.93973507940631262</v>
      </c>
      <c r="X5938" s="2">
        <f ca="1"/>
        <v>69.223320488822253</v>
      </c>
      <c r="AG5938" s="2">
        <f ca="1"/>
        <v>7.0387852540519047E-2</v>
      </c>
      <c r="AH5938" s="2" t="str">
        <f ca="1"/>
        <v>OK</v>
      </c>
    </row>
    <row r="5939" spans="2:34">
      <c r="B5939" s="2">
        <f ca="1"/>
        <v>0.20196854009167131</v>
      </c>
      <c r="O5939" s="2">
        <f ca="1"/>
        <v>0.27691672875593276</v>
      </c>
      <c r="X5939" s="2">
        <f ca="1"/>
        <v>47.314986235746723</v>
      </c>
      <c r="AG5939" s="2">
        <f ca="1"/>
        <v>0.22060546169137352</v>
      </c>
      <c r="AH5939" s="2" t="str">
        <f ca="1"/>
        <v>OK</v>
      </c>
    </row>
    <row r="5940" spans="2:34">
      <c r="B5940" s="2">
        <f ca="1"/>
        <v>0.13045373876190225</v>
      </c>
      <c r="O5940" s="2">
        <f ca="1"/>
        <v>0.91367972241413942</v>
      </c>
      <c r="X5940" s="2">
        <f ca="1"/>
        <v>33.885840062619749</v>
      </c>
      <c r="AG5940" s="2">
        <f ca="1"/>
        <v>0.89188129290333973</v>
      </c>
      <c r="AH5940" s="2" t="str">
        <f ca="1"/>
        <v>Bad</v>
      </c>
    </row>
    <row r="5941" spans="2:34">
      <c r="B5941" s="2">
        <f ca="1"/>
        <v>0.1863849610510806</v>
      </c>
      <c r="O5941" s="2">
        <f ca="1"/>
        <v>-0.17699337936897733</v>
      </c>
      <c r="X5941" s="2">
        <f ca="1"/>
        <v>34.965892350928463</v>
      </c>
      <c r="AG5941" s="2">
        <f ca="1"/>
        <v>5.2436563029480077E-2</v>
      </c>
      <c r="AH5941" s="2" t="str">
        <f ca="1"/>
        <v>OK</v>
      </c>
    </row>
    <row r="5942" spans="2:34">
      <c r="B5942" s="2">
        <f ca="1"/>
        <v>0.39021426024079653</v>
      </c>
      <c r="O5942" s="2">
        <f ca="1"/>
        <v>-0.39077309763265122</v>
      </c>
      <c r="X5942" s="2">
        <f ca="1"/>
        <v>68.553022277848356</v>
      </c>
      <c r="AG5942" s="2">
        <f ca="1"/>
        <v>0.22882197365177959</v>
      </c>
      <c r="AH5942" s="2" t="str">
        <f ca="1"/>
        <v>OK</v>
      </c>
    </row>
    <row r="5943" spans="2:34">
      <c r="B5943" s="2">
        <f ca="1"/>
        <v>0.1516710641722645</v>
      </c>
      <c r="O5943" s="2">
        <f ca="1"/>
        <v>0.83317715958400118</v>
      </c>
      <c r="X5943" s="2">
        <f ca="1"/>
        <v>61.235234259278343</v>
      </c>
      <c r="AG5943" s="2">
        <f ca="1"/>
        <v>0.30820524642044078</v>
      </c>
      <c r="AH5943" s="2" t="str">
        <f ca="1"/>
        <v>OK</v>
      </c>
    </row>
    <row r="5944" spans="2:34">
      <c r="B5944" s="2">
        <f ca="1"/>
        <v>0.70655664895271686</v>
      </c>
      <c r="O5944" s="2">
        <f ca="1"/>
        <v>-0.20934024510524485</v>
      </c>
      <c r="X5944" s="2">
        <f ca="1"/>
        <v>39.502411906137837</v>
      </c>
      <c r="AG5944" s="2">
        <f ca="1"/>
        <v>0.88947576783981885</v>
      </c>
      <c r="AH5944" s="2" t="str">
        <f ca="1"/>
        <v>Bad</v>
      </c>
    </row>
    <row r="5945" spans="2:34">
      <c r="B5945" s="2">
        <f ca="1"/>
        <v>0.63445263273575114</v>
      </c>
      <c r="O5945" s="2">
        <f ca="1"/>
        <v>-0.96602049280468005</v>
      </c>
      <c r="X5945" s="2">
        <f ca="1"/>
        <v>47.030960699811352</v>
      </c>
      <c r="AG5945" s="2">
        <f ca="1"/>
        <v>0.82542658877657948</v>
      </c>
      <c r="AH5945" s="2" t="str">
        <f ca="1"/>
        <v>Bad</v>
      </c>
    </row>
    <row r="5946" spans="2:34">
      <c r="B5946" s="2">
        <f ca="1"/>
        <v>0.75223721452212233</v>
      </c>
      <c r="O5946" s="2">
        <f ca="1"/>
        <v>4.1621724003031858E-2</v>
      </c>
      <c r="X5946" s="2">
        <f ca="1"/>
        <v>53.471423728168553</v>
      </c>
      <c r="AG5946" s="2">
        <f ca="1"/>
        <v>0.34326927608591462</v>
      </c>
      <c r="AH5946" s="2" t="str">
        <f ca="1"/>
        <v>OK</v>
      </c>
    </row>
    <row r="5947" spans="2:34">
      <c r="B5947" s="2">
        <f ca="1"/>
        <v>0.33392445988476327</v>
      </c>
      <c r="O5947" s="2">
        <f ca="1"/>
        <v>0.73512538162366137</v>
      </c>
      <c r="X5947" s="2">
        <f ca="1"/>
        <v>37.648227554412109</v>
      </c>
      <c r="AG5947" s="2">
        <f ca="1"/>
        <v>0.68489295062814315</v>
      </c>
      <c r="AH5947" s="2" t="str">
        <f ca="1"/>
        <v>Bad</v>
      </c>
    </row>
    <row r="5948" spans="2:34">
      <c r="B5948" s="2">
        <f ca="1"/>
        <v>0.85760122587010579</v>
      </c>
      <c r="O5948" s="2">
        <f ca="1"/>
        <v>0.81680713047156417</v>
      </c>
      <c r="X5948" s="2">
        <f ca="1"/>
        <v>56.354631925726352</v>
      </c>
      <c r="AG5948" s="2">
        <f ca="1"/>
        <v>0.37113271665369418</v>
      </c>
      <c r="AH5948" s="2" t="str">
        <f ca="1"/>
        <v>OK</v>
      </c>
    </row>
    <row r="5949" spans="2:34">
      <c r="B5949" s="2">
        <f ca="1"/>
        <v>0.84956416370195154</v>
      </c>
      <c r="O5949" s="2">
        <f ca="1"/>
        <v>-0.64066834226302471</v>
      </c>
      <c r="X5949" s="2">
        <f ca="1"/>
        <v>60.853352174547425</v>
      </c>
      <c r="AG5949" s="2">
        <f ca="1"/>
        <v>0.94599403530886583</v>
      </c>
      <c r="AH5949" s="2" t="str">
        <f ca="1"/>
        <v>Bad</v>
      </c>
    </row>
    <row r="5950" spans="2:34">
      <c r="B5950" s="2">
        <f ca="1"/>
        <v>0.54696338180432225</v>
      </c>
      <c r="O5950" s="2">
        <f ca="1"/>
        <v>-2.0584452894278704</v>
      </c>
      <c r="X5950" s="2">
        <f ca="1"/>
        <v>44.014094268004136</v>
      </c>
      <c r="AG5950" s="2">
        <f ca="1"/>
        <v>9.2422174998287865E-2</v>
      </c>
      <c r="AH5950" s="2" t="str">
        <f ca="1"/>
        <v>OK</v>
      </c>
    </row>
    <row r="5951" spans="2:34">
      <c r="B5951" s="2">
        <f ca="1"/>
        <v>4.3442279526562544E-2</v>
      </c>
      <c r="O5951" s="2">
        <f ca="1"/>
        <v>0.13977736720362943</v>
      </c>
      <c r="X5951" s="2">
        <f ca="1"/>
        <v>45.910553592995143</v>
      </c>
      <c r="AG5951" s="2">
        <f ca="1"/>
        <v>0.98578089097358701</v>
      </c>
      <c r="AH5951" s="2" t="str">
        <f ca="1"/>
        <v>Bad</v>
      </c>
    </row>
    <row r="5952" spans="2:34">
      <c r="B5952" s="2">
        <f ca="1"/>
        <v>0.8172393326563907</v>
      </c>
      <c r="O5952" s="2">
        <f ca="1"/>
        <v>-0.40487742822429512</v>
      </c>
      <c r="X5952" s="2">
        <f ca="1"/>
        <v>53.817939239519546</v>
      </c>
      <c r="AG5952" s="2">
        <f ca="1"/>
        <v>0.44584784372647923</v>
      </c>
      <c r="AH5952" s="2" t="str">
        <f ca="1"/>
        <v>Bad</v>
      </c>
    </row>
    <row r="5953" spans="2:34">
      <c r="B5953" s="2">
        <f ca="1"/>
        <v>0.81930213050299905</v>
      </c>
      <c r="O5953" s="2">
        <f ca="1"/>
        <v>0.17980549721733416</v>
      </c>
      <c r="X5953" s="2">
        <f ca="1"/>
        <v>44.252715505402932</v>
      </c>
      <c r="AG5953" s="2">
        <f ca="1"/>
        <v>1.6405710953850239E-2</v>
      </c>
      <c r="AH5953" s="2" t="str">
        <f ca="1"/>
        <v>Good</v>
      </c>
    </row>
    <row r="5954" spans="2:34">
      <c r="B5954" s="2">
        <f ca="1"/>
        <v>0.81849147060936245</v>
      </c>
      <c r="O5954" s="2">
        <f ca="1"/>
        <v>1.4370697777309789</v>
      </c>
      <c r="X5954" s="2">
        <f ca="1"/>
        <v>75.537275070872226</v>
      </c>
      <c r="AG5954" s="2">
        <f ca="1"/>
        <v>0.21514071050887318</v>
      </c>
      <c r="AH5954" s="2" t="str">
        <f ca="1"/>
        <v>OK</v>
      </c>
    </row>
    <row r="5955" spans="2:34">
      <c r="B5955" s="2">
        <f ca="1"/>
        <v>0.93662271970874467</v>
      </c>
      <c r="O5955" s="2">
        <f ca="1"/>
        <v>0.36716558328278098</v>
      </c>
      <c r="X5955" s="2">
        <f ca="1"/>
        <v>43.839693426340403</v>
      </c>
      <c r="AG5955" s="2">
        <f ca="1"/>
        <v>0.45983405627653839</v>
      </c>
      <c r="AH5955" s="2" t="str">
        <f ca="1"/>
        <v>Bad</v>
      </c>
    </row>
    <row r="5956" spans="2:34">
      <c r="B5956" s="2">
        <f ca="1"/>
        <v>0.89500733192776494</v>
      </c>
      <c r="O5956" s="2">
        <f ca="1"/>
        <v>-0.48351953531770647</v>
      </c>
      <c r="X5956" s="2">
        <f ca="1"/>
        <v>22.08496475800251</v>
      </c>
      <c r="AG5956" s="2">
        <f ca="1"/>
        <v>0.61754785586562311</v>
      </c>
      <c r="AH5956" s="2" t="str">
        <f ca="1"/>
        <v>Bad</v>
      </c>
    </row>
    <row r="5957" spans="2:34">
      <c r="B5957" s="2">
        <f ca="1"/>
        <v>0.53502370329073057</v>
      </c>
      <c r="O5957" s="2">
        <f ca="1"/>
        <v>-2.0570272203599087</v>
      </c>
      <c r="X5957" s="2">
        <f ca="1"/>
        <v>45.026848536074695</v>
      </c>
      <c r="AG5957" s="2">
        <f ca="1"/>
        <v>0.29289031086083384</v>
      </c>
      <c r="AH5957" s="2" t="str">
        <f ca="1"/>
        <v>OK</v>
      </c>
    </row>
    <row r="5958" spans="2:34">
      <c r="B5958" s="2">
        <f ca="1"/>
        <v>0.65819206696261845</v>
      </c>
      <c r="O5958" s="2">
        <f ca="1"/>
        <v>-0.93196701960503892</v>
      </c>
      <c r="X5958" s="2">
        <f ca="1"/>
        <v>28.907083107351582</v>
      </c>
      <c r="AG5958" s="2">
        <f ca="1"/>
        <v>0.33320867709302715</v>
      </c>
      <c r="AH5958" s="2" t="str">
        <f ca="1"/>
        <v>OK</v>
      </c>
    </row>
    <row r="5959" spans="2:34">
      <c r="B5959" s="2">
        <f ca="1"/>
        <v>0.39427855214622065</v>
      </c>
      <c r="O5959" s="2">
        <f ca="1"/>
        <v>-0.15255719108255089</v>
      </c>
      <c r="X5959" s="2">
        <f ca="1"/>
        <v>48.829242955099531</v>
      </c>
      <c r="AG5959" s="2">
        <f ca="1"/>
        <v>0.50817337313273803</v>
      </c>
      <c r="AH5959" s="2" t="str">
        <f ca="1"/>
        <v>Bad</v>
      </c>
    </row>
    <row r="5960" spans="2:34">
      <c r="B5960" s="2">
        <f ca="1"/>
        <v>0.43054017887863116</v>
      </c>
      <c r="O5960" s="2">
        <f ca="1"/>
        <v>-0.8418801429919911</v>
      </c>
      <c r="X5960" s="2">
        <f ca="1"/>
        <v>18.86308382629813</v>
      </c>
      <c r="AG5960" s="2">
        <f ca="1"/>
        <v>0.66673690407890751</v>
      </c>
      <c r="AH5960" s="2" t="str">
        <f ca="1"/>
        <v>Bad</v>
      </c>
    </row>
    <row r="5961" spans="2:34">
      <c r="B5961" s="2">
        <f ca="1"/>
        <v>0.51980578274976641</v>
      </c>
      <c r="O5961" s="2">
        <f ca="1"/>
        <v>0.12160906656617407</v>
      </c>
      <c r="X5961" s="2">
        <f ca="1"/>
        <v>60.470399549350482</v>
      </c>
      <c r="AG5961" s="2">
        <f ca="1"/>
        <v>0.5138455958686774</v>
      </c>
      <c r="AH5961" s="2" t="str">
        <f ca="1"/>
        <v>Bad</v>
      </c>
    </row>
    <row r="5962" spans="2:34">
      <c r="B5962" s="2">
        <f ca="1"/>
        <v>9.9319283037527351E-2</v>
      </c>
      <c r="O5962" s="2">
        <f ca="1"/>
        <v>-0.41099302152753225</v>
      </c>
      <c r="X5962" s="2">
        <f ca="1"/>
        <v>88.909252863240837</v>
      </c>
      <c r="AG5962" s="2">
        <f ca="1"/>
        <v>1.4753598492439179E-2</v>
      </c>
      <c r="AH5962" s="2" t="str">
        <f ca="1"/>
        <v>Good</v>
      </c>
    </row>
    <row r="5963" spans="2:34">
      <c r="B5963" s="2">
        <f ca="1"/>
        <v>0.28423183188870293</v>
      </c>
      <c r="O5963" s="2">
        <f ca="1"/>
        <v>0.28393186450624663</v>
      </c>
      <c r="X5963" s="2">
        <f ca="1"/>
        <v>40.981329279415945</v>
      </c>
      <c r="AG5963" s="2">
        <f ca="1"/>
        <v>8.9419105678512745E-2</v>
      </c>
      <c r="AH5963" s="2" t="str">
        <f ca="1"/>
        <v>OK</v>
      </c>
    </row>
    <row r="5964" spans="2:34">
      <c r="B5964" s="2">
        <f ca="1"/>
        <v>0.25618575469279881</v>
      </c>
      <c r="O5964" s="2">
        <f ca="1"/>
        <v>-1.1587283336146417</v>
      </c>
      <c r="X5964" s="2">
        <f ca="1"/>
        <v>35.93859415784668</v>
      </c>
      <c r="AG5964" s="2">
        <f ca="1"/>
        <v>0.3789917729461949</v>
      </c>
      <c r="AH5964" s="2" t="str">
        <f ca="1"/>
        <v>OK</v>
      </c>
    </row>
    <row r="5965" spans="2:34">
      <c r="B5965" s="2">
        <f ca="1"/>
        <v>0.91160735508252477</v>
      </c>
      <c r="O5965" s="2">
        <f ca="1"/>
        <v>0.17689601584762771</v>
      </c>
      <c r="X5965" s="2">
        <f ca="1"/>
        <v>35.540640861597666</v>
      </c>
      <c r="AG5965" s="2">
        <f ca="1"/>
        <v>0.7933204813669692</v>
      </c>
      <c r="AH5965" s="2" t="str">
        <f ca="1"/>
        <v>Bad</v>
      </c>
    </row>
    <row r="5966" spans="2:34">
      <c r="B5966" s="2">
        <f ca="1"/>
        <v>0.57072898176732489</v>
      </c>
      <c r="O5966" s="2">
        <f ca="1"/>
        <v>-0.95168341316699201</v>
      </c>
      <c r="X5966" s="2">
        <f ca="1"/>
        <v>50.741955073839371</v>
      </c>
      <c r="AG5966" s="2">
        <f ca="1"/>
        <v>0.58121288502302715</v>
      </c>
      <c r="AH5966" s="2" t="str">
        <f ca="1"/>
        <v>Bad</v>
      </c>
    </row>
    <row r="5967" spans="2:34">
      <c r="B5967" s="2">
        <f ca="1"/>
        <v>0.59574801813572331</v>
      </c>
      <c r="O5967" s="2">
        <f ca="1"/>
        <v>0.25388807073312375</v>
      </c>
      <c r="X5967" s="2">
        <f ca="1"/>
        <v>46.283559776226184</v>
      </c>
      <c r="AG5967" s="2">
        <f ca="1"/>
        <v>0.48210921539467866</v>
      </c>
      <c r="AH5967" s="2" t="str">
        <f ca="1"/>
        <v>Bad</v>
      </c>
    </row>
    <row r="5968" spans="2:34">
      <c r="B5968" s="2">
        <f ca="1"/>
        <v>0.19963042991043012</v>
      </c>
      <c r="O5968" s="2">
        <f ca="1"/>
        <v>-1.8605661086286074</v>
      </c>
      <c r="X5968" s="2">
        <f ca="1"/>
        <v>61.181208836450381</v>
      </c>
      <c r="AG5968" s="2">
        <f ca="1"/>
        <v>0.26703658270939234</v>
      </c>
      <c r="AH5968" s="2" t="str">
        <f ca="1"/>
        <v>OK</v>
      </c>
    </row>
    <row r="5969" spans="2:34">
      <c r="B5969" s="2">
        <f ca="1"/>
        <v>0.73389308510090734</v>
      </c>
      <c r="O5969" s="2">
        <f ca="1"/>
        <v>1.3960560274105402</v>
      </c>
      <c r="X5969" s="2">
        <f ca="1"/>
        <v>59.619980757877855</v>
      </c>
      <c r="AG5969" s="2">
        <f ca="1"/>
        <v>0.43938373833915545</v>
      </c>
      <c r="AH5969" s="2" t="str">
        <f ca="1"/>
        <v>Bad</v>
      </c>
    </row>
    <row r="5970" spans="2:34">
      <c r="B5970" s="2">
        <f ca="1"/>
        <v>0.37846033689646563</v>
      </c>
      <c r="O5970" s="2">
        <f ca="1"/>
        <v>-0.3099576344202562</v>
      </c>
      <c r="X5970" s="2">
        <f ca="1"/>
        <v>40.119580796694763</v>
      </c>
      <c r="AG5970" s="2">
        <f ca="1"/>
        <v>0.56563410740391462</v>
      </c>
      <c r="AH5970" s="2" t="str">
        <f ca="1"/>
        <v>Bad</v>
      </c>
    </row>
    <row r="5971" spans="2:34">
      <c r="B5971" s="2">
        <f ca="1"/>
        <v>0.27070359166282199</v>
      </c>
      <c r="O5971" s="2">
        <f ca="1"/>
        <v>-0.89097495159840701</v>
      </c>
      <c r="X5971" s="2">
        <f ca="1"/>
        <v>67.161305093722945</v>
      </c>
      <c r="AG5971" s="2">
        <f ca="1"/>
        <v>0.75658144779465486</v>
      </c>
      <c r="AH5971" s="2" t="str">
        <f ca="1"/>
        <v>Bad</v>
      </c>
    </row>
    <row r="5972" spans="2:34">
      <c r="B5972" s="2">
        <f ca="1"/>
        <v>0.30992234005933006</v>
      </c>
      <c r="O5972" s="2">
        <f ca="1"/>
        <v>1.0271036757958507</v>
      </c>
      <c r="X5972" s="2">
        <f ca="1"/>
        <v>68.823708226510135</v>
      </c>
      <c r="AG5972" s="2">
        <f ca="1"/>
        <v>0.70246066453820744</v>
      </c>
      <c r="AH5972" s="2" t="str">
        <f ca="1"/>
        <v>Bad</v>
      </c>
    </row>
    <row r="5973" spans="2:34">
      <c r="B5973" s="2">
        <f ca="1"/>
        <v>0.57860544317297458</v>
      </c>
      <c r="O5973" s="2">
        <f ca="1"/>
        <v>-0.85627302345161271</v>
      </c>
      <c r="X5973" s="2">
        <f ca="1"/>
        <v>42.021779778044532</v>
      </c>
      <c r="AG5973" s="2">
        <f ca="1"/>
        <v>0.25533022029462149</v>
      </c>
      <c r="AH5973" s="2" t="str">
        <f ca="1"/>
        <v>OK</v>
      </c>
    </row>
    <row r="5974" spans="2:34">
      <c r="B5974" s="2">
        <f ca="1"/>
        <v>0.65150293524478586</v>
      </c>
      <c r="O5974" s="2">
        <f ca="1"/>
        <v>0.95794367755016085</v>
      </c>
      <c r="X5974" s="2">
        <f ca="1"/>
        <v>20.85270335640535</v>
      </c>
      <c r="AG5974" s="2">
        <f ca="1"/>
        <v>0.17881346231196038</v>
      </c>
      <c r="AH5974" s="2" t="str">
        <f ca="1"/>
        <v>OK</v>
      </c>
    </row>
    <row r="5975" spans="2:34">
      <c r="B5975" s="2">
        <f ca="1"/>
        <v>0.53253761562892699</v>
      </c>
      <c r="O5975" s="2">
        <f ca="1"/>
        <v>-0.84538209892647309</v>
      </c>
      <c r="X5975" s="2">
        <f ca="1"/>
        <v>92.457361597912083</v>
      </c>
      <c r="AG5975" s="2">
        <f ca="1"/>
        <v>0.30887259188206229</v>
      </c>
      <c r="AH5975" s="2" t="str">
        <f ca="1"/>
        <v>OK</v>
      </c>
    </row>
    <row r="5976" spans="2:34">
      <c r="B5976" s="2">
        <f ca="1"/>
        <v>0.38804991120296539</v>
      </c>
      <c r="O5976" s="2">
        <f ca="1"/>
        <v>1.5960145730243316</v>
      </c>
      <c r="X5976" s="2">
        <f ca="1"/>
        <v>50.696301521658881</v>
      </c>
      <c r="AG5976" s="2">
        <f ca="1"/>
        <v>4.2780252904870419E-3</v>
      </c>
      <c r="AH5976" s="2" t="str">
        <f ca="1"/>
        <v>Good</v>
      </c>
    </row>
    <row r="5977" spans="2:34">
      <c r="B5977" s="2">
        <f ca="1"/>
        <v>0.19815105242101572</v>
      </c>
      <c r="O5977" s="2">
        <f ca="1"/>
        <v>1.766238450185869</v>
      </c>
      <c r="X5977" s="2">
        <f ca="1"/>
        <v>49.448441733703334</v>
      </c>
      <c r="AG5977" s="2">
        <f ca="1"/>
        <v>0.1187903621336992</v>
      </c>
      <c r="AH5977" s="2" t="str">
        <f ca="1"/>
        <v>OK</v>
      </c>
    </row>
    <row r="5978" spans="2:34">
      <c r="B5978" s="2">
        <f ca="1"/>
        <v>0.97525026989923425</v>
      </c>
      <c r="O5978" s="2">
        <f ca="1"/>
        <v>2.5049147035852641</v>
      </c>
      <c r="X5978" s="2">
        <f ca="1"/>
        <v>43.735688043895507</v>
      </c>
      <c r="AG5978" s="2">
        <f ca="1"/>
        <v>0.70963824848144674</v>
      </c>
      <c r="AH5978" s="2" t="str">
        <f ca="1"/>
        <v>Bad</v>
      </c>
    </row>
    <row r="5979" spans="2:34">
      <c r="B5979" s="2">
        <f ca="1"/>
        <v>0.18529714501138761</v>
      </c>
      <c r="O5979" s="2">
        <f ca="1"/>
        <v>2.4176790143495173</v>
      </c>
      <c r="X5979" s="2">
        <f ca="1"/>
        <v>52.058370462734331</v>
      </c>
      <c r="AG5979" s="2">
        <f ca="1"/>
        <v>0.69933859493259143</v>
      </c>
      <c r="AH5979" s="2" t="str">
        <f ca="1"/>
        <v>Bad</v>
      </c>
    </row>
    <row r="5980" spans="2:34">
      <c r="B5980" s="2">
        <f ca="1"/>
        <v>0.8429210277840844</v>
      </c>
      <c r="O5980" s="2">
        <f ca="1"/>
        <v>-0.94885085894396093</v>
      </c>
      <c r="X5980" s="2">
        <f ca="1"/>
        <v>35.917908581185337</v>
      </c>
      <c r="AG5980" s="2">
        <f ca="1"/>
        <v>0.69807122691163204</v>
      </c>
      <c r="AH5980" s="2" t="str">
        <f ca="1"/>
        <v>Bad</v>
      </c>
    </row>
    <row r="5981" spans="2:34">
      <c r="B5981" s="2">
        <f ca="1"/>
        <v>0.37141776927262526</v>
      </c>
      <c r="O5981" s="2">
        <f ca="1"/>
        <v>-0.25186646369969901</v>
      </c>
      <c r="X5981" s="2">
        <f ca="1"/>
        <v>44.207383182417217</v>
      </c>
      <c r="AG5981" s="2">
        <f ca="1"/>
        <v>0.32442719599439229</v>
      </c>
      <c r="AH5981" s="2" t="str">
        <f ca="1"/>
        <v>OK</v>
      </c>
    </row>
    <row r="5982" spans="2:34">
      <c r="B5982" s="2">
        <f ca="1"/>
        <v>0.12932050603008305</v>
      </c>
      <c r="O5982" s="2">
        <f ca="1"/>
        <v>1.069975728896521</v>
      </c>
      <c r="X5982" s="2">
        <f ca="1"/>
        <v>48.280816118087202</v>
      </c>
      <c r="AG5982" s="2">
        <f ca="1"/>
        <v>0.51833356031056055</v>
      </c>
      <c r="AH5982" s="2" t="str">
        <f ca="1"/>
        <v>Bad</v>
      </c>
    </row>
    <row r="5983" spans="2:34">
      <c r="B5983" s="2">
        <f ca="1"/>
        <v>0.96938623401413282</v>
      </c>
      <c r="O5983" s="2">
        <f ca="1"/>
        <v>8.8199488241576252E-2</v>
      </c>
      <c r="X5983" s="2">
        <f ca="1"/>
        <v>73.070908516309188</v>
      </c>
      <c r="AG5983" s="2">
        <f ca="1"/>
        <v>0.99569314216375537</v>
      </c>
      <c r="AH5983" s="2" t="str">
        <f ca="1"/>
        <v>Bad</v>
      </c>
    </row>
    <row r="5984" spans="2:34">
      <c r="B5984" s="2">
        <f ca="1"/>
        <v>0.274597508854727</v>
      </c>
      <c r="O5984" s="2">
        <f ca="1"/>
        <v>-0.92534302020332937</v>
      </c>
      <c r="X5984" s="2">
        <f ca="1"/>
        <v>66.691106511965472</v>
      </c>
      <c r="AG5984" s="2">
        <f ca="1"/>
        <v>0.46346448230882786</v>
      </c>
      <c r="AH5984" s="2" t="str">
        <f ca="1"/>
        <v>Bad</v>
      </c>
    </row>
    <row r="5985" spans="2:34">
      <c r="B5985" s="2">
        <f ca="1"/>
        <v>0.49673331303601631</v>
      </c>
      <c r="O5985" s="2">
        <f ca="1"/>
        <v>0.85231454454267308</v>
      </c>
      <c r="X5985" s="2">
        <f ca="1"/>
        <v>21.480048175090268</v>
      </c>
      <c r="AG5985" s="2">
        <f ca="1"/>
        <v>0.95298820407709384</v>
      </c>
      <c r="AH5985" s="2" t="str">
        <f ca="1"/>
        <v>Bad</v>
      </c>
    </row>
    <row r="5986" spans="2:34">
      <c r="B5986" s="2">
        <f ca="1"/>
        <v>0.47536040022262438</v>
      </c>
      <c r="O5986" s="2">
        <f ca="1"/>
        <v>-1.3934970903054116</v>
      </c>
      <c r="X5986" s="2">
        <f ca="1"/>
        <v>45.589526999251468</v>
      </c>
      <c r="AG5986" s="2">
        <f ca="1"/>
        <v>0.33995134122636284</v>
      </c>
      <c r="AH5986" s="2" t="str">
        <f ca="1"/>
        <v>OK</v>
      </c>
    </row>
    <row r="5987" spans="2:34">
      <c r="B5987" s="2">
        <f ca="1"/>
        <v>0.56502964433562419</v>
      </c>
      <c r="O5987" s="2">
        <f ca="1"/>
        <v>-0.7566399031616734</v>
      </c>
      <c r="X5987" s="2">
        <f ca="1"/>
        <v>30.112237759421991</v>
      </c>
      <c r="AG5987" s="2">
        <f ca="1"/>
        <v>0.33644513448708979</v>
      </c>
      <c r="AH5987" s="2" t="str">
        <f ca="1"/>
        <v>OK</v>
      </c>
    </row>
    <row r="5988" spans="2:34">
      <c r="B5988" s="2">
        <f ca="1"/>
        <v>0.99158585740551453</v>
      </c>
      <c r="O5988" s="2">
        <f ca="1"/>
        <v>0.53994825367655996</v>
      </c>
      <c r="X5988" s="2">
        <f ca="1"/>
        <v>54.127969369775705</v>
      </c>
      <c r="AG5988" s="2">
        <f ca="1"/>
        <v>0.32152788320428494</v>
      </c>
      <c r="AH5988" s="2" t="str">
        <f ca="1"/>
        <v>OK</v>
      </c>
    </row>
    <row r="5989" spans="2:34">
      <c r="B5989" s="2">
        <f ca="1"/>
        <v>8.4700148353573645E-3</v>
      </c>
      <c r="O5989" s="2">
        <f ca="1"/>
        <v>-1.1522973123196021</v>
      </c>
      <c r="X5989" s="2">
        <f ca="1"/>
        <v>45.11588758320304</v>
      </c>
      <c r="AG5989" s="2">
        <f ca="1"/>
        <v>0.50826305336195543</v>
      </c>
      <c r="AH5989" s="2" t="str">
        <f ca="1"/>
        <v>Bad</v>
      </c>
    </row>
    <row r="5990" spans="2:34">
      <c r="B5990" s="2">
        <f ca="1"/>
        <v>0.83401419594950688</v>
      </c>
      <c r="O5990" s="2">
        <f ca="1"/>
        <v>-0.3160287608053714</v>
      </c>
      <c r="X5990" s="2">
        <f ca="1"/>
        <v>41.883009654307813</v>
      </c>
      <c r="AG5990" s="2">
        <f ca="1"/>
        <v>0.53173461655949295</v>
      </c>
      <c r="AH5990" s="2" t="str">
        <f ca="1"/>
        <v>Bad</v>
      </c>
    </row>
    <row r="5991" spans="2:34">
      <c r="B5991" s="2">
        <f ca="1"/>
        <v>0.68341112466631881</v>
      </c>
      <c r="O5991" s="2">
        <f ca="1"/>
        <v>0.52431985074989951</v>
      </c>
      <c r="X5991" s="2">
        <f ca="1"/>
        <v>63.564712948795687</v>
      </c>
      <c r="AG5991" s="2">
        <f ca="1"/>
        <v>0.48604740221465792</v>
      </c>
      <c r="AH5991" s="2" t="str">
        <f ca="1"/>
        <v>Bad</v>
      </c>
    </row>
    <row r="5992" spans="2:34">
      <c r="B5992" s="2">
        <f ca="1"/>
        <v>0.7444395105468451</v>
      </c>
      <c r="O5992" s="2">
        <f ca="1"/>
        <v>-2.1750426832288192</v>
      </c>
      <c r="X5992" s="2">
        <f ca="1"/>
        <v>58.140635872071556</v>
      </c>
      <c r="AG5992" s="2">
        <f ca="1"/>
        <v>7.6169287946241226E-2</v>
      </c>
      <c r="AH5992" s="2" t="str">
        <f ca="1"/>
        <v>OK</v>
      </c>
    </row>
    <row r="5993" spans="2:34">
      <c r="B5993" s="2">
        <f ca="1"/>
        <v>0.34382062383378131</v>
      </c>
      <c r="O5993" s="2">
        <f ca="1"/>
        <v>0.15950349730743607</v>
      </c>
      <c r="X5993" s="2">
        <f ca="1"/>
        <v>21.068513831139089</v>
      </c>
      <c r="AG5993" s="2">
        <f ca="1"/>
        <v>0.54581420130552516</v>
      </c>
      <c r="AH5993" s="2" t="str">
        <f ca="1"/>
        <v>Bad</v>
      </c>
    </row>
    <row r="5994" spans="2:34">
      <c r="B5994" s="2">
        <f ca="1"/>
        <v>0.12563067296498764</v>
      </c>
      <c r="O5994" s="2">
        <f ca="1"/>
        <v>-0.7080091868450179</v>
      </c>
      <c r="X5994" s="2">
        <f ca="1"/>
        <v>66.111892548345963</v>
      </c>
      <c r="AG5994" s="2">
        <f ca="1"/>
        <v>0.28959490149982359</v>
      </c>
      <c r="AH5994" s="2" t="str">
        <f ca="1"/>
        <v>OK</v>
      </c>
    </row>
    <row r="5995" spans="2:34">
      <c r="B5995" s="2">
        <f ca="1"/>
        <v>0.68454252221883949</v>
      </c>
      <c r="O5995" s="2">
        <f ca="1"/>
        <v>-2.2736964340381101</v>
      </c>
      <c r="X5995" s="2">
        <f ca="1"/>
        <v>50.886712847682077</v>
      </c>
      <c r="AG5995" s="2">
        <f ca="1"/>
        <v>0.81524539051581657</v>
      </c>
      <c r="AH5995" s="2" t="str">
        <f ca="1"/>
        <v>Bad</v>
      </c>
    </row>
    <row r="5996" spans="2:34">
      <c r="B5996" s="2">
        <f ca="1"/>
        <v>0.20579518689818532</v>
      </c>
      <c r="O5996" s="2">
        <f ca="1"/>
        <v>0.79673165589533435</v>
      </c>
      <c r="X5996" s="2">
        <f ca="1"/>
        <v>50.844237866744038</v>
      </c>
      <c r="AG5996" s="2">
        <f ca="1"/>
        <v>0.47442745534965947</v>
      </c>
      <c r="AH5996" s="2" t="str">
        <f ca="1"/>
        <v>Bad</v>
      </c>
    </row>
    <row r="5997" spans="2:34">
      <c r="B5997" s="2">
        <f ca="1"/>
        <v>0.19762342111429576</v>
      </c>
      <c r="O5997" s="2">
        <f ca="1"/>
        <v>0.1328125489640519</v>
      </c>
      <c r="X5997" s="2">
        <f ca="1"/>
        <v>59.569891721034267</v>
      </c>
      <c r="AG5997" s="2">
        <f ca="1"/>
        <v>0.38103394189528195</v>
      </c>
      <c r="AH5997" s="2" t="str">
        <f ca="1"/>
        <v>OK</v>
      </c>
    </row>
    <row r="5998" spans="2:34">
      <c r="B5998" s="2">
        <f ca="1"/>
        <v>4.1607287180318142E-2</v>
      </c>
      <c r="O5998" s="2">
        <f ca="1"/>
        <v>-1.9016883836095906</v>
      </c>
      <c r="X5998" s="2">
        <f ca="1"/>
        <v>46.889048094796578</v>
      </c>
      <c r="AG5998" s="2">
        <f ca="1"/>
        <v>0.79959109801820905</v>
      </c>
      <c r="AH5998" s="2" t="str">
        <f ca="1"/>
        <v>Bad</v>
      </c>
    </row>
    <row r="5999" spans="2:34">
      <c r="B5999" s="2">
        <f ca="1"/>
        <v>0.51093273924303184</v>
      </c>
      <c r="O5999" s="2">
        <f ca="1"/>
        <v>0.92243353926589089</v>
      </c>
      <c r="X5999" s="2">
        <f ca="1"/>
        <v>61.580110549612684</v>
      </c>
      <c r="AG5999" s="2">
        <f ca="1"/>
        <v>3.440990423020418E-2</v>
      </c>
      <c r="AH5999" s="2" t="str">
        <f ca="1"/>
        <v>Good</v>
      </c>
    </row>
    <row r="6000" spans="2:34">
      <c r="B6000" s="2">
        <f ca="1"/>
        <v>0.88705285190458238</v>
      </c>
      <c r="O6000" s="2">
        <f ca="1"/>
        <v>-0.6006084480738153</v>
      </c>
      <c r="X6000" s="2">
        <f ca="1"/>
        <v>51.794564654166173</v>
      </c>
      <c r="AG6000" s="2">
        <f ca="1"/>
        <v>5.4169007675712866E-3</v>
      </c>
      <c r="AH6000" s="2" t="str">
        <f ca="1"/>
        <v>Good</v>
      </c>
    </row>
    <row r="6001" spans="2:34">
      <c r="B6001" s="2">
        <f ca="1"/>
        <v>0.82297126923790342</v>
      </c>
      <c r="O6001" s="2">
        <f ca="1"/>
        <v>-1.12090798957146</v>
      </c>
      <c r="X6001" s="2">
        <f ca="1"/>
        <v>51.952437095644477</v>
      </c>
      <c r="AG6001" s="2">
        <f ca="1"/>
        <v>0.44719531020161529</v>
      </c>
      <c r="AH6001" s="2" t="str">
        <f ca="1"/>
        <v>Bad</v>
      </c>
    </row>
    <row r="6002" spans="2:34">
      <c r="B6002" s="2">
        <f ca="1"/>
        <v>0.76796989752270073</v>
      </c>
      <c r="O6002" s="2">
        <f ca="1"/>
        <v>-1.9312205598734438</v>
      </c>
      <c r="X6002" s="2">
        <f ca="1"/>
        <v>41.645419191902363</v>
      </c>
      <c r="AG6002" s="2">
        <f ca="1"/>
        <v>0.2728980148224236</v>
      </c>
      <c r="AH6002" s="2" t="str">
        <f ca="1"/>
        <v>OK</v>
      </c>
    </row>
    <row r="6003" spans="2:34">
      <c r="B6003" s="2">
        <f ca="1"/>
        <v>0.64471485564782194</v>
      </c>
      <c r="O6003" s="2">
        <f ca="1"/>
        <v>0.54463189923370814</v>
      </c>
      <c r="X6003" s="2">
        <f ca="1"/>
        <v>43.207371360112738</v>
      </c>
      <c r="AG6003" s="2">
        <f ca="1"/>
        <v>0.24202981639218346</v>
      </c>
      <c r="AH6003" s="2" t="str">
        <f ca="1"/>
        <v>OK</v>
      </c>
    </row>
    <row r="6004" spans="2:34">
      <c r="B6004" s="2">
        <f ca="1"/>
        <v>0.55191138266730233</v>
      </c>
      <c r="O6004" s="2">
        <f ca="1"/>
        <v>0.67499123985092568</v>
      </c>
      <c r="X6004" s="2">
        <f ca="1"/>
        <v>40.123703449490058</v>
      </c>
      <c r="AG6004" s="2">
        <f ca="1"/>
        <v>0.6489854946062612</v>
      </c>
      <c r="AH6004" s="2" t="str">
        <f ca="1"/>
        <v>Bad</v>
      </c>
    </row>
    <row r="6005" spans="2:34">
      <c r="B6005" s="2">
        <f ca="1"/>
        <v>0.76653474787218578</v>
      </c>
      <c r="O6005" s="2">
        <f ca="1"/>
        <v>0.62897928828008787</v>
      </c>
      <c r="X6005" s="2">
        <f ca="1"/>
        <v>29.55782591904606</v>
      </c>
      <c r="AG6005" s="2">
        <f ca="1"/>
        <v>0.68621172857858403</v>
      </c>
      <c r="AH6005" s="2" t="str">
        <f ca="1"/>
        <v>Bad</v>
      </c>
    </row>
    <row r="6006" spans="2:34">
      <c r="B6006" s="2">
        <f ca="1"/>
        <v>0.96840596294470105</v>
      </c>
      <c r="O6006" s="2">
        <f ca="1"/>
        <v>1.2097812373103252</v>
      </c>
      <c r="X6006" s="2">
        <f ca="1"/>
        <v>68.826052900711773</v>
      </c>
      <c r="AG6006" s="2">
        <f ca="1"/>
        <v>0.29176203322419969</v>
      </c>
      <c r="AH6006" s="2" t="str">
        <f ca="1"/>
        <v>OK</v>
      </c>
    </row>
    <row r="6007" spans="2:34">
      <c r="B6007" s="2">
        <f ca="1"/>
        <v>0.83605057416253947</v>
      </c>
      <c r="O6007" s="2">
        <f ca="1"/>
        <v>1.1197738525267866</v>
      </c>
      <c r="X6007" s="2">
        <f ca="1"/>
        <v>64.717009140542942</v>
      </c>
      <c r="AG6007" s="2">
        <f ca="1"/>
        <v>0.31435347417078141</v>
      </c>
      <c r="AH6007" s="2" t="str">
        <f ca="1"/>
        <v>OK</v>
      </c>
    </row>
    <row r="6008" spans="2:34">
      <c r="B6008" s="2">
        <f ca="1"/>
        <v>0.35286085780883591</v>
      </c>
      <c r="O6008" s="2">
        <f ca="1"/>
        <v>-1.4412288314864954</v>
      </c>
      <c r="X6008" s="2">
        <f ca="1"/>
        <v>51.8184628715602</v>
      </c>
      <c r="AG6008" s="2">
        <f ca="1"/>
        <v>0.54995762808781889</v>
      </c>
      <c r="AH6008" s="2" t="str">
        <f ca="1"/>
        <v>Bad</v>
      </c>
    </row>
    <row r="6009" spans="2:34">
      <c r="B6009" s="2">
        <f ca="1"/>
        <v>0.99292364211000894</v>
      </c>
      <c r="O6009" s="2">
        <f ca="1"/>
        <v>-0.9995843720452845</v>
      </c>
      <c r="X6009" s="2">
        <f ca="1"/>
        <v>57.697251986680513</v>
      </c>
      <c r="AG6009" s="2">
        <f ca="1"/>
        <v>0.94187751407608</v>
      </c>
      <c r="AH6009" s="2" t="str">
        <f ca="1"/>
        <v>Bad</v>
      </c>
    </row>
    <row r="6010" spans="2:34">
      <c r="B6010" s="2">
        <f ca="1"/>
        <v>0.17591655835275799</v>
      </c>
      <c r="O6010" s="2">
        <f ca="1"/>
        <v>-0.55454342162383696</v>
      </c>
      <c r="X6010" s="2">
        <f ca="1"/>
        <v>56.048649882665202</v>
      </c>
      <c r="AG6010" s="2">
        <f ca="1"/>
        <v>0.10058419090525006</v>
      </c>
      <c r="AH6010" s="2" t="str">
        <f ca="1"/>
        <v>OK</v>
      </c>
    </row>
    <row r="6011" spans="2:34">
      <c r="B6011" s="2">
        <f ca="1"/>
        <v>0.68818210840603533</v>
      </c>
      <c r="O6011" s="2">
        <f ca="1"/>
        <v>-0.5738722451112227</v>
      </c>
      <c r="X6011" s="2">
        <f ca="1"/>
        <v>65.344168877579392</v>
      </c>
      <c r="AG6011" s="2">
        <f ca="1"/>
        <v>0.59470837530319431</v>
      </c>
      <c r="AH6011" s="2" t="str">
        <f ca="1"/>
        <v>Bad</v>
      </c>
    </row>
    <row r="6012" spans="2:34">
      <c r="B6012" s="2">
        <f ca="1"/>
        <v>0.62314764488830221</v>
      </c>
      <c r="O6012" s="2">
        <f ca="1"/>
        <v>-0.31862355870195014</v>
      </c>
      <c r="X6012" s="2">
        <f ca="1"/>
        <v>56.223742940282698</v>
      </c>
      <c r="AG6012" s="2">
        <f ca="1"/>
        <v>0.86559946820847844</v>
      </c>
      <c r="AH6012" s="2" t="str">
        <f ca="1"/>
        <v>Bad</v>
      </c>
    </row>
    <row r="6013" spans="2:34">
      <c r="B6013" s="2">
        <f ca="1"/>
        <v>7.1244175588733638E-2</v>
      </c>
      <c r="O6013" s="2">
        <f ca="1"/>
        <v>-0.67934228184791934</v>
      </c>
      <c r="X6013" s="2">
        <f ca="1"/>
        <v>55.328417896940145</v>
      </c>
      <c r="AG6013" s="2">
        <f ca="1"/>
        <v>0.77968007981639231</v>
      </c>
      <c r="AH6013" s="2" t="str">
        <f ca="1"/>
        <v>Bad</v>
      </c>
    </row>
    <row r="6014" spans="2:34">
      <c r="B6014" s="2">
        <f ca="1"/>
        <v>0.55253767125301234</v>
      </c>
      <c r="O6014" s="2">
        <f ca="1"/>
        <v>-0.77802622162236756</v>
      </c>
      <c r="X6014" s="2">
        <f ca="1"/>
        <v>41.015503274606274</v>
      </c>
      <c r="AG6014" s="2">
        <f ca="1"/>
        <v>0.78666692466153587</v>
      </c>
      <c r="AH6014" s="2" t="str">
        <f ca="1"/>
        <v>Bad</v>
      </c>
    </row>
    <row r="6015" spans="2:34">
      <c r="B6015" s="2">
        <f ca="1"/>
        <v>0.95136409423576906</v>
      </c>
      <c r="O6015" s="2">
        <f ca="1"/>
        <v>-0.6051540536722041</v>
      </c>
      <c r="X6015" s="2">
        <f ca="1"/>
        <v>66.4659794537978</v>
      </c>
      <c r="AG6015" s="2">
        <f ca="1"/>
        <v>3.7686043576632855E-2</v>
      </c>
      <c r="AH6015" s="2" t="str">
        <f ca="1"/>
        <v>Good</v>
      </c>
    </row>
    <row r="6016" spans="2:34">
      <c r="B6016" s="2">
        <f ca="1"/>
        <v>0.22483476852003359</v>
      </c>
      <c r="O6016" s="2">
        <f ca="1"/>
        <v>-5.9353396304172253E-2</v>
      </c>
      <c r="X6016" s="2">
        <f ca="1"/>
        <v>50.340420886719869</v>
      </c>
      <c r="AG6016" s="2">
        <f ca="1"/>
        <v>0.79377092444691888</v>
      </c>
      <c r="AH6016" s="2" t="str">
        <f ca="1"/>
        <v>Bad</v>
      </c>
    </row>
    <row r="6017" spans="2:34">
      <c r="B6017" s="2">
        <f ca="1"/>
        <v>0.73049962451959405</v>
      </c>
      <c r="O6017" s="2">
        <f ca="1"/>
        <v>0.25626046735680424</v>
      </c>
      <c r="X6017" s="2">
        <f ca="1"/>
        <v>58.335042796381664</v>
      </c>
      <c r="AG6017" s="2">
        <f ca="1"/>
        <v>0.48422728037557405</v>
      </c>
      <c r="AH6017" s="2" t="str">
        <f ca="1"/>
        <v>Bad</v>
      </c>
    </row>
    <row r="6018" spans="2:34">
      <c r="B6018" s="2">
        <f ca="1"/>
        <v>0.11712162270103743</v>
      </c>
      <c r="O6018" s="2">
        <f ca="1"/>
        <v>-1.4363050330816567</v>
      </c>
      <c r="X6018" s="2">
        <f ca="1"/>
        <v>54.56466439557861</v>
      </c>
      <c r="AG6018" s="2">
        <f ca="1"/>
        <v>0.89441080341174573</v>
      </c>
      <c r="AH6018" s="2" t="str">
        <f ca="1"/>
        <v>Bad</v>
      </c>
    </row>
    <row r="6019" spans="2:34">
      <c r="B6019" s="2">
        <f ca="1"/>
        <v>0.15988403899007397</v>
      </c>
      <c r="O6019" s="2">
        <f ca="1"/>
        <v>0.44193983308916479</v>
      </c>
      <c r="X6019" s="2">
        <f ca="1"/>
        <v>23.66165385408322</v>
      </c>
      <c r="AG6019" s="2">
        <f ca="1"/>
        <v>0.58885404971305055</v>
      </c>
      <c r="AH6019" s="2" t="str">
        <f ca="1"/>
        <v>Bad</v>
      </c>
    </row>
    <row r="6020" spans="2:34">
      <c r="B6020" s="2">
        <f ca="1"/>
        <v>0.67808164357335166</v>
      </c>
      <c r="O6020" s="2">
        <f ca="1"/>
        <v>-0.90168054121279506</v>
      </c>
      <c r="X6020" s="2">
        <f ca="1"/>
        <v>30.450765501131031</v>
      </c>
      <c r="AG6020" s="2">
        <f ca="1"/>
        <v>0.70310697585078863</v>
      </c>
      <c r="AH6020" s="2" t="str">
        <f ca="1"/>
        <v>Bad</v>
      </c>
    </row>
    <row r="6021" spans="2:34">
      <c r="B6021" s="2">
        <f ca="1"/>
        <v>0.96145794544827057</v>
      </c>
      <c r="O6021" s="2">
        <f ca="1"/>
        <v>-0.10159582342901748</v>
      </c>
      <c r="X6021" s="2">
        <f ca="1"/>
        <v>27.945960390094715</v>
      </c>
      <c r="AG6021" s="2">
        <f ca="1"/>
        <v>0.58195227196456312</v>
      </c>
      <c r="AH6021" s="2" t="str">
        <f ca="1"/>
        <v>Bad</v>
      </c>
    </row>
    <row r="6022" spans="2:34">
      <c r="B6022" s="2">
        <f ca="1"/>
        <v>0.65670482801568264</v>
      </c>
      <c r="O6022" s="2">
        <f ca="1"/>
        <v>0.53226252032001131</v>
      </c>
      <c r="X6022" s="2">
        <f ca="1"/>
        <v>59.629688115199869</v>
      </c>
      <c r="AG6022" s="2">
        <f ca="1"/>
        <v>0.40086161765402428</v>
      </c>
      <c r="AH6022" s="2" t="str">
        <f ca="1"/>
        <v>Bad</v>
      </c>
    </row>
    <row r="6023" spans="2:34">
      <c r="B6023" s="2">
        <f ca="1"/>
        <v>8.9736879053408103E-3</v>
      </c>
      <c r="O6023" s="2">
        <f ca="1"/>
        <v>-1.8403935694997919</v>
      </c>
      <c r="X6023" s="2">
        <f ca="1"/>
        <v>52.454022885974069</v>
      </c>
      <c r="AG6023" s="2">
        <f ca="1"/>
        <v>0.28501734740852758</v>
      </c>
      <c r="AH6023" s="2" t="str">
        <f ca="1"/>
        <v>OK</v>
      </c>
    </row>
    <row r="6024" spans="2:34">
      <c r="B6024" s="2">
        <f ca="1"/>
        <v>0.6345404654481539</v>
      </c>
      <c r="O6024" s="2">
        <f ca="1"/>
        <v>-1.1364648907495016</v>
      </c>
      <c r="X6024" s="2">
        <f ca="1"/>
        <v>33.719503024956289</v>
      </c>
      <c r="AG6024" s="2">
        <f ca="1"/>
        <v>0.75034821165028598</v>
      </c>
      <c r="AH6024" s="2" t="str">
        <f ca="1"/>
        <v>Bad</v>
      </c>
    </row>
    <row r="6025" spans="2:34">
      <c r="B6025" s="2">
        <f ca="1"/>
        <v>0.17346118443068614</v>
      </c>
      <c r="O6025" s="2">
        <f ca="1"/>
        <v>-1.7065532969112438</v>
      </c>
      <c r="X6025" s="2">
        <f ca="1"/>
        <v>38.07532720803178</v>
      </c>
      <c r="AG6025" s="2">
        <f ca="1"/>
        <v>0.5599985813802586</v>
      </c>
      <c r="AH6025" s="2" t="str">
        <f ca="1"/>
        <v>Bad</v>
      </c>
    </row>
    <row r="6026" spans="2:34">
      <c r="B6026" s="2">
        <f ca="1"/>
        <v>0.27973189506189944</v>
      </c>
      <c r="O6026" s="2">
        <f ca="1"/>
        <v>1.142105709224257</v>
      </c>
      <c r="X6026" s="2">
        <f ca="1"/>
        <v>63.1029498471786</v>
      </c>
      <c r="AG6026" s="2">
        <f ca="1"/>
        <v>0.70836507714040997</v>
      </c>
      <c r="AH6026" s="2" t="str">
        <f ca="1"/>
        <v>Bad</v>
      </c>
    </row>
    <row r="6027" spans="2:34">
      <c r="B6027" s="2">
        <f ca="1"/>
        <v>0.2481625621425918</v>
      </c>
      <c r="O6027" s="2">
        <f ca="1"/>
        <v>-1.1888721237447999</v>
      </c>
      <c r="X6027" s="2">
        <f ca="1"/>
        <v>57.006765620928583</v>
      </c>
      <c r="AG6027" s="2">
        <f ca="1"/>
        <v>0.85305834351045262</v>
      </c>
      <c r="AH6027" s="2" t="str">
        <f ca="1"/>
        <v>Bad</v>
      </c>
    </row>
    <row r="6028" spans="2:34">
      <c r="B6028" s="2">
        <f ca="1"/>
        <v>0.30124420298418886</v>
      </c>
      <c r="O6028" s="2">
        <f ca="1"/>
        <v>-1.2570626362223316</v>
      </c>
      <c r="X6028" s="2">
        <f ca="1"/>
        <v>46.854863131783574</v>
      </c>
      <c r="AG6028" s="2">
        <f ca="1"/>
        <v>0.25269868621065661</v>
      </c>
      <c r="AH6028" s="2" t="str">
        <f ca="1"/>
        <v>OK</v>
      </c>
    </row>
    <row r="6029" spans="2:34">
      <c r="B6029" s="2">
        <f ca="1"/>
        <v>0.8928162655687033</v>
      </c>
      <c r="O6029" s="2">
        <f ca="1"/>
        <v>0.70488933456701341</v>
      </c>
      <c r="X6029" s="2">
        <f ca="1"/>
        <v>52.416687985136562</v>
      </c>
      <c r="AG6029" s="2">
        <f ca="1"/>
        <v>0.54869591977789978</v>
      </c>
      <c r="AH6029" s="2" t="str">
        <f ca="1"/>
        <v>Bad</v>
      </c>
    </row>
    <row r="6030" spans="2:34">
      <c r="B6030" s="2">
        <f ca="1"/>
        <v>0.92510975217707281</v>
      </c>
      <c r="O6030" s="2">
        <f ca="1"/>
        <v>-1.1496059989517252E-2</v>
      </c>
      <c r="X6030" s="2">
        <f ca="1"/>
        <v>60.327201853138931</v>
      </c>
      <c r="AG6030" s="2">
        <f ca="1"/>
        <v>0.41178070021685653</v>
      </c>
      <c r="AH6030" s="2" t="str">
        <f ca="1"/>
        <v>Bad</v>
      </c>
    </row>
    <row r="6031" spans="2:34">
      <c r="B6031" s="2">
        <f ca="1"/>
        <v>0.4850349035860233</v>
      </c>
      <c r="O6031" s="2">
        <f ca="1"/>
        <v>0.18350858969835374</v>
      </c>
      <c r="X6031" s="2">
        <f ca="1"/>
        <v>90.365033140483149</v>
      </c>
      <c r="AG6031" s="2">
        <f ca="1"/>
        <v>0.92031010274804381</v>
      </c>
      <c r="AH6031" s="2" t="str">
        <f ca="1"/>
        <v>Bad</v>
      </c>
    </row>
    <row r="6032" spans="2:34">
      <c r="B6032" s="2">
        <f ca="1"/>
        <v>0.10317828911203164</v>
      </c>
      <c r="O6032" s="2">
        <f ca="1"/>
        <v>-9.4452849928751997E-2</v>
      </c>
      <c r="X6032" s="2">
        <f ca="1"/>
        <v>39.687348602066372</v>
      </c>
      <c r="AG6032" s="2">
        <f ca="1"/>
        <v>0.8548400551020372</v>
      </c>
      <c r="AH6032" s="2" t="str">
        <f ca="1"/>
        <v>Bad</v>
      </c>
    </row>
    <row r="6033" spans="2:34">
      <c r="B6033" s="2">
        <f ca="1"/>
        <v>0.83875710660012381</v>
      </c>
      <c r="O6033" s="2">
        <f ca="1"/>
        <v>-8.2877358933419423E-2</v>
      </c>
      <c r="X6033" s="2">
        <f ca="1"/>
        <v>48.253877055702368</v>
      </c>
      <c r="AG6033" s="2">
        <f ca="1"/>
        <v>8.0057460936899139E-2</v>
      </c>
      <c r="AH6033" s="2" t="str">
        <f ca="1"/>
        <v>OK</v>
      </c>
    </row>
    <row r="6034" spans="2:34">
      <c r="B6034" s="2">
        <f ca="1"/>
        <v>0.62388198638443426</v>
      </c>
      <c r="O6034" s="2">
        <f ca="1"/>
        <v>-1.0465574436396132</v>
      </c>
      <c r="X6034" s="2">
        <f ca="1"/>
        <v>37.581138879647966</v>
      </c>
      <c r="AG6034" s="2">
        <f ca="1"/>
        <v>0.14107915457885656</v>
      </c>
      <c r="AH6034" s="2" t="str">
        <f ca="1"/>
        <v>OK</v>
      </c>
    </row>
    <row r="6035" spans="2:34">
      <c r="B6035" s="2">
        <f ca="1"/>
        <v>0.38947989733573851</v>
      </c>
      <c r="O6035" s="2">
        <f ca="1"/>
        <v>-3.2836230700551493E-2</v>
      </c>
      <c r="X6035" s="2">
        <f ca="1"/>
        <v>41.664974730140926</v>
      </c>
      <c r="AG6035" s="2">
        <f ca="1"/>
        <v>0.27835275424371475</v>
      </c>
      <c r="AH6035" s="2" t="str">
        <f ca="1"/>
        <v>OK</v>
      </c>
    </row>
    <row r="6036" spans="2:34">
      <c r="B6036" s="2">
        <f ca="1"/>
        <v>0.94035312452282915</v>
      </c>
      <c r="O6036" s="2">
        <f ca="1"/>
        <v>-1.0526839968877435</v>
      </c>
      <c r="X6036" s="2">
        <f ca="1"/>
        <v>49.961797718525894</v>
      </c>
      <c r="AG6036" s="2">
        <f ca="1"/>
        <v>3.67446738658328E-2</v>
      </c>
      <c r="AH6036" s="2" t="str">
        <f ca="1"/>
        <v>Good</v>
      </c>
    </row>
    <row r="6037" spans="2:34">
      <c r="B6037" s="2">
        <f ca="1"/>
        <v>0.57076074835260981</v>
      </c>
      <c r="O6037" s="2">
        <f ca="1"/>
        <v>-0.67727222209128701</v>
      </c>
      <c r="X6037" s="2">
        <f ca="1"/>
        <v>50.410567727014225</v>
      </c>
      <c r="AG6037" s="2">
        <f ca="1"/>
        <v>0.89822736456658059</v>
      </c>
      <c r="AH6037" s="2" t="str">
        <f ca="1"/>
        <v>Bad</v>
      </c>
    </row>
    <row r="6038" spans="2:34">
      <c r="B6038" s="2">
        <f ca="1"/>
        <v>0.33464102046853328</v>
      </c>
      <c r="O6038" s="2">
        <f ca="1"/>
        <v>0.12530019894486877</v>
      </c>
      <c r="X6038" s="2">
        <f ca="1"/>
        <v>44.129933038537395</v>
      </c>
      <c r="AG6038" s="2">
        <f ca="1"/>
        <v>0.96948651154944621</v>
      </c>
      <c r="AH6038" s="2" t="str">
        <f ca="1"/>
        <v>Bad</v>
      </c>
    </row>
    <row r="6039" spans="2:34">
      <c r="B6039" s="2">
        <f ca="1"/>
        <v>0.78546271144494262</v>
      </c>
      <c r="O6039" s="2">
        <f ca="1"/>
        <v>-0.44004097000168113</v>
      </c>
      <c r="X6039" s="2">
        <f ca="1"/>
        <v>82.603175209381817</v>
      </c>
      <c r="AG6039" s="2">
        <f ca="1"/>
        <v>0.26418342603548006</v>
      </c>
      <c r="AH6039" s="2" t="str">
        <f ca="1"/>
        <v>OK</v>
      </c>
    </row>
    <row r="6040" spans="2:34">
      <c r="B6040" s="2">
        <f ca="1"/>
        <v>0.8513424641869427</v>
      </c>
      <c r="O6040" s="2">
        <f ca="1"/>
        <v>-0.13364364579967963</v>
      </c>
      <c r="X6040" s="2">
        <f ca="1"/>
        <v>42.356894307892432</v>
      </c>
      <c r="AG6040" s="2">
        <f ca="1"/>
        <v>0.18268911255303522</v>
      </c>
      <c r="AH6040" s="2" t="str">
        <f ca="1"/>
        <v>OK</v>
      </c>
    </row>
    <row r="6041" spans="2:34">
      <c r="B6041" s="2">
        <f ca="1"/>
        <v>0.78632510148320645</v>
      </c>
      <c r="O6041" s="2">
        <f ca="1"/>
        <v>0.24834507824309188</v>
      </c>
      <c r="X6041" s="2">
        <f ca="1"/>
        <v>36.292854839501487</v>
      </c>
      <c r="AG6041" s="2">
        <f ca="1"/>
        <v>0.39650183450828003</v>
      </c>
      <c r="AH6041" s="2" t="str">
        <f ca="1"/>
        <v>OK</v>
      </c>
    </row>
    <row r="6042" spans="2:34">
      <c r="B6042" s="2">
        <f ca="1"/>
        <v>0.28902458527365749</v>
      </c>
      <c r="O6042" s="2">
        <f ca="1"/>
        <v>0.36717677284770572</v>
      </c>
      <c r="X6042" s="2">
        <f ca="1"/>
        <v>51.568253219857787</v>
      </c>
      <c r="AG6042" s="2">
        <f ca="1"/>
        <v>0.85160334686568673</v>
      </c>
      <c r="AH6042" s="2" t="str">
        <f ca="1"/>
        <v>Bad</v>
      </c>
    </row>
    <row r="6043" spans="2:34">
      <c r="B6043" s="2">
        <f ca="1"/>
        <v>0.53510026670808353</v>
      </c>
      <c r="O6043" s="2">
        <f ca="1"/>
        <v>-0.70521460831690774</v>
      </c>
      <c r="X6043" s="2">
        <f ca="1"/>
        <v>48.720578122269245</v>
      </c>
      <c r="AG6043" s="2">
        <f ca="1"/>
        <v>0.27793281650629398</v>
      </c>
      <c r="AH6043" s="2" t="str">
        <f ca="1"/>
        <v>OK</v>
      </c>
    </row>
    <row r="6044" spans="2:34">
      <c r="B6044" s="2">
        <f ca="1"/>
        <v>0.99923163034803886</v>
      </c>
      <c r="O6044" s="2">
        <f ca="1"/>
        <v>-0.99171895430109702</v>
      </c>
      <c r="X6044" s="2">
        <f ca="1"/>
        <v>41.824046231737171</v>
      </c>
      <c r="AG6044" s="2">
        <f ca="1"/>
        <v>0.29876798391207604</v>
      </c>
      <c r="AH6044" s="2" t="str">
        <f ca="1"/>
        <v>OK</v>
      </c>
    </row>
    <row r="6045" spans="2:34">
      <c r="B6045" s="2">
        <f ca="1"/>
        <v>0.97472612336482678</v>
      </c>
      <c r="O6045" s="2">
        <f ca="1"/>
        <v>0.1740481017918174</v>
      </c>
      <c r="X6045" s="2">
        <f ca="1"/>
        <v>41.228976777969216</v>
      </c>
      <c r="AG6045" s="2">
        <f ca="1"/>
        <v>0.29509464508183569</v>
      </c>
      <c r="AH6045" s="2" t="str">
        <f ca="1"/>
        <v>OK</v>
      </c>
    </row>
    <row r="6046" spans="2:34">
      <c r="B6046" s="2">
        <f ca="1"/>
        <v>0.60762885167914238</v>
      </c>
      <c r="O6046" s="2">
        <f ca="1"/>
        <v>-0.47286803065605809</v>
      </c>
      <c r="X6046" s="2">
        <f ca="1"/>
        <v>92.523173274539246</v>
      </c>
      <c r="AG6046" s="2">
        <f ca="1"/>
        <v>0.97701262169124892</v>
      </c>
      <c r="AH6046" s="2" t="str">
        <f ca="1"/>
        <v>Bad</v>
      </c>
    </row>
    <row r="6047" spans="2:34">
      <c r="B6047" s="2">
        <f ca="1"/>
        <v>0.27741689155770621</v>
      </c>
      <c r="O6047" s="2">
        <f ca="1"/>
        <v>0.91817173926561702</v>
      </c>
      <c r="X6047" s="2">
        <f ca="1"/>
        <v>35.565028714635716</v>
      </c>
      <c r="AG6047" s="2">
        <f ca="1"/>
        <v>0.60492620537903941</v>
      </c>
      <c r="AH6047" s="2" t="str">
        <f ca="1"/>
        <v>Bad</v>
      </c>
    </row>
    <row r="6048" spans="2:34">
      <c r="B6048" s="2">
        <f ca="1"/>
        <v>0.11598803618746301</v>
      </c>
      <c r="O6048" s="2">
        <f ca="1"/>
        <v>-1.0107129638620649</v>
      </c>
      <c r="X6048" s="2">
        <f ca="1"/>
        <v>45.347171484817039</v>
      </c>
      <c r="AG6048" s="2">
        <f ca="1"/>
        <v>0.80253262396679359</v>
      </c>
      <c r="AH6048" s="2" t="str">
        <f ca="1"/>
        <v>Bad</v>
      </c>
    </row>
    <row r="6049" spans="2:34">
      <c r="B6049" s="2">
        <f ca="1"/>
        <v>0.51907534581808279</v>
      </c>
      <c r="O6049" s="2">
        <f ca="1"/>
        <v>-0.33115225429632728</v>
      </c>
      <c r="X6049" s="2">
        <f ca="1"/>
        <v>74.856714208225497</v>
      </c>
      <c r="AG6049" s="2">
        <f ca="1"/>
        <v>0.18826491895075415</v>
      </c>
      <c r="AH6049" s="2" t="str">
        <f ca="1"/>
        <v>OK</v>
      </c>
    </row>
    <row r="6050" spans="2:34">
      <c r="B6050" s="2">
        <f ca="1"/>
        <v>0.7366183278645646</v>
      </c>
      <c r="O6050" s="2">
        <f ca="1"/>
        <v>0.7872595641813781</v>
      </c>
      <c r="X6050" s="2">
        <f ca="1"/>
        <v>74.094763857481539</v>
      </c>
      <c r="AG6050" s="2">
        <f ca="1"/>
        <v>0.53314844634160319</v>
      </c>
      <c r="AH6050" s="2" t="str">
        <f ca="1"/>
        <v>Bad</v>
      </c>
    </row>
    <row r="6051" spans="2:34">
      <c r="B6051" s="2">
        <f ca="1"/>
        <v>0.70231005107717426</v>
      </c>
      <c r="O6051" s="2">
        <f ca="1"/>
        <v>-1.9706629134203728</v>
      </c>
      <c r="X6051" s="2">
        <f ca="1"/>
        <v>46.117540503120161</v>
      </c>
      <c r="AG6051" s="2">
        <f ca="1"/>
        <v>0.27991195713030015</v>
      </c>
      <c r="AH6051" s="2" t="str">
        <f ca="1"/>
        <v>OK</v>
      </c>
    </row>
    <row r="6052" spans="2:34">
      <c r="B6052" s="2">
        <f ca="1"/>
        <v>0.27943845026082292</v>
      </c>
      <c r="O6052" s="2">
        <f ca="1"/>
        <v>1.4004005124207415</v>
      </c>
      <c r="X6052" s="2">
        <f ca="1"/>
        <v>38.654340530916649</v>
      </c>
      <c r="AG6052" s="2">
        <f ca="1"/>
        <v>0.25257033855713162</v>
      </c>
      <c r="AH6052" s="2" t="str">
        <f ca="1"/>
        <v>OK</v>
      </c>
    </row>
    <row r="6053" spans="2:34">
      <c r="B6053" s="2">
        <f ca="1"/>
        <v>0.60845583790586977</v>
      </c>
      <c r="O6053" s="2">
        <f ca="1"/>
        <v>-0.50188276338763882</v>
      </c>
      <c r="X6053" s="2">
        <f ca="1"/>
        <v>61.17421023286893</v>
      </c>
      <c r="AG6053" s="2">
        <f ca="1"/>
        <v>0.17656309394290837</v>
      </c>
      <c r="AH6053" s="2" t="str">
        <f ca="1"/>
        <v>OK</v>
      </c>
    </row>
    <row r="6054" spans="2:34">
      <c r="B6054" s="2">
        <f ca="1"/>
        <v>5.2255825477921514E-2</v>
      </c>
      <c r="O6054" s="2">
        <f ca="1"/>
        <v>-0.49379789709008681</v>
      </c>
      <c r="X6054" s="2">
        <f ca="1"/>
        <v>42.906416068682219</v>
      </c>
      <c r="AG6054" s="2">
        <f ca="1"/>
        <v>6.4173012622256165E-2</v>
      </c>
      <c r="AH6054" s="2" t="str">
        <f ca="1"/>
        <v>OK</v>
      </c>
    </row>
    <row r="6055" spans="2:34">
      <c r="B6055" s="2">
        <f ca="1"/>
        <v>0.16778035682595016</v>
      </c>
      <c r="O6055" s="2">
        <f ca="1"/>
        <v>-1.6090151067209151</v>
      </c>
      <c r="X6055" s="2">
        <f ca="1"/>
        <v>68.2473118674706</v>
      </c>
      <c r="AG6055" s="2">
        <f ca="1"/>
        <v>0.78083961502630705</v>
      </c>
      <c r="AH6055" s="2" t="str">
        <f ca="1"/>
        <v>Bad</v>
      </c>
    </row>
    <row r="6056" spans="2:34">
      <c r="B6056" s="2">
        <f ca="1"/>
        <v>0.93217452222972819</v>
      </c>
      <c r="O6056" s="2">
        <f ca="1"/>
        <v>-0.3990624557549261</v>
      </c>
      <c r="X6056" s="2">
        <f ca="1"/>
        <v>37.281527074553566</v>
      </c>
      <c r="AG6056" s="2">
        <f ca="1"/>
        <v>0.51245812634866494</v>
      </c>
      <c r="AH6056" s="2" t="str">
        <f ca="1"/>
        <v>Bad</v>
      </c>
    </row>
    <row r="6057" spans="2:34">
      <c r="B6057" s="2">
        <f ca="1"/>
        <v>0.51363696495630817</v>
      </c>
      <c r="O6057" s="2">
        <f ca="1"/>
        <v>-1.6824658743624132</v>
      </c>
      <c r="X6057" s="2">
        <f ca="1"/>
        <v>34.475639024897255</v>
      </c>
      <c r="AG6057" s="2">
        <f ca="1"/>
        <v>0.25743360449430219</v>
      </c>
      <c r="AH6057" s="2" t="str">
        <f ca="1"/>
        <v>OK</v>
      </c>
    </row>
    <row r="6058" spans="2:34">
      <c r="B6058" s="2">
        <f ca="1"/>
        <v>0.21298791047907017</v>
      </c>
      <c r="O6058" s="2">
        <f ca="1"/>
        <v>-1.0892287427553156</v>
      </c>
      <c r="X6058" s="2">
        <f ca="1"/>
        <v>45.892392002864142</v>
      </c>
      <c r="AG6058" s="2">
        <f ca="1"/>
        <v>0.52329130269002588</v>
      </c>
      <c r="AH6058" s="2" t="str">
        <f ca="1"/>
        <v>Bad</v>
      </c>
    </row>
    <row r="6059" spans="2:34">
      <c r="B6059" s="2">
        <f ca="1"/>
        <v>0.72530847664879428</v>
      </c>
      <c r="O6059" s="2">
        <f ca="1"/>
        <v>-0.1948714007707793</v>
      </c>
      <c r="X6059" s="2">
        <f ca="1"/>
        <v>54.430214420307657</v>
      </c>
      <c r="AG6059" s="2">
        <f ca="1"/>
        <v>0.99944862782401889</v>
      </c>
      <c r="AH6059" s="2" t="str">
        <f ca="1"/>
        <v>Bad</v>
      </c>
    </row>
    <row r="6060" spans="2:34">
      <c r="B6060" s="2">
        <f ca="1"/>
        <v>0.21022795217178758</v>
      </c>
      <c r="O6060" s="2">
        <f ca="1"/>
        <v>-1.7855561847285044</v>
      </c>
      <c r="X6060" s="2">
        <f ca="1"/>
        <v>33.70640925253867</v>
      </c>
      <c r="AG6060" s="2">
        <f ca="1"/>
        <v>0.38273460496165135</v>
      </c>
      <c r="AH6060" s="2" t="str">
        <f ca="1"/>
        <v>OK</v>
      </c>
    </row>
    <row r="6061" spans="2:34">
      <c r="B6061" s="2">
        <f ca="1"/>
        <v>0.15336474090424201</v>
      </c>
      <c r="O6061" s="2">
        <f ca="1"/>
        <v>0.86131981064586516</v>
      </c>
      <c r="X6061" s="2">
        <f ca="1"/>
        <v>41.265081051840099</v>
      </c>
      <c r="AG6061" s="2">
        <f ca="1"/>
        <v>0.4910853145468641</v>
      </c>
      <c r="AH6061" s="2" t="str">
        <f ca="1"/>
        <v>Bad</v>
      </c>
    </row>
    <row r="6062" spans="2:34">
      <c r="B6062" s="2">
        <f ca="1"/>
        <v>6.8406957863286877E-2</v>
      </c>
      <c r="O6062" s="2">
        <f ca="1"/>
        <v>-1.3096112904723127</v>
      </c>
      <c r="X6062" s="2">
        <f ca="1"/>
        <v>63.530477813308551</v>
      </c>
      <c r="AG6062" s="2">
        <f ca="1"/>
        <v>5.3413422377696085E-2</v>
      </c>
      <c r="AH6062" s="2" t="str">
        <f ca="1"/>
        <v>OK</v>
      </c>
    </row>
    <row r="6063" spans="2:34">
      <c r="B6063" s="2">
        <f ca="1"/>
        <v>0.67970453603007597</v>
      </c>
      <c r="O6063" s="2">
        <f ca="1"/>
        <v>1.7802787281765535</v>
      </c>
      <c r="X6063" s="2">
        <f ca="1"/>
        <v>44.820620911140132</v>
      </c>
      <c r="AG6063" s="2">
        <f ca="1"/>
        <v>0.97464059785376467</v>
      </c>
      <c r="AH6063" s="2" t="str">
        <f ca="1"/>
        <v>Bad</v>
      </c>
    </row>
    <row r="6064" spans="2:34">
      <c r="B6064" s="2">
        <f ca="1"/>
        <v>0.94283681520880092</v>
      </c>
      <c r="O6064" s="2">
        <f ca="1"/>
        <v>-2.1880928768342449</v>
      </c>
      <c r="X6064" s="2">
        <f ca="1"/>
        <v>58.978057834445003</v>
      </c>
      <c r="AG6064" s="2">
        <f ca="1"/>
        <v>3.124678321089247E-2</v>
      </c>
      <c r="AH6064" s="2" t="str">
        <f ca="1"/>
        <v>Good</v>
      </c>
    </row>
    <row r="6065" spans="2:34">
      <c r="B6065" s="2">
        <f ca="1"/>
        <v>0.9892431910326962</v>
      </c>
      <c r="O6065" s="2">
        <f ca="1"/>
        <v>-1.0258711174235997</v>
      </c>
      <c r="X6065" s="2">
        <f ca="1"/>
        <v>52.511893071279104</v>
      </c>
      <c r="AG6065" s="2">
        <f ca="1"/>
        <v>0.10095051721332093</v>
      </c>
      <c r="AH6065" s="2" t="str">
        <f ca="1"/>
        <v>OK</v>
      </c>
    </row>
    <row r="6066" spans="2:34">
      <c r="B6066" s="2">
        <f ca="1"/>
        <v>0.8641067218997478</v>
      </c>
      <c r="O6066" s="2">
        <f ca="1"/>
        <v>0.85725236166593777</v>
      </c>
      <c r="X6066" s="2">
        <f ca="1"/>
        <v>36.989464867960585</v>
      </c>
      <c r="AG6066" s="2">
        <f ca="1"/>
        <v>0.99236321520079152</v>
      </c>
      <c r="AH6066" s="2" t="str">
        <f ca="1"/>
        <v>Bad</v>
      </c>
    </row>
    <row r="6067" spans="2:34">
      <c r="B6067" s="2">
        <f ca="1"/>
        <v>0.11874337139259028</v>
      </c>
      <c r="O6067" s="2">
        <f ca="1"/>
        <v>0.28384883621560814</v>
      </c>
      <c r="X6067" s="2">
        <f ca="1"/>
        <v>49.3249809293185</v>
      </c>
      <c r="AG6067" s="2">
        <f ca="1"/>
        <v>0.65083508775220755</v>
      </c>
      <c r="AH6067" s="2" t="str">
        <f ca="1"/>
        <v>Bad</v>
      </c>
    </row>
    <row r="6068" spans="2:34">
      <c r="B6068" s="2">
        <f ca="1"/>
        <v>4.1658483662340595E-2</v>
      </c>
      <c r="O6068" s="2">
        <f ca="1"/>
        <v>0.70320642944553136</v>
      </c>
      <c r="X6068" s="2">
        <f ca="1"/>
        <v>44.652218907616458</v>
      </c>
      <c r="AG6068" s="2">
        <f ca="1"/>
        <v>0.84252299733042757</v>
      </c>
      <c r="AH6068" s="2" t="str">
        <f ca="1"/>
        <v>Bad</v>
      </c>
    </row>
    <row r="6069" spans="2:34">
      <c r="B6069" s="2">
        <f ca="1"/>
        <v>0.83104553710397933</v>
      </c>
      <c r="O6069" s="2">
        <f ca="1"/>
        <v>0.88685609850349101</v>
      </c>
      <c r="X6069" s="2">
        <f ca="1"/>
        <v>64.707417669372205</v>
      </c>
      <c r="AG6069" s="2">
        <f ca="1"/>
        <v>0.14740575234662323</v>
      </c>
      <c r="AH6069" s="2" t="str">
        <f ca="1"/>
        <v>OK</v>
      </c>
    </row>
    <row r="6070" spans="2:34">
      <c r="B6070" s="2">
        <f ca="1"/>
        <v>0.48496138165349678</v>
      </c>
      <c r="O6070" s="2">
        <f ca="1"/>
        <v>-1.1323212377710778E-2</v>
      </c>
      <c r="X6070" s="2">
        <f ca="1"/>
        <v>52.128402298335516</v>
      </c>
      <c r="AG6070" s="2">
        <f ca="1"/>
        <v>0.88378567653479312</v>
      </c>
      <c r="AH6070" s="2" t="str">
        <f ca="1"/>
        <v>Bad</v>
      </c>
    </row>
    <row r="6071" spans="2:34">
      <c r="B6071" s="2">
        <f ca="1"/>
        <v>0.7150024292197783</v>
      </c>
      <c r="O6071" s="2">
        <f ca="1"/>
        <v>0.26429000888682402</v>
      </c>
      <c r="X6071" s="2">
        <f ca="1"/>
        <v>79.625894275561663</v>
      </c>
      <c r="AG6071" s="2">
        <f ca="1"/>
        <v>0.8745571033096744</v>
      </c>
      <c r="AH6071" s="2" t="str">
        <f ca="1"/>
        <v>Bad</v>
      </c>
    </row>
    <row r="6072" spans="2:34">
      <c r="B6072" s="2">
        <f ca="1"/>
        <v>5.4770115957553989E-2</v>
      </c>
      <c r="O6072" s="2">
        <f ca="1"/>
        <v>-0.34237948194411405</v>
      </c>
      <c r="X6072" s="2">
        <f ca="1"/>
        <v>57.414875988102423</v>
      </c>
      <c r="AG6072" s="2">
        <f ca="1"/>
        <v>6.5080056081112003E-2</v>
      </c>
      <c r="AH6072" s="2" t="str">
        <f ca="1"/>
        <v>OK</v>
      </c>
    </row>
    <row r="6073" spans="2:34">
      <c r="B6073" s="2">
        <f ca="1"/>
        <v>0.93221586781140653</v>
      </c>
      <c r="O6073" s="2">
        <f ca="1"/>
        <v>-1.2036059570379387</v>
      </c>
      <c r="X6073" s="2">
        <f ca="1"/>
        <v>55.677271956956233</v>
      </c>
      <c r="AG6073" s="2">
        <f ca="1"/>
        <v>0.15659447426513595</v>
      </c>
      <c r="AH6073" s="2" t="str">
        <f ca="1"/>
        <v>OK</v>
      </c>
    </row>
    <row r="6074" spans="2:34">
      <c r="B6074" s="2">
        <f ca="1"/>
        <v>0.61026819977177027</v>
      </c>
      <c r="O6074" s="2">
        <f ca="1"/>
        <v>0.59196267899058563</v>
      </c>
      <c r="X6074" s="2">
        <f ca="1"/>
        <v>70.228458741635805</v>
      </c>
      <c r="AG6074" s="2">
        <f ca="1"/>
        <v>0.48311532336616647</v>
      </c>
      <c r="AH6074" s="2" t="str">
        <f ca="1"/>
        <v>Bad</v>
      </c>
    </row>
    <row r="6075" spans="2:34">
      <c r="B6075" s="2">
        <f ca="1"/>
        <v>0.94012954692218109</v>
      </c>
      <c r="O6075" s="2">
        <f ca="1"/>
        <v>-1.152614022660666</v>
      </c>
      <c r="X6075" s="2">
        <f ca="1"/>
        <v>39.429451418087559</v>
      </c>
      <c r="AG6075" s="2">
        <f ca="1"/>
        <v>1.7542229722562031E-2</v>
      </c>
      <c r="AH6075" s="2" t="str">
        <f ca="1"/>
        <v>Good</v>
      </c>
    </row>
    <row r="6076" spans="2:34">
      <c r="B6076" s="2">
        <f ca="1"/>
        <v>0.12401001858550709</v>
      </c>
      <c r="O6076" s="2">
        <f ca="1"/>
        <v>-0.95922721865450589</v>
      </c>
      <c r="X6076" s="2">
        <f ca="1"/>
        <v>31.571494787537674</v>
      </c>
      <c r="AG6076" s="2">
        <f ca="1"/>
        <v>0.73936724220756234</v>
      </c>
      <c r="AH6076" s="2" t="str">
        <f ca="1"/>
        <v>Bad</v>
      </c>
    </row>
    <row r="6077" spans="2:34">
      <c r="B6077" s="2">
        <f ca="1"/>
        <v>0.93815988618653789</v>
      </c>
      <c r="O6077" s="2">
        <f ca="1"/>
        <v>-0.46887268489881218</v>
      </c>
      <c r="X6077" s="2">
        <f ca="1"/>
        <v>46.840593091265738</v>
      </c>
      <c r="AG6077" s="2">
        <f ca="1"/>
        <v>0.93019660488828881</v>
      </c>
      <c r="AH6077" s="2" t="str">
        <f ca="1"/>
        <v>Bad</v>
      </c>
    </row>
    <row r="6078" spans="2:34">
      <c r="B6078" s="2">
        <f ca="1"/>
        <v>0.71708764250655355</v>
      </c>
      <c r="O6078" s="2">
        <f ca="1"/>
        <v>1.6697593710251306</v>
      </c>
      <c r="X6078" s="2">
        <f ca="1"/>
        <v>55.941761957094357</v>
      </c>
      <c r="AG6078" s="2">
        <f ca="1"/>
        <v>0.23864968507295603</v>
      </c>
      <c r="AH6078" s="2" t="str">
        <f ca="1"/>
        <v>OK</v>
      </c>
    </row>
    <row r="6079" spans="2:34">
      <c r="B6079" s="2">
        <f ca="1"/>
        <v>0.93482962871105912</v>
      </c>
      <c r="O6079" s="2">
        <f ca="1"/>
        <v>0.13371486832846127</v>
      </c>
      <c r="X6079" s="2">
        <f ca="1"/>
        <v>19.183503069975124</v>
      </c>
      <c r="AG6079" s="2">
        <f ca="1"/>
        <v>0.53767492067102696</v>
      </c>
      <c r="AH6079" s="2" t="str">
        <f ca="1"/>
        <v>Bad</v>
      </c>
    </row>
    <row r="6080" spans="2:34">
      <c r="B6080" s="2">
        <f ca="1"/>
        <v>0.84293020937878738</v>
      </c>
      <c r="O6080" s="2">
        <f ca="1"/>
        <v>1.1326818938467751</v>
      </c>
      <c r="X6080" s="2">
        <f ca="1"/>
        <v>44.637519089470828</v>
      </c>
      <c r="AG6080" s="2">
        <f ca="1"/>
        <v>0.83306261263018633</v>
      </c>
      <c r="AH6080" s="2" t="str">
        <f ca="1"/>
        <v>Bad</v>
      </c>
    </row>
    <row r="6081" spans="2:34">
      <c r="B6081" s="2">
        <f ca="1"/>
        <v>0.2774358449302925</v>
      </c>
      <c r="O6081" s="2">
        <f ca="1"/>
        <v>-1.0762001661034124</v>
      </c>
      <c r="X6081" s="2">
        <f ca="1"/>
        <v>58.534549939304277</v>
      </c>
      <c r="AG6081" s="2">
        <f ca="1"/>
        <v>0.60168577006503043</v>
      </c>
      <c r="AH6081" s="2" t="str">
        <f ca="1"/>
        <v>Bad</v>
      </c>
    </row>
    <row r="6082" spans="2:34">
      <c r="B6082" s="2">
        <f ca="1"/>
        <v>0.94080113149583866</v>
      </c>
      <c r="O6082" s="2">
        <f ca="1"/>
        <v>-0.71247575492916493</v>
      </c>
      <c r="X6082" s="2">
        <f ca="1"/>
        <v>43.669910068020272</v>
      </c>
      <c r="AG6082" s="2">
        <f ca="1"/>
        <v>0.77423757136108584</v>
      </c>
      <c r="AH6082" s="2" t="str">
        <f ca="1"/>
        <v>Bad</v>
      </c>
    </row>
    <row r="6083" spans="2:34">
      <c r="B6083" s="2">
        <f ca="1"/>
        <v>0.67097507804522927</v>
      </c>
      <c r="O6083" s="2">
        <f ca="1"/>
        <v>-0.93699469248622091</v>
      </c>
      <c r="X6083" s="2">
        <f ca="1"/>
        <v>41.701322049626995</v>
      </c>
      <c r="AG6083" s="2">
        <f ca="1"/>
        <v>0.45538321727345488</v>
      </c>
      <c r="AH6083" s="2" t="str">
        <f ca="1"/>
        <v>Bad</v>
      </c>
    </row>
    <row r="6084" spans="2:34">
      <c r="B6084" s="2">
        <f ca="1"/>
        <v>9.3631987568093544E-2</v>
      </c>
      <c r="O6084" s="2">
        <f ca="1"/>
        <v>2.2061165036023227</v>
      </c>
      <c r="X6084" s="2">
        <f ca="1"/>
        <v>58.295737905363517</v>
      </c>
      <c r="AG6084" s="2">
        <f ca="1"/>
        <v>0.79651508962493955</v>
      </c>
      <c r="AH6084" s="2" t="str">
        <f ca="1"/>
        <v>Bad</v>
      </c>
    </row>
    <row r="6085" spans="2:34">
      <c r="B6085" s="2">
        <f ca="1"/>
        <v>0.13870830338802742</v>
      </c>
      <c r="O6085" s="2">
        <f ca="1"/>
        <v>-0.2303341534483006</v>
      </c>
      <c r="X6085" s="2">
        <f ca="1"/>
        <v>45.138266333335089</v>
      </c>
      <c r="AG6085" s="2">
        <f ca="1"/>
        <v>0.53110573419050944</v>
      </c>
      <c r="AH6085" s="2" t="str">
        <f ca="1"/>
        <v>Bad</v>
      </c>
    </row>
    <row r="6086" spans="2:34">
      <c r="B6086" s="2">
        <f ca="1"/>
        <v>0.27162070372149061</v>
      </c>
      <c r="O6086" s="2">
        <f ca="1"/>
        <v>0.90785282761673614</v>
      </c>
      <c r="X6086" s="2">
        <f ca="1"/>
        <v>51.77569617915556</v>
      </c>
      <c r="AG6086" s="2">
        <f ca="1"/>
        <v>0.58944216473898114</v>
      </c>
      <c r="AH6086" s="2" t="str">
        <f ca="1"/>
        <v>Bad</v>
      </c>
    </row>
    <row r="6087" spans="2:34">
      <c r="B6087" s="2">
        <f ca="1"/>
        <v>0.27907209882919926</v>
      </c>
      <c r="O6087" s="2">
        <f ca="1"/>
        <v>-0.49810521542108344</v>
      </c>
      <c r="X6087" s="2">
        <f ca="1"/>
        <v>59.557041396072862</v>
      </c>
      <c r="AG6087" s="2">
        <f ca="1"/>
        <v>0.2766091474834167</v>
      </c>
      <c r="AH6087" s="2" t="str">
        <f ca="1"/>
        <v>OK</v>
      </c>
    </row>
    <row r="6088" spans="2:34">
      <c r="B6088" s="2">
        <f ca="1"/>
        <v>0.58134383209623186</v>
      </c>
      <c r="O6088" s="2">
        <f ca="1"/>
        <v>1.1413991041803957</v>
      </c>
      <c r="X6088" s="2">
        <f ca="1"/>
        <v>33.672387019716737</v>
      </c>
      <c r="AG6088" s="2">
        <f ca="1"/>
        <v>0.78717942164871624</v>
      </c>
      <c r="AH6088" s="2" t="str">
        <f ca="1"/>
        <v>Bad</v>
      </c>
    </row>
    <row r="6089" spans="2:34">
      <c r="B6089" s="2">
        <f ca="1"/>
        <v>0.97468647344159676</v>
      </c>
      <c r="O6089" s="2">
        <f ca="1"/>
        <v>5.6823827688606216E-3</v>
      </c>
      <c r="X6089" s="2">
        <f ca="1"/>
        <v>36.774234616715923</v>
      </c>
      <c r="AG6089" s="2">
        <f ca="1"/>
        <v>0.93382881712085952</v>
      </c>
      <c r="AH6089" s="2" t="str">
        <f ca="1"/>
        <v>Bad</v>
      </c>
    </row>
    <row r="6090" spans="2:34">
      <c r="B6090" s="2">
        <f ca="1"/>
        <v>4.3302452689130577E-2</v>
      </c>
      <c r="O6090" s="2">
        <f ca="1"/>
        <v>0.69820845034304091</v>
      </c>
      <c r="X6090" s="2">
        <f ca="1"/>
        <v>47.654089992161268</v>
      </c>
      <c r="AG6090" s="2">
        <f ca="1"/>
        <v>0.32773042182882617</v>
      </c>
      <c r="AH6090" s="2" t="str">
        <f ca="1"/>
        <v>OK</v>
      </c>
    </row>
    <row r="6091" spans="2:34">
      <c r="B6091" s="2">
        <f ca="1"/>
        <v>0.24907170467173589</v>
      </c>
      <c r="O6091" s="2">
        <f ca="1"/>
        <v>0.7230791340601237</v>
      </c>
      <c r="X6091" s="2">
        <f ca="1"/>
        <v>64.753674586005744</v>
      </c>
      <c r="AG6091" s="2">
        <f ca="1"/>
        <v>0.38358898276772813</v>
      </c>
      <c r="AH6091" s="2" t="str">
        <f ca="1"/>
        <v>OK</v>
      </c>
    </row>
    <row r="6092" spans="2:34">
      <c r="B6092" s="2">
        <f ca="1"/>
        <v>1.5982825484268215E-2</v>
      </c>
      <c r="O6092" s="2">
        <f ca="1"/>
        <v>-8.1358788145551128E-2</v>
      </c>
      <c r="X6092" s="2">
        <f ca="1"/>
        <v>60.546061060161946</v>
      </c>
      <c r="AG6092" s="2">
        <f ca="1"/>
        <v>0.33901147523584019</v>
      </c>
      <c r="AH6092" s="2" t="str">
        <f ca="1"/>
        <v>OK</v>
      </c>
    </row>
    <row r="6093" spans="2:34">
      <c r="B6093" s="2">
        <f ca="1"/>
        <v>0.16371640799962339</v>
      </c>
      <c r="O6093" s="2">
        <f ca="1"/>
        <v>0.94100666077645978</v>
      </c>
      <c r="X6093" s="2">
        <f ca="1"/>
        <v>63.598681842496148</v>
      </c>
      <c r="AG6093" s="2">
        <f ca="1"/>
        <v>9.5962497831254101E-2</v>
      </c>
      <c r="AH6093" s="2" t="str">
        <f ca="1"/>
        <v>OK</v>
      </c>
    </row>
    <row r="6094" spans="2:34">
      <c r="B6094" s="2">
        <f ca="1"/>
        <v>0.99099034093998739</v>
      </c>
      <c r="O6094" s="2">
        <f ca="1"/>
        <v>-0.53584374926889045</v>
      </c>
      <c r="X6094" s="2">
        <f ca="1"/>
        <v>33.151653992886111</v>
      </c>
      <c r="AG6094" s="2">
        <f ca="1"/>
        <v>0.73714433142721236</v>
      </c>
      <c r="AH6094" s="2" t="str">
        <f ca="1"/>
        <v>Bad</v>
      </c>
    </row>
    <row r="6095" spans="2:34">
      <c r="B6095" s="2">
        <f ca="1"/>
        <v>0.67755914866561073</v>
      </c>
      <c r="O6095" s="2">
        <f ca="1"/>
        <v>0.12767710846726188</v>
      </c>
      <c r="X6095" s="2">
        <f ca="1"/>
        <v>45.449064577210628</v>
      </c>
      <c r="AG6095" s="2">
        <f ca="1"/>
        <v>1.9258036279484969E-2</v>
      </c>
      <c r="AH6095" s="2" t="str">
        <f ca="1"/>
        <v>Good</v>
      </c>
    </row>
    <row r="6096" spans="2:34">
      <c r="B6096" s="2">
        <f ca="1"/>
        <v>0.41062551076623399</v>
      </c>
      <c r="O6096" s="2">
        <f ca="1"/>
        <v>0.67627257041644173</v>
      </c>
      <c r="X6096" s="2">
        <f ca="1"/>
        <v>44.351759380440853</v>
      </c>
      <c r="AG6096" s="2">
        <f ca="1"/>
        <v>0.81985081896018475</v>
      </c>
      <c r="AH6096" s="2" t="str">
        <f ca="1"/>
        <v>Bad</v>
      </c>
    </row>
    <row r="6097" spans="2:34">
      <c r="B6097" s="2">
        <f ca="1"/>
        <v>0.27130541444199552</v>
      </c>
      <c r="O6097" s="2">
        <f ca="1"/>
        <v>-0.12541381806587346</v>
      </c>
      <c r="X6097" s="2">
        <f ca="1"/>
        <v>46.932741357226249</v>
      </c>
      <c r="AG6097" s="2">
        <f ca="1"/>
        <v>0.50257672276176835</v>
      </c>
      <c r="AH6097" s="2" t="str">
        <f ca="1"/>
        <v>Bad</v>
      </c>
    </row>
    <row r="6098" spans="2:34">
      <c r="B6098" s="2">
        <f ca="1"/>
        <v>0.83595829888896667</v>
      </c>
      <c r="O6098" s="2">
        <f ca="1"/>
        <v>1.1539776461433471</v>
      </c>
      <c r="X6098" s="2">
        <f ca="1"/>
        <v>40.559498541170825</v>
      </c>
      <c r="AG6098" s="2">
        <f ca="1"/>
        <v>0.6763213812686768</v>
      </c>
      <c r="AH6098" s="2" t="str">
        <f ca="1"/>
        <v>Bad</v>
      </c>
    </row>
    <row r="6099" spans="2:34">
      <c r="B6099" s="2">
        <f ca="1"/>
        <v>0.10112377627199276</v>
      </c>
      <c r="O6099" s="2">
        <f ca="1"/>
        <v>-9.1434805310736139E-2</v>
      </c>
      <c r="X6099" s="2">
        <f ca="1"/>
        <v>37.456091426742134</v>
      </c>
      <c r="AG6099" s="2">
        <f ca="1"/>
        <v>0.80815979823447748</v>
      </c>
      <c r="AH6099" s="2" t="str">
        <f ca="1"/>
        <v>Bad</v>
      </c>
    </row>
    <row r="6100" spans="2:34">
      <c r="B6100" s="2">
        <f ca="1"/>
        <v>0.10801685540527939</v>
      </c>
      <c r="O6100" s="2">
        <f ca="1"/>
        <v>-1.4935998056970929</v>
      </c>
      <c r="X6100" s="2">
        <f ca="1"/>
        <v>60.563299023954315</v>
      </c>
      <c r="AG6100" s="2">
        <f ca="1"/>
        <v>0.51873710956541053</v>
      </c>
      <c r="AH6100" s="2" t="str">
        <f ca="1"/>
        <v>Bad</v>
      </c>
    </row>
    <row r="6101" spans="2:34">
      <c r="B6101" s="2">
        <f ca="1"/>
        <v>0.83293941613526723</v>
      </c>
      <c r="O6101" s="2">
        <f ca="1"/>
        <v>-1.3733185645433115</v>
      </c>
      <c r="X6101" s="2">
        <f ca="1"/>
        <v>50.422441213626684</v>
      </c>
      <c r="AG6101" s="2">
        <f ca="1"/>
        <v>0.34224858957443671</v>
      </c>
      <c r="AH6101" s="2" t="str">
        <f ca="1"/>
        <v>OK</v>
      </c>
    </row>
    <row r="6102" spans="2:34">
      <c r="B6102" s="2">
        <f ca="1"/>
        <v>0.21254404551759487</v>
      </c>
      <c r="O6102" s="2">
        <f ca="1"/>
        <v>1.0533515126997464</v>
      </c>
      <c r="X6102" s="2">
        <f ca="1"/>
        <v>34.279477372407158</v>
      </c>
      <c r="AG6102" s="2">
        <f ca="1"/>
        <v>0.39949371291202107</v>
      </c>
      <c r="AH6102" s="2" t="str">
        <f ca="1"/>
        <v>OK</v>
      </c>
    </row>
    <row r="6103" spans="2:34">
      <c r="B6103" s="2">
        <f ca="1"/>
        <v>0.58552191786677299</v>
      </c>
      <c r="O6103" s="2">
        <f ca="1"/>
        <v>2.3140089153229266</v>
      </c>
      <c r="X6103" s="2">
        <f ca="1"/>
        <v>43.777641038139272</v>
      </c>
      <c r="AG6103" s="2">
        <f ca="1"/>
        <v>0.73996350561838309</v>
      </c>
      <c r="AH6103" s="2" t="str">
        <f ca="1"/>
        <v>Bad</v>
      </c>
    </row>
    <row r="6104" spans="2:34">
      <c r="B6104" s="2">
        <f ca="1"/>
        <v>0.2217795354367178</v>
      </c>
      <c r="O6104" s="2">
        <f ca="1"/>
        <v>1.3574092376178704</v>
      </c>
      <c r="X6104" s="2">
        <f ca="1"/>
        <v>44.768753984454548</v>
      </c>
      <c r="AG6104" s="2">
        <f ca="1"/>
        <v>0.60811091860888555</v>
      </c>
      <c r="AH6104" s="2" t="str">
        <f ca="1"/>
        <v>Bad</v>
      </c>
    </row>
    <row r="6105" spans="2:34">
      <c r="B6105" s="2">
        <f ca="1"/>
        <v>0.42104850672881522</v>
      </c>
      <c r="O6105" s="2">
        <f ca="1"/>
        <v>-0.75909262266054234</v>
      </c>
      <c r="X6105" s="2">
        <f ca="1"/>
        <v>61.412054013147078</v>
      </c>
      <c r="AG6105" s="2">
        <f ca="1"/>
        <v>0.2672643111841857</v>
      </c>
      <c r="AH6105" s="2" t="str">
        <f ca="1"/>
        <v>OK</v>
      </c>
    </row>
    <row r="6106" spans="2:34">
      <c r="B6106" s="2">
        <f ca="1"/>
        <v>0.36820858893006481</v>
      </c>
      <c r="O6106" s="2">
        <f ca="1"/>
        <v>0.54045020415011114</v>
      </c>
      <c r="X6106" s="2">
        <f ca="1"/>
        <v>53.114140057119243</v>
      </c>
      <c r="AG6106" s="2">
        <f ca="1"/>
        <v>0.48022240653888604</v>
      </c>
      <c r="AH6106" s="2" t="str">
        <f ca="1"/>
        <v>Bad</v>
      </c>
    </row>
    <row r="6107" spans="2:34">
      <c r="B6107" s="2">
        <f ca="1"/>
        <v>0.23815538426940353</v>
      </c>
      <c r="O6107" s="2">
        <f ca="1"/>
        <v>-0.56451487809422429</v>
      </c>
      <c r="X6107" s="2">
        <f ca="1"/>
        <v>28.1402692606062</v>
      </c>
      <c r="AG6107" s="2">
        <f ca="1"/>
        <v>0.14179932168360443</v>
      </c>
      <c r="AH6107" s="2" t="str">
        <f ca="1"/>
        <v>OK</v>
      </c>
    </row>
    <row r="6108" spans="2:34">
      <c r="B6108" s="2">
        <f ca="1"/>
        <v>4.6035730707634226E-2</v>
      </c>
      <c r="O6108" s="2">
        <f ca="1"/>
        <v>-0.88598458900456334</v>
      </c>
      <c r="X6108" s="2">
        <f ca="1"/>
        <v>43.075985574888847</v>
      </c>
      <c r="AG6108" s="2">
        <f ca="1"/>
        <v>0.43025104380149215</v>
      </c>
      <c r="AH6108" s="2" t="str">
        <f ca="1"/>
        <v>Bad</v>
      </c>
    </row>
    <row r="6109" spans="2:34">
      <c r="B6109" s="2">
        <f ca="1"/>
        <v>0.84973041037745212</v>
      </c>
      <c r="O6109" s="2">
        <f ca="1"/>
        <v>-2.0168756913655175</v>
      </c>
      <c r="X6109" s="2">
        <f ca="1"/>
        <v>63.94092316102109</v>
      </c>
      <c r="AG6109" s="2">
        <f ca="1"/>
        <v>0.92626217181666215</v>
      </c>
      <c r="AH6109" s="2" t="str">
        <f ca="1"/>
        <v>Bad</v>
      </c>
    </row>
    <row r="6110" spans="2:34">
      <c r="B6110" s="2">
        <f ca="1"/>
        <v>0.6941051562510161</v>
      </c>
      <c r="O6110" s="2">
        <f ca="1"/>
        <v>-0.25864270888747226</v>
      </c>
      <c r="X6110" s="2">
        <f ca="1"/>
        <v>65.405016271510718</v>
      </c>
      <c r="AG6110" s="2">
        <f ca="1"/>
        <v>0.2546793296778016</v>
      </c>
      <c r="AH6110" s="2" t="str">
        <f ca="1"/>
        <v>OK</v>
      </c>
    </row>
    <row r="6111" spans="2:34">
      <c r="B6111" s="2">
        <f ca="1"/>
        <v>0.54288422740988085</v>
      </c>
      <c r="O6111" s="2">
        <f ca="1"/>
        <v>-0.25831491734662121</v>
      </c>
      <c r="X6111" s="2">
        <f ca="1"/>
        <v>49.922621020886815</v>
      </c>
      <c r="AG6111" s="2">
        <f ca="1"/>
        <v>0.19462183771442976</v>
      </c>
      <c r="AH6111" s="2" t="str">
        <f ca="1"/>
        <v>OK</v>
      </c>
    </row>
    <row r="6112" spans="2:34">
      <c r="B6112" s="2">
        <f ca="1"/>
        <v>0.10100858101327193</v>
      </c>
      <c r="O6112" s="2">
        <f ca="1"/>
        <v>-0.94346144986825053</v>
      </c>
      <c r="X6112" s="2">
        <f ca="1"/>
        <v>28.737635067867352</v>
      </c>
      <c r="AG6112" s="2">
        <f ca="1"/>
        <v>0.81500146871141244</v>
      </c>
      <c r="AH6112" s="2" t="str">
        <f ca="1"/>
        <v>Bad</v>
      </c>
    </row>
    <row r="6113" spans="2:34">
      <c r="B6113" s="2">
        <f ca="1"/>
        <v>0.64242950684359412</v>
      </c>
      <c r="O6113" s="2">
        <f ca="1"/>
        <v>-0.41674650262693919</v>
      </c>
      <c r="X6113" s="2">
        <f ca="1"/>
        <v>48.916012844985026</v>
      </c>
      <c r="AG6113" s="2">
        <f ca="1"/>
        <v>0.20764360863841103</v>
      </c>
      <c r="AH6113" s="2" t="str">
        <f ca="1"/>
        <v>OK</v>
      </c>
    </row>
    <row r="6114" spans="2:34">
      <c r="B6114" s="2">
        <f ca="1"/>
        <v>4.5602791034335288E-2</v>
      </c>
      <c r="O6114" s="2">
        <f ca="1"/>
        <v>-2.2969642833056247</v>
      </c>
      <c r="X6114" s="2">
        <f ca="1"/>
        <v>49.218937976531016</v>
      </c>
      <c r="AG6114" s="2">
        <f ca="1"/>
        <v>0.18799730613437005</v>
      </c>
      <c r="AH6114" s="2" t="str">
        <f ca="1"/>
        <v>OK</v>
      </c>
    </row>
    <row r="6115" spans="2:34">
      <c r="B6115" s="2">
        <f ca="1"/>
        <v>0.31491842941350567</v>
      </c>
      <c r="O6115" s="2">
        <f ca="1"/>
        <v>-2.1159797537980571</v>
      </c>
      <c r="X6115" s="2">
        <f ca="1"/>
        <v>92.576239205542237</v>
      </c>
      <c r="AG6115" s="2">
        <f ca="1"/>
        <v>0.74612037552734889</v>
      </c>
      <c r="AH6115" s="2" t="str">
        <f ca="1"/>
        <v>Bad</v>
      </c>
    </row>
    <row r="6116" spans="2:34">
      <c r="B6116" s="2">
        <f ca="1"/>
        <v>0.57980251810435113</v>
      </c>
      <c r="O6116" s="2">
        <f ca="1"/>
        <v>1.6224648163298458</v>
      </c>
      <c r="X6116" s="2">
        <f ca="1"/>
        <v>91.186008880504886</v>
      </c>
      <c r="AG6116" s="2">
        <f ca="1"/>
        <v>0.70578170720088274</v>
      </c>
      <c r="AH6116" s="2" t="str">
        <f ca="1"/>
        <v>Bad</v>
      </c>
    </row>
    <row r="6117" spans="2:34">
      <c r="B6117" s="2">
        <f ca="1"/>
        <v>0.12359935729583604</v>
      </c>
      <c r="O6117" s="2">
        <f ca="1"/>
        <v>-0.87718484325240009</v>
      </c>
      <c r="X6117" s="2">
        <f ca="1"/>
        <v>52.33364971893554</v>
      </c>
      <c r="AG6117" s="2">
        <f ca="1"/>
        <v>0.75751535087113075</v>
      </c>
      <c r="AH6117" s="2" t="str">
        <f ca="1"/>
        <v>Bad</v>
      </c>
    </row>
    <row r="6118" spans="2:34">
      <c r="B6118" s="2">
        <f ca="1"/>
        <v>0.44974859651887833</v>
      </c>
      <c r="O6118" s="2">
        <f ca="1"/>
        <v>0.76681015724747847</v>
      </c>
      <c r="X6118" s="2">
        <f ca="1"/>
        <v>54.428261139470138</v>
      </c>
      <c r="AG6118" s="2">
        <f ca="1"/>
        <v>4.3562366408328668E-2</v>
      </c>
      <c r="AH6118" s="2" t="str">
        <f ca="1"/>
        <v>Good</v>
      </c>
    </row>
    <row r="6119" spans="2:34">
      <c r="B6119" s="2">
        <f ca="1"/>
        <v>0.6821930414804338</v>
      </c>
      <c r="O6119" s="2">
        <f ca="1"/>
        <v>-2.1795670590568594</v>
      </c>
      <c r="X6119" s="2">
        <f ca="1"/>
        <v>38.204699958799722</v>
      </c>
      <c r="AG6119" s="2">
        <f ca="1"/>
        <v>1.2780716381338486E-2</v>
      </c>
      <c r="AH6119" s="2" t="str">
        <f ca="1"/>
        <v>Good</v>
      </c>
    </row>
    <row r="6120" spans="2:34">
      <c r="B6120" s="2">
        <f ca="1"/>
        <v>0.10399181395261237</v>
      </c>
      <c r="O6120" s="2">
        <f ca="1"/>
        <v>-0.26631061694329844</v>
      </c>
      <c r="X6120" s="2">
        <f ca="1"/>
        <v>34.582177020653958</v>
      </c>
      <c r="AG6120" s="2">
        <f ca="1"/>
        <v>0.9493056555049415</v>
      </c>
      <c r="AH6120" s="2" t="str">
        <f ca="1"/>
        <v>Bad</v>
      </c>
    </row>
    <row r="6121" spans="2:34">
      <c r="B6121" s="2">
        <f ca="1"/>
        <v>0.25595756704154704</v>
      </c>
      <c r="O6121" s="2">
        <f ca="1"/>
        <v>-0.44746517374720512</v>
      </c>
      <c r="X6121" s="2">
        <f ca="1"/>
        <v>51.843667969564542</v>
      </c>
      <c r="AG6121" s="2">
        <f ca="1"/>
        <v>0.69182575475102492</v>
      </c>
      <c r="AH6121" s="2" t="str">
        <f ca="1"/>
        <v>Bad</v>
      </c>
    </row>
    <row r="6122" spans="2:34">
      <c r="B6122" s="2">
        <f ca="1"/>
        <v>0.34674239914159055</v>
      </c>
      <c r="O6122" s="2">
        <f ca="1"/>
        <v>1.4876474892610245</v>
      </c>
      <c r="X6122" s="2">
        <f ca="1"/>
        <v>67.557516186947822</v>
      </c>
      <c r="AG6122" s="2">
        <f ca="1"/>
        <v>0.6817069511000402</v>
      </c>
      <c r="AH6122" s="2" t="str">
        <f ca="1"/>
        <v>Bad</v>
      </c>
    </row>
    <row r="6123" spans="2:34">
      <c r="B6123" s="2">
        <f ca="1"/>
        <v>0.25304638752565878</v>
      </c>
      <c r="O6123" s="2">
        <f ca="1"/>
        <v>-1.2872704371751145</v>
      </c>
      <c r="X6123" s="2">
        <f ca="1"/>
        <v>47.357580911717704</v>
      </c>
      <c r="AG6123" s="2">
        <f ca="1"/>
        <v>0.16471608701869678</v>
      </c>
      <c r="AH6123" s="2" t="str">
        <f ca="1"/>
        <v>OK</v>
      </c>
    </row>
    <row r="6124" spans="2:34">
      <c r="B6124" s="2">
        <f ca="1"/>
        <v>0.56645335170433508</v>
      </c>
      <c r="O6124" s="2">
        <f ca="1"/>
        <v>-6.6025409055211801E-2</v>
      </c>
      <c r="X6124" s="2">
        <f ca="1"/>
        <v>58.864757896483447</v>
      </c>
      <c r="AG6124" s="2">
        <f ca="1"/>
        <v>0.59564427134208442</v>
      </c>
      <c r="AH6124" s="2" t="str">
        <f ca="1"/>
        <v>Bad</v>
      </c>
    </row>
    <row r="6125" spans="2:34">
      <c r="B6125" s="2">
        <f ca="1"/>
        <v>4.564052019120135E-2</v>
      </c>
      <c r="O6125" s="2">
        <f ca="1"/>
        <v>-0.58455559934068724</v>
      </c>
      <c r="X6125" s="2">
        <f ca="1"/>
        <v>26.162271918122148</v>
      </c>
      <c r="AG6125" s="2">
        <f ca="1"/>
        <v>0.66797659144054888</v>
      </c>
      <c r="AH6125" s="2" t="str">
        <f ca="1"/>
        <v>Bad</v>
      </c>
    </row>
    <row r="6126" spans="2:34">
      <c r="B6126" s="2">
        <f ca="1"/>
        <v>0.76746088098095511</v>
      </c>
      <c r="O6126" s="2">
        <f ca="1"/>
        <v>2.0551761682490652</v>
      </c>
      <c r="X6126" s="2">
        <f ca="1"/>
        <v>60.468817469624696</v>
      </c>
      <c r="AG6126" s="2">
        <f ca="1"/>
        <v>0.13982758050607025</v>
      </c>
      <c r="AH6126" s="2" t="str">
        <f ca="1"/>
        <v>OK</v>
      </c>
    </row>
    <row r="6127" spans="2:34">
      <c r="B6127" s="2">
        <f ca="1"/>
        <v>0.21489372488746783</v>
      </c>
      <c r="O6127" s="2">
        <f ca="1"/>
        <v>0.6715588855976945</v>
      </c>
      <c r="X6127" s="2">
        <f ca="1"/>
        <v>55.46977260853555</v>
      </c>
      <c r="AG6127" s="2">
        <f ca="1"/>
        <v>0.3608256457689718</v>
      </c>
      <c r="AH6127" s="2" t="str">
        <f ca="1"/>
        <v>OK</v>
      </c>
    </row>
    <row r="6128" spans="2:34">
      <c r="B6128" s="2">
        <f ca="1"/>
        <v>0.76557644317669893</v>
      </c>
      <c r="O6128" s="2">
        <f ca="1"/>
        <v>-0.24460103146467488</v>
      </c>
      <c r="X6128" s="2">
        <f ca="1"/>
        <v>43.205903739575504</v>
      </c>
      <c r="AG6128" s="2">
        <f ca="1"/>
        <v>0.48536875752623732</v>
      </c>
      <c r="AH6128" s="2" t="str">
        <f ca="1"/>
        <v>Bad</v>
      </c>
    </row>
    <row r="6129" spans="2:34">
      <c r="B6129" s="2">
        <f ca="1"/>
        <v>0.59406185272739109</v>
      </c>
      <c r="O6129" s="2">
        <f ca="1"/>
        <v>2.3250904782024389</v>
      </c>
      <c r="X6129" s="2">
        <f ca="1"/>
        <v>29.869880655290871</v>
      </c>
      <c r="AG6129" s="2">
        <f ca="1"/>
        <v>0.357793025289602</v>
      </c>
      <c r="AH6129" s="2" t="str">
        <f ca="1"/>
        <v>OK</v>
      </c>
    </row>
    <row r="6130" spans="2:34">
      <c r="B6130" s="2">
        <f ca="1"/>
        <v>0.42758029132545716</v>
      </c>
      <c r="O6130" s="2">
        <f ca="1"/>
        <v>1.2934589769079978</v>
      </c>
      <c r="X6130" s="2">
        <f ca="1"/>
        <v>42.220726373328041</v>
      </c>
      <c r="AG6130" s="2">
        <f ca="1"/>
        <v>0.22467438755643454</v>
      </c>
      <c r="AH6130" s="2" t="str">
        <f ca="1"/>
        <v>OK</v>
      </c>
    </row>
    <row r="6131" spans="2:34">
      <c r="B6131" s="2">
        <f ca="1"/>
        <v>0.23493452655440961</v>
      </c>
      <c r="O6131" s="2">
        <f ca="1"/>
        <v>1.5667720465087749</v>
      </c>
      <c r="X6131" s="2">
        <f ca="1"/>
        <v>56.537928453535741</v>
      </c>
      <c r="AG6131" s="2">
        <f ca="1"/>
        <v>0.62705222072261901</v>
      </c>
      <c r="AH6131" s="2" t="str">
        <f ca="1"/>
        <v>Bad</v>
      </c>
    </row>
    <row r="6132" spans="2:34">
      <c r="B6132" s="2">
        <f ca="1"/>
        <v>0.88502830229109453</v>
      </c>
      <c r="O6132" s="2">
        <f ca="1"/>
        <v>-0.24506125150441069</v>
      </c>
      <c r="X6132" s="2">
        <f ca="1"/>
        <v>35.409619546589752</v>
      </c>
      <c r="AG6132" s="2">
        <f ca="1"/>
        <v>0.60084665288831784</v>
      </c>
      <c r="AH6132" s="2" t="str">
        <f ca="1"/>
        <v>Bad</v>
      </c>
    </row>
    <row r="6133" spans="2:34">
      <c r="B6133" s="2">
        <f ca="1"/>
        <v>0.2044543366953826</v>
      </c>
      <c r="O6133" s="2">
        <f ca="1"/>
        <v>-1.8688482916427163</v>
      </c>
      <c r="X6133" s="2">
        <f ca="1"/>
        <v>28.101377484477123</v>
      </c>
      <c r="AG6133" s="2">
        <f ca="1"/>
        <v>5.5963477657818839E-3</v>
      </c>
      <c r="AH6133" s="2" t="str">
        <f ca="1"/>
        <v>Good</v>
      </c>
    </row>
    <row r="6134" spans="2:34">
      <c r="B6134" s="2">
        <f ca="1"/>
        <v>0.72903915990150758</v>
      </c>
      <c r="O6134" s="2">
        <f ca="1"/>
        <v>0.19300785096820852</v>
      </c>
      <c r="X6134" s="2">
        <f ca="1"/>
        <v>29.712589736630125</v>
      </c>
      <c r="AG6134" s="2">
        <f ca="1"/>
        <v>0.48058812816548468</v>
      </c>
      <c r="AH6134" s="2" t="str">
        <f ca="1"/>
        <v>Bad</v>
      </c>
    </row>
    <row r="6135" spans="2:34">
      <c r="B6135" s="2">
        <f ca="1"/>
        <v>0.46126601567458381</v>
      </c>
      <c r="O6135" s="2">
        <f ca="1"/>
        <v>0.41274820295752485</v>
      </c>
      <c r="X6135" s="2">
        <f ca="1"/>
        <v>36.527699488215923</v>
      </c>
      <c r="AG6135" s="2">
        <f ca="1"/>
        <v>0.83468219774409413</v>
      </c>
      <c r="AH6135" s="2" t="str">
        <f ca="1"/>
        <v>Bad</v>
      </c>
    </row>
    <row r="6136" spans="2:34">
      <c r="B6136" s="2">
        <f ca="1"/>
        <v>9.9558149573635291E-3</v>
      </c>
      <c r="O6136" s="2">
        <f ca="1"/>
        <v>0.61168358111765309</v>
      </c>
      <c r="X6136" s="2">
        <f ca="1"/>
        <v>60.265135254299949</v>
      </c>
      <c r="AG6136" s="2">
        <f ca="1"/>
        <v>0.15638555515918662</v>
      </c>
      <c r="AH6136" s="2" t="str">
        <f ca="1"/>
        <v>OK</v>
      </c>
    </row>
    <row r="6137" spans="2:34">
      <c r="B6137" s="2">
        <f ca="1"/>
        <v>0.88102076460364764</v>
      </c>
      <c r="O6137" s="2">
        <f ca="1"/>
        <v>-1.4238716690069941</v>
      </c>
      <c r="X6137" s="2">
        <f ca="1"/>
        <v>51.136587485672095</v>
      </c>
      <c r="AG6137" s="2">
        <f ca="1"/>
        <v>0.32659750295278078</v>
      </c>
      <c r="AH6137" s="2" t="str">
        <f ca="1"/>
        <v>OK</v>
      </c>
    </row>
    <row r="6138" spans="2:34">
      <c r="B6138" s="2">
        <f ca="1"/>
        <v>0.18510526674349181</v>
      </c>
      <c r="O6138" s="2">
        <f ca="1"/>
        <v>0.19621345318040367</v>
      </c>
      <c r="X6138" s="2">
        <f ca="1"/>
        <v>49.044447562440823</v>
      </c>
      <c r="AG6138" s="2">
        <f ca="1"/>
        <v>0.12082566470415501</v>
      </c>
      <c r="AH6138" s="2" t="str">
        <f ca="1"/>
        <v>OK</v>
      </c>
    </row>
    <row r="6139" spans="2:34">
      <c r="B6139" s="2">
        <f ca="1"/>
        <v>0.32374651284504274</v>
      </c>
      <c r="O6139" s="2">
        <f ca="1"/>
        <v>-0.10208332253621791</v>
      </c>
      <c r="X6139" s="2">
        <f ca="1"/>
        <v>31.699948193821967</v>
      </c>
      <c r="AG6139" s="2">
        <f ca="1"/>
        <v>0.50749308136286175</v>
      </c>
      <c r="AH6139" s="2" t="str">
        <f ca="1"/>
        <v>Bad</v>
      </c>
    </row>
    <row r="6140" spans="2:34">
      <c r="B6140" s="2">
        <f ca="1"/>
        <v>0.82735617058156818</v>
      </c>
      <c r="O6140" s="2">
        <f ca="1"/>
        <v>-3.9373661325653377E-2</v>
      </c>
      <c r="X6140" s="2">
        <f ca="1"/>
        <v>30.120660238145174</v>
      </c>
      <c r="AG6140" s="2">
        <f ca="1"/>
        <v>0.23372433582804453</v>
      </c>
      <c r="AH6140" s="2" t="str">
        <f ca="1"/>
        <v>OK</v>
      </c>
    </row>
    <row r="6141" spans="2:34">
      <c r="B6141" s="2">
        <f ca="1"/>
        <v>0.69858795250926908</v>
      </c>
      <c r="O6141" s="2">
        <f ca="1"/>
        <v>-0.28181366094457649</v>
      </c>
      <c r="X6141" s="2">
        <f ca="1"/>
        <v>47.897779446678683</v>
      </c>
      <c r="AG6141" s="2">
        <f ca="1"/>
        <v>0.79031195377371</v>
      </c>
      <c r="AH6141" s="2" t="str">
        <f ca="1"/>
        <v>Bad</v>
      </c>
    </row>
    <row r="6142" spans="2:34">
      <c r="B6142" s="2">
        <f ca="1"/>
        <v>0.47801307466465071</v>
      </c>
      <c r="O6142" s="2">
        <f ca="1"/>
        <v>0.31705567830275422</v>
      </c>
      <c r="X6142" s="2">
        <f ca="1"/>
        <v>43.315203583861042</v>
      </c>
      <c r="AG6142" s="2">
        <f ca="1"/>
        <v>0.98776097164524645</v>
      </c>
      <c r="AH6142" s="2" t="str">
        <f ca="1"/>
        <v>Bad</v>
      </c>
    </row>
    <row r="6143" spans="2:34">
      <c r="B6143" s="2">
        <f ca="1"/>
        <v>0.87167161947990457</v>
      </c>
      <c r="O6143" s="2">
        <f ca="1"/>
        <v>0.88772491327107805</v>
      </c>
      <c r="X6143" s="2">
        <f ca="1"/>
        <v>34.533774943394874</v>
      </c>
      <c r="AG6143" s="2">
        <f ca="1"/>
        <v>0.4711349120919508</v>
      </c>
      <c r="AH6143" s="2" t="str">
        <f ca="1"/>
        <v>Bad</v>
      </c>
    </row>
    <row r="6144" spans="2:34">
      <c r="B6144" s="2">
        <f ca="1"/>
        <v>0.2806413343904901</v>
      </c>
      <c r="O6144" s="2">
        <f ca="1"/>
        <v>1.402052137012302</v>
      </c>
      <c r="X6144" s="2">
        <f ca="1"/>
        <v>77.783577791569741</v>
      </c>
      <c r="AG6144" s="2">
        <f ca="1"/>
        <v>0.78436260433752469</v>
      </c>
      <c r="AH6144" s="2" t="str">
        <f ca="1"/>
        <v>Bad</v>
      </c>
    </row>
    <row r="6145" spans="2:34">
      <c r="B6145" s="2">
        <f ca="1"/>
        <v>0.36619321094779789</v>
      </c>
      <c r="O6145" s="2">
        <f ca="1"/>
        <v>0.43497467135792262</v>
      </c>
      <c r="X6145" s="2">
        <f ca="1"/>
        <v>38.1993090724729</v>
      </c>
      <c r="AG6145" s="2">
        <f ca="1"/>
        <v>0.20377578198253921</v>
      </c>
      <c r="AH6145" s="2" t="str">
        <f ca="1"/>
        <v>OK</v>
      </c>
    </row>
    <row r="6146" spans="2:34">
      <c r="B6146" s="2">
        <f ca="1"/>
        <v>0.2160735238913587</v>
      </c>
      <c r="O6146" s="2">
        <f ca="1"/>
        <v>-0.43888811325277843</v>
      </c>
      <c r="X6146" s="2">
        <f ca="1"/>
        <v>65.727162110565956</v>
      </c>
      <c r="AG6146" s="2">
        <f ca="1"/>
        <v>0.17415555588263532</v>
      </c>
      <c r="AH6146" s="2" t="str">
        <f ca="1"/>
        <v>OK</v>
      </c>
    </row>
    <row r="6147" spans="2:34">
      <c r="B6147" s="2">
        <f ca="1"/>
        <v>0.43374061487224536</v>
      </c>
      <c r="O6147" s="2">
        <f ca="1"/>
        <v>-9.7753054150927568E-2</v>
      </c>
      <c r="X6147" s="2">
        <f ca="1"/>
        <v>79.1458912163733</v>
      </c>
      <c r="AG6147" s="2">
        <f ca="1"/>
        <v>0.55315149759560134</v>
      </c>
      <c r="AH6147" s="2" t="str">
        <f ca="1"/>
        <v>Bad</v>
      </c>
    </row>
    <row r="6148" spans="2:34">
      <c r="B6148" s="2">
        <f ca="1"/>
        <v>0.944718358853887</v>
      </c>
      <c r="O6148" s="2">
        <f ca="1"/>
        <v>-1.8960267405172253</v>
      </c>
      <c r="X6148" s="2">
        <f ca="1"/>
        <v>34.850536967438032</v>
      </c>
      <c r="AG6148" s="2">
        <f ca="1"/>
        <v>0.48497600477773828</v>
      </c>
      <c r="AH6148" s="2" t="str">
        <f ca="1"/>
        <v>Bad</v>
      </c>
    </row>
    <row r="6149" spans="2:34">
      <c r="B6149" s="2">
        <f ca="1"/>
        <v>0.27990058045533828</v>
      </c>
      <c r="O6149" s="2">
        <f ca="1"/>
        <v>-1.5376031583397576</v>
      </c>
      <c r="X6149" s="2">
        <f ca="1"/>
        <v>75.855331978856881</v>
      </c>
      <c r="AG6149" s="2">
        <f ca="1"/>
        <v>0.28119298604561371</v>
      </c>
      <c r="AH6149" s="2" t="str">
        <f ca="1"/>
        <v>OK</v>
      </c>
    </row>
    <row r="6150" spans="2:34">
      <c r="B6150" s="2">
        <f ca="1"/>
        <v>0.81401170846060644</v>
      </c>
      <c r="O6150" s="2">
        <f ca="1"/>
        <v>6.5272837570156422E-2</v>
      </c>
      <c r="X6150" s="2">
        <f ca="1"/>
        <v>60.455624913603472</v>
      </c>
      <c r="AG6150" s="2">
        <f ca="1"/>
        <v>0.9707317463792382</v>
      </c>
      <c r="AH6150" s="2" t="str">
        <f ca="1"/>
        <v>Bad</v>
      </c>
    </row>
    <row r="6151" spans="2:34">
      <c r="B6151" s="2">
        <f ca="1"/>
        <v>0.67416672052442039</v>
      </c>
      <c r="O6151" s="2">
        <f ca="1"/>
        <v>-0.95534823144642822</v>
      </c>
      <c r="X6151" s="2">
        <f ca="1"/>
        <v>25.609071545998191</v>
      </c>
      <c r="AG6151" s="2">
        <f ca="1"/>
        <v>0.50387209939082722</v>
      </c>
      <c r="AH6151" s="2" t="str">
        <f ca="1"/>
        <v>Bad</v>
      </c>
    </row>
    <row r="6152" spans="2:34">
      <c r="B6152" s="2">
        <f ca="1"/>
        <v>0.12695979017045311</v>
      </c>
      <c r="O6152" s="2">
        <f ca="1"/>
        <v>0.8241290301617511</v>
      </c>
      <c r="X6152" s="2">
        <f ca="1"/>
        <v>57.131897773183141</v>
      </c>
      <c r="AG6152" s="2">
        <f ca="1"/>
        <v>0.30197262586217799</v>
      </c>
      <c r="AH6152" s="2" t="str">
        <f ca="1"/>
        <v>OK</v>
      </c>
    </row>
    <row r="6153" spans="2:34">
      <c r="B6153" s="2">
        <f ca="1"/>
        <v>0.63041143118109866</v>
      </c>
      <c r="O6153" s="2">
        <f ca="1"/>
        <v>-1.7713117289328419</v>
      </c>
      <c r="X6153" s="2">
        <f ca="1"/>
        <v>37.549248191634149</v>
      </c>
      <c r="AG6153" s="2">
        <f ca="1"/>
        <v>0.73217264688259198</v>
      </c>
      <c r="AH6153" s="2" t="str">
        <f ca="1"/>
        <v>Bad</v>
      </c>
    </row>
    <row r="6154" spans="2:34">
      <c r="B6154" s="2">
        <f ca="1"/>
        <v>0.68221841223933133</v>
      </c>
      <c r="O6154" s="2">
        <f ca="1"/>
        <v>2.2905374608340643</v>
      </c>
      <c r="X6154" s="2">
        <f ca="1"/>
        <v>65.688040553769</v>
      </c>
      <c r="AG6154" s="2">
        <f ca="1"/>
        <v>0.73158836065473976</v>
      </c>
      <c r="AH6154" s="2" t="str">
        <f ca="1"/>
        <v>Bad</v>
      </c>
    </row>
    <row r="6155" spans="2:34">
      <c r="B6155" s="2">
        <f ca="1"/>
        <v>0.56493667543924864</v>
      </c>
      <c r="O6155" s="2">
        <f ca="1"/>
        <v>0.7057279849259197</v>
      </c>
      <c r="X6155" s="2">
        <f ca="1"/>
        <v>64.578979101804933</v>
      </c>
      <c r="AG6155" s="2">
        <f ca="1"/>
        <v>0.22848984153489571</v>
      </c>
      <c r="AH6155" s="2" t="str">
        <f ca="1"/>
        <v>OK</v>
      </c>
    </row>
    <row r="6156" spans="2:34">
      <c r="B6156" s="2">
        <f ca="1"/>
        <v>0.66193945441473678</v>
      </c>
      <c r="O6156" s="2">
        <f ca="1"/>
        <v>0.67926615368879961</v>
      </c>
      <c r="X6156" s="2">
        <f ca="1"/>
        <v>35.044565878296638</v>
      </c>
      <c r="AG6156" s="2">
        <f ca="1"/>
        <v>0.40319276431336881</v>
      </c>
      <c r="AH6156" s="2" t="str">
        <f ca="1"/>
        <v>Bad</v>
      </c>
    </row>
    <row r="6157" spans="2:34">
      <c r="B6157" s="2">
        <f ca="1"/>
        <v>0.36183767732396155</v>
      </c>
      <c r="O6157" s="2">
        <f ca="1"/>
        <v>-0.45416211333764106</v>
      </c>
      <c r="X6157" s="2">
        <f ca="1"/>
        <v>37.67640236110573</v>
      </c>
      <c r="AG6157" s="2">
        <f ca="1"/>
        <v>0.65286806900403738</v>
      </c>
      <c r="AH6157" s="2" t="str">
        <f ca="1"/>
        <v>Bad</v>
      </c>
    </row>
    <row r="6158" spans="2:34">
      <c r="B6158" s="2">
        <f ca="1"/>
        <v>0.35054016477198546</v>
      </c>
      <c r="O6158" s="2">
        <f ca="1"/>
        <v>0.52054754183141305</v>
      </c>
      <c r="X6158" s="2">
        <f ca="1"/>
        <v>64.774731933723359</v>
      </c>
      <c r="AG6158" s="2">
        <f ca="1"/>
        <v>0.67572692938842915</v>
      </c>
      <c r="AH6158" s="2" t="str">
        <f ca="1"/>
        <v>Bad</v>
      </c>
    </row>
    <row r="6159" spans="2:34">
      <c r="B6159" s="2">
        <f ca="1"/>
        <v>0.28335601286189194</v>
      </c>
      <c r="O6159" s="2">
        <f ca="1"/>
        <v>-5.402100649041388E-2</v>
      </c>
      <c r="X6159" s="2">
        <f ca="1"/>
        <v>54.706592660958925</v>
      </c>
      <c r="AG6159" s="2">
        <f ca="1"/>
        <v>0.82824629567702823</v>
      </c>
      <c r="AH6159" s="2" t="str">
        <f ca="1"/>
        <v>Bad</v>
      </c>
    </row>
    <row r="6160" spans="2:34">
      <c r="B6160" s="2">
        <f ca="1"/>
        <v>0.51098339469022491</v>
      </c>
      <c r="O6160" s="2">
        <f ca="1"/>
        <v>1.2400609595462304</v>
      </c>
      <c r="X6160" s="2">
        <f ca="1"/>
        <v>52.272092704231923</v>
      </c>
      <c r="AG6160" s="2">
        <f ca="1"/>
        <v>0.24687543888615271</v>
      </c>
      <c r="AH6160" s="2" t="str">
        <f ca="1"/>
        <v>OK</v>
      </c>
    </row>
    <row r="6161" spans="2:34">
      <c r="B6161" s="2">
        <f ca="1"/>
        <v>0.79263048859691154</v>
      </c>
      <c r="O6161" s="2">
        <f ca="1"/>
        <v>0.36533000738100091</v>
      </c>
      <c r="X6161" s="2">
        <f ca="1"/>
        <v>52.413239270697275</v>
      </c>
      <c r="AG6161" s="2">
        <f ca="1"/>
        <v>0.51171806792123076</v>
      </c>
      <c r="AH6161" s="2" t="str">
        <f ca="1"/>
        <v>Bad</v>
      </c>
    </row>
    <row r="6162" spans="2:34">
      <c r="B6162" s="2">
        <f ca="1"/>
        <v>0.76535163676083706</v>
      </c>
      <c r="O6162" s="2">
        <f ca="1"/>
        <v>0.52165843129709732</v>
      </c>
      <c r="X6162" s="2">
        <f ca="1"/>
        <v>53.982978170848895</v>
      </c>
      <c r="AG6162" s="2">
        <f ca="1"/>
        <v>0.37040895442156119</v>
      </c>
      <c r="AH6162" s="2" t="str">
        <f ca="1"/>
        <v>OK</v>
      </c>
    </row>
    <row r="6163" spans="2:34">
      <c r="B6163" s="2">
        <f ca="1"/>
        <v>7.2255775793438337E-2</v>
      </c>
      <c r="O6163" s="2">
        <f ca="1"/>
        <v>-6.295221454002399E-2</v>
      </c>
      <c r="X6163" s="2">
        <f ca="1"/>
        <v>73.472234896351537</v>
      </c>
      <c r="AG6163" s="2">
        <f ca="1"/>
        <v>0.93296453074295438</v>
      </c>
      <c r="AH6163" s="2" t="str">
        <f ca="1"/>
        <v>Bad</v>
      </c>
    </row>
    <row r="6164" spans="2:34">
      <c r="B6164" s="2">
        <f ca="1"/>
        <v>0.33447568427726293</v>
      </c>
      <c r="O6164" s="2">
        <f ca="1"/>
        <v>8.2282860986052392E-2</v>
      </c>
      <c r="X6164" s="2">
        <f ca="1"/>
        <v>35.713336427081416</v>
      </c>
      <c r="AG6164" s="2">
        <f ca="1"/>
        <v>0.74027178567118823</v>
      </c>
      <c r="AH6164" s="2" t="str">
        <f ca="1"/>
        <v>Bad</v>
      </c>
    </row>
    <row r="6165" spans="2:34">
      <c r="B6165" s="2">
        <f ca="1"/>
        <v>0.15754212530214118</v>
      </c>
      <c r="O6165" s="2">
        <f ca="1"/>
        <v>1.6230821276267564</v>
      </c>
      <c r="X6165" s="2">
        <f ca="1"/>
        <v>38.238726902352013</v>
      </c>
      <c r="AG6165" s="2">
        <f ca="1"/>
        <v>0.37512389770586374</v>
      </c>
      <c r="AH6165" s="2" t="str">
        <f ca="1"/>
        <v>OK</v>
      </c>
    </row>
    <row r="6166" spans="2:34">
      <c r="B6166" s="2">
        <f ca="1"/>
        <v>0.87867312340791459</v>
      </c>
      <c r="O6166" s="2">
        <f ca="1"/>
        <v>-0.61782625039233852</v>
      </c>
      <c r="X6166" s="2">
        <f ca="1"/>
        <v>52.822722894652323</v>
      </c>
      <c r="AG6166" s="2">
        <f ca="1"/>
        <v>0.72316262993122971</v>
      </c>
      <c r="AH6166" s="2" t="str">
        <f ca="1"/>
        <v>Bad</v>
      </c>
    </row>
    <row r="6167" spans="2:34">
      <c r="B6167" s="2">
        <f ca="1"/>
        <v>0.23198104565611266</v>
      </c>
      <c r="O6167" s="2">
        <f ca="1"/>
        <v>-0.23822359858197995</v>
      </c>
      <c r="X6167" s="2">
        <f ca="1"/>
        <v>10.262007013431042</v>
      </c>
      <c r="AG6167" s="2">
        <f ca="1"/>
        <v>0.92895094825869085</v>
      </c>
      <c r="AH6167" s="2" t="str">
        <f ca="1"/>
        <v>Bad</v>
      </c>
    </row>
    <row r="6168" spans="2:34">
      <c r="B6168" s="2">
        <f ca="1"/>
        <v>0.85952710234865481</v>
      </c>
      <c r="O6168" s="2">
        <f ca="1"/>
        <v>1.3837500140923056</v>
      </c>
      <c r="X6168" s="2">
        <f ca="1"/>
        <v>75.678309737041744</v>
      </c>
      <c r="AG6168" s="2">
        <f ca="1"/>
        <v>0.89053456593776392</v>
      </c>
      <c r="AH6168" s="2" t="str">
        <f ca="1"/>
        <v>Bad</v>
      </c>
    </row>
    <row r="6169" spans="2:34">
      <c r="B6169" s="2">
        <f ca="1"/>
        <v>0.463420004825843</v>
      </c>
      <c r="O6169" s="2">
        <f ca="1"/>
        <v>0.70090109790356281</v>
      </c>
      <c r="X6169" s="2">
        <f ca="1"/>
        <v>57.693532914790268</v>
      </c>
      <c r="AG6169" s="2">
        <f ca="1"/>
        <v>0.1424167262183198</v>
      </c>
      <c r="AH6169" s="2" t="str">
        <f ca="1"/>
        <v>OK</v>
      </c>
    </row>
    <row r="6170" spans="2:34">
      <c r="B6170" s="2">
        <f ca="1"/>
        <v>0.89288618535410147</v>
      </c>
      <c r="O6170" s="2">
        <f ca="1"/>
        <v>-1.3979931427880985</v>
      </c>
      <c r="X6170" s="2">
        <f ca="1"/>
        <v>34.979309465038938</v>
      </c>
      <c r="AG6170" s="2">
        <f ca="1"/>
        <v>0.29382691153574214</v>
      </c>
      <c r="AH6170" s="2" t="str">
        <f ca="1"/>
        <v>OK</v>
      </c>
    </row>
    <row r="6171" spans="2:34">
      <c r="B6171" s="2">
        <f ca="1"/>
        <v>0.64165365232967297</v>
      </c>
      <c r="O6171" s="2">
        <f ca="1"/>
        <v>-0.18133112449971864</v>
      </c>
      <c r="X6171" s="2">
        <f ca="1"/>
        <v>43.178862645120503</v>
      </c>
      <c r="AG6171" s="2">
        <f ca="1"/>
        <v>0.74931646140206065</v>
      </c>
      <c r="AH6171" s="2" t="str">
        <f ca="1"/>
        <v>Bad</v>
      </c>
    </row>
    <row r="6172" spans="2:34">
      <c r="B6172" s="2">
        <f ca="1"/>
        <v>0.47262865809380616</v>
      </c>
      <c r="O6172" s="2">
        <f ca="1"/>
        <v>0.62899642767528319</v>
      </c>
      <c r="X6172" s="2">
        <f ca="1"/>
        <v>37.338457896442151</v>
      </c>
      <c r="AG6172" s="2">
        <f ca="1"/>
        <v>0.90333957675897225</v>
      </c>
      <c r="AH6172" s="2" t="str">
        <f ca="1"/>
        <v>Bad</v>
      </c>
    </row>
    <row r="6173" spans="2:34">
      <c r="B6173" s="2">
        <f ca="1"/>
        <v>0.71233885141840503</v>
      </c>
      <c r="O6173" s="2">
        <f ca="1"/>
        <v>-1.4857181162352988</v>
      </c>
      <c r="X6173" s="2">
        <f ca="1"/>
        <v>36.975556281696889</v>
      </c>
      <c r="AG6173" s="2">
        <f ca="1"/>
        <v>0.82292007953593016</v>
      </c>
      <c r="AH6173" s="2" t="str">
        <f ca="1"/>
        <v>Bad</v>
      </c>
    </row>
    <row r="6174" spans="2:34">
      <c r="B6174" s="2">
        <f ca="1"/>
        <v>0.27749197449068652</v>
      </c>
      <c r="O6174" s="2">
        <f ca="1"/>
        <v>1.7583107491688945</v>
      </c>
      <c r="X6174" s="2">
        <f ca="1"/>
        <v>47.670856513255693</v>
      </c>
      <c r="AG6174" s="2">
        <f ca="1"/>
        <v>0.69022917703043185</v>
      </c>
      <c r="AH6174" s="2" t="str">
        <f ca="1"/>
        <v>Bad</v>
      </c>
    </row>
    <row r="6175" spans="2:34">
      <c r="B6175" s="2">
        <f ca="1"/>
        <v>2.9488010214736571E-2</v>
      </c>
      <c r="O6175" s="2">
        <f ca="1"/>
        <v>1.3526368301294533</v>
      </c>
      <c r="X6175" s="2">
        <f ca="1"/>
        <v>23.982801463102859</v>
      </c>
      <c r="AG6175" s="2">
        <f ca="1"/>
        <v>0.12127820182345572</v>
      </c>
      <c r="AH6175" s="2" t="str">
        <f ca="1"/>
        <v>OK</v>
      </c>
    </row>
    <row r="6176" spans="2:34">
      <c r="B6176" s="2">
        <f ca="1"/>
        <v>0.49350082242711468</v>
      </c>
      <c r="O6176" s="2">
        <f ca="1"/>
        <v>-0.11293576411918846</v>
      </c>
      <c r="X6176" s="2">
        <f ca="1"/>
        <v>44.577446505460365</v>
      </c>
      <c r="AG6176" s="2">
        <f ca="1"/>
        <v>0.51782087650112962</v>
      </c>
      <c r="AH6176" s="2" t="str">
        <f ca="1"/>
        <v>Bad</v>
      </c>
    </row>
    <row r="6177" spans="2:34">
      <c r="B6177" s="2">
        <f ca="1"/>
        <v>0.58727273189009499</v>
      </c>
      <c r="O6177" s="2">
        <f ca="1"/>
        <v>0.8666773538712752</v>
      </c>
      <c r="X6177" s="2">
        <f ca="1"/>
        <v>69.45329383771147</v>
      </c>
      <c r="AG6177" s="2">
        <f ca="1"/>
        <v>0.67997583243727133</v>
      </c>
      <c r="AH6177" s="2" t="str">
        <f ca="1"/>
        <v>Bad</v>
      </c>
    </row>
    <row r="6178" spans="2:34">
      <c r="B6178" s="2">
        <f ca="1"/>
        <v>0.74008462225451566</v>
      </c>
      <c r="O6178" s="2">
        <f ca="1"/>
        <v>0.66153516082275465</v>
      </c>
      <c r="X6178" s="2">
        <f ca="1"/>
        <v>40.755917469171237</v>
      </c>
      <c r="AG6178" s="2">
        <f ca="1"/>
        <v>9.9695872295002319E-2</v>
      </c>
      <c r="AH6178" s="2" t="str">
        <f ca="1"/>
        <v>OK</v>
      </c>
    </row>
    <row r="6179" spans="2:34">
      <c r="B6179" s="2">
        <f ca="1"/>
        <v>8.5457284575822801E-2</v>
      </c>
      <c r="O6179" s="2">
        <f ca="1"/>
        <v>0.50549213734915432</v>
      </c>
      <c r="X6179" s="2">
        <f ca="1"/>
        <v>49.126882634673592</v>
      </c>
      <c r="AG6179" s="2">
        <f ca="1"/>
        <v>0.74915808601274869</v>
      </c>
      <c r="AH6179" s="2" t="str">
        <f ca="1"/>
        <v>Bad</v>
      </c>
    </row>
    <row r="6180" spans="2:34">
      <c r="B6180" s="2">
        <f ca="1"/>
        <v>0.88805893062972885</v>
      </c>
      <c r="O6180" s="2">
        <f ca="1"/>
        <v>-0.83801986479095858</v>
      </c>
      <c r="X6180" s="2">
        <f ca="1"/>
        <v>30.904205690195955</v>
      </c>
      <c r="AG6180" s="2">
        <f ca="1"/>
        <v>0.96604215132383597</v>
      </c>
      <c r="AH6180" s="2" t="str">
        <f ca="1"/>
        <v>Bad</v>
      </c>
    </row>
    <row r="6181" spans="2:34">
      <c r="B6181" s="2">
        <f ca="1"/>
        <v>0.46774228127211082</v>
      </c>
      <c r="O6181" s="2">
        <f ca="1"/>
        <v>-2.8640466524954108E-2</v>
      </c>
      <c r="X6181" s="2">
        <f ca="1"/>
        <v>33.35580585369393</v>
      </c>
      <c r="AG6181" s="2">
        <f ca="1"/>
        <v>0.38372545474231945</v>
      </c>
      <c r="AH6181" s="2" t="str">
        <f ca="1"/>
        <v>OK</v>
      </c>
    </row>
    <row r="6182" spans="2:34">
      <c r="B6182" s="2">
        <f ca="1"/>
        <v>0.18335948756231568</v>
      </c>
      <c r="O6182" s="2">
        <f ca="1"/>
        <v>1.0739837374429526</v>
      </c>
      <c r="X6182" s="2">
        <f ca="1"/>
        <v>64.864420361985523</v>
      </c>
      <c r="AG6182" s="2">
        <f ca="1"/>
        <v>0.82487650185845651</v>
      </c>
      <c r="AH6182" s="2" t="str">
        <f ca="1"/>
        <v>Bad</v>
      </c>
    </row>
    <row r="6183" spans="2:34">
      <c r="B6183" s="2">
        <f ca="1"/>
        <v>0.4242180625064691</v>
      </c>
      <c r="O6183" s="2">
        <f ca="1"/>
        <v>-5.4348679849853081E-2</v>
      </c>
      <c r="X6183" s="2">
        <f ca="1"/>
        <v>41.784056457805292</v>
      </c>
      <c r="AG6183" s="2">
        <f ca="1"/>
        <v>0.53589842861139037</v>
      </c>
      <c r="AH6183" s="2" t="str">
        <f ca="1"/>
        <v>Bad</v>
      </c>
    </row>
    <row r="6184" spans="2:34">
      <c r="B6184" s="2">
        <f ca="1"/>
        <v>0.97372208988075482</v>
      </c>
      <c r="O6184" s="2">
        <f ca="1"/>
        <v>0.521144406157524</v>
      </c>
      <c r="X6184" s="2">
        <f ca="1"/>
        <v>58.894585016630067</v>
      </c>
      <c r="AG6184" s="2">
        <f ca="1"/>
        <v>0.47707932199880432</v>
      </c>
      <c r="AH6184" s="2" t="str">
        <f ca="1"/>
        <v>Bad</v>
      </c>
    </row>
    <row r="6185" spans="2:34">
      <c r="B6185" s="2">
        <f ca="1"/>
        <v>0.13874025239030674</v>
      </c>
      <c r="O6185" s="2">
        <f ca="1"/>
        <v>9.0906692606333318E-3</v>
      </c>
      <c r="X6185" s="2">
        <f ca="1"/>
        <v>41.594281068887668</v>
      </c>
      <c r="AG6185" s="2">
        <f ca="1"/>
        <v>0.87177534599241646</v>
      </c>
      <c r="AH6185" s="2" t="str">
        <f ca="1"/>
        <v>Bad</v>
      </c>
    </row>
    <row r="6186" spans="2:34">
      <c r="B6186" s="2">
        <f ca="1"/>
        <v>0.19507588102341011</v>
      </c>
      <c r="O6186" s="2">
        <f ca="1"/>
        <v>1.4608885904315767</v>
      </c>
      <c r="X6186" s="2">
        <f ca="1"/>
        <v>46.767923953731803</v>
      </c>
      <c r="AG6186" s="2">
        <f ca="1"/>
        <v>0.12024361895025759</v>
      </c>
      <c r="AH6186" s="2" t="str">
        <f ca="1"/>
        <v>OK</v>
      </c>
    </row>
    <row r="6187" spans="2:34">
      <c r="B6187" s="2">
        <f ca="1"/>
        <v>0.177167275959351</v>
      </c>
      <c r="O6187" s="2">
        <f ca="1"/>
        <v>1.0142924392224695</v>
      </c>
      <c r="X6187" s="2">
        <f ca="1"/>
        <v>68.146460221645867</v>
      </c>
      <c r="AG6187" s="2">
        <f ca="1"/>
        <v>0.74502855637742504</v>
      </c>
      <c r="AH6187" s="2" t="str">
        <f ca="1"/>
        <v>Bad</v>
      </c>
    </row>
    <row r="6188" spans="2:34">
      <c r="B6188" s="2">
        <f ca="1"/>
        <v>0.2693844905723215</v>
      </c>
      <c r="O6188" s="2">
        <f ca="1"/>
        <v>0.67014040950234688</v>
      </c>
      <c r="X6188" s="2">
        <f ca="1"/>
        <v>80.316759296560178</v>
      </c>
      <c r="AG6188" s="2">
        <f ca="1"/>
        <v>0.76465444571074892</v>
      </c>
      <c r="AH6188" s="2" t="str">
        <f ca="1"/>
        <v>Bad</v>
      </c>
    </row>
    <row r="6189" spans="2:34">
      <c r="B6189" s="2">
        <f ca="1"/>
        <v>0.91947086512359766</v>
      </c>
      <c r="O6189" s="2">
        <f ca="1"/>
        <v>8.1130313535418802E-2</v>
      </c>
      <c r="X6189" s="2">
        <f ca="1"/>
        <v>68.085706631054293</v>
      </c>
      <c r="AG6189" s="2">
        <f ca="1"/>
        <v>0.49827483859781951</v>
      </c>
      <c r="AH6189" s="2" t="str">
        <f ca="1"/>
        <v>Bad</v>
      </c>
    </row>
    <row r="6190" spans="2:34">
      <c r="B6190" s="2">
        <f ca="1"/>
        <v>0.43167116409721817</v>
      </c>
      <c r="O6190" s="2">
        <f ca="1"/>
        <v>0.67155674675402821</v>
      </c>
      <c r="X6190" s="2">
        <f ca="1"/>
        <v>80.53915841376714</v>
      </c>
      <c r="AG6190" s="2">
        <f ca="1"/>
        <v>0.67787550251866668</v>
      </c>
      <c r="AH6190" s="2" t="str">
        <f ca="1"/>
        <v>Bad</v>
      </c>
    </row>
    <row r="6191" spans="2:34">
      <c r="B6191" s="2">
        <f ca="1"/>
        <v>0.16497743310409918</v>
      </c>
      <c r="O6191" s="2">
        <f ca="1"/>
        <v>0.70717437403147021</v>
      </c>
      <c r="X6191" s="2">
        <f ca="1"/>
        <v>87.921825191871349</v>
      </c>
      <c r="AG6191" s="2">
        <f ca="1"/>
        <v>9.3966802088795598E-2</v>
      </c>
      <c r="AH6191" s="2" t="str">
        <f ca="1"/>
        <v>OK</v>
      </c>
    </row>
    <row r="6192" spans="2:34">
      <c r="B6192" s="2">
        <f ca="1"/>
        <v>0.36880692043545427</v>
      </c>
      <c r="O6192" s="2">
        <f ca="1"/>
        <v>0.65634016666411443</v>
      </c>
      <c r="X6192" s="2">
        <f ca="1"/>
        <v>56.759386629951663</v>
      </c>
      <c r="AG6192" s="2">
        <f ca="1"/>
        <v>0.78816393343331503</v>
      </c>
      <c r="AH6192" s="2" t="str">
        <f ca="1"/>
        <v>Bad</v>
      </c>
    </row>
    <row r="6193" spans="2:34">
      <c r="B6193" s="2">
        <f ca="1"/>
        <v>0.88330813274584896</v>
      </c>
      <c r="O6193" s="2">
        <f ca="1"/>
        <v>-0.48091377837693328</v>
      </c>
      <c r="X6193" s="2">
        <f ca="1"/>
        <v>50.314102975095778</v>
      </c>
      <c r="AG6193" s="2">
        <f ca="1"/>
        <v>0.7808515512273364</v>
      </c>
      <c r="AH6193" s="2" t="str">
        <f ca="1"/>
        <v>Bad</v>
      </c>
    </row>
    <row r="6194" spans="2:34">
      <c r="B6194" s="2">
        <f ca="1"/>
        <v>0.9339764266443269</v>
      </c>
      <c r="O6194" s="2">
        <f ca="1"/>
        <v>-8.4088307631529371E-2</v>
      </c>
      <c r="X6194" s="2">
        <f ca="1"/>
        <v>77.048709279656848</v>
      </c>
      <c r="AG6194" s="2">
        <f ca="1"/>
        <v>5.8183804237857517E-2</v>
      </c>
      <c r="AH6194" s="2" t="str">
        <f ca="1"/>
        <v>OK</v>
      </c>
    </row>
    <row r="6195" spans="2:34">
      <c r="B6195" s="2">
        <f ca="1"/>
        <v>1.2102226289630424E-2</v>
      </c>
      <c r="O6195" s="2">
        <f ca="1"/>
        <v>-0.92201601350097206</v>
      </c>
      <c r="X6195" s="2">
        <f ca="1"/>
        <v>50.480884578679607</v>
      </c>
      <c r="AG6195" s="2">
        <f ca="1"/>
        <v>0.95211593938920869</v>
      </c>
      <c r="AH6195" s="2" t="str">
        <f ca="1"/>
        <v>Bad</v>
      </c>
    </row>
    <row r="6196" spans="2:34">
      <c r="B6196" s="2">
        <f ca="1"/>
        <v>0.74205724398415862</v>
      </c>
      <c r="O6196" s="2">
        <f ca="1"/>
        <v>1.1389325094961533</v>
      </c>
      <c r="X6196" s="2">
        <f ca="1"/>
        <v>52.766697601871059</v>
      </c>
      <c r="AG6196" s="2">
        <f ca="1"/>
        <v>0.46888760498199145</v>
      </c>
      <c r="AH6196" s="2" t="str">
        <f ca="1"/>
        <v>Bad</v>
      </c>
    </row>
    <row r="6197" spans="2:34">
      <c r="B6197" s="2">
        <f ca="1"/>
        <v>8.1004538450145436E-2</v>
      </c>
      <c r="O6197" s="2">
        <f ca="1"/>
        <v>-9.3278598183716616E-2</v>
      </c>
      <c r="X6197" s="2">
        <f ca="1"/>
        <v>25.916884225012176</v>
      </c>
      <c r="AG6197" s="2">
        <f ca="1"/>
        <v>0.46650935552527373</v>
      </c>
      <c r="AH6197" s="2" t="str">
        <f ca="1"/>
        <v>Bad</v>
      </c>
    </row>
    <row r="6198" spans="2:34">
      <c r="B6198" s="2">
        <f ca="1"/>
        <v>0.37348844834093597</v>
      </c>
      <c r="O6198" s="2">
        <f ca="1"/>
        <v>1.4199145591029292</v>
      </c>
      <c r="X6198" s="2">
        <f ca="1"/>
        <v>43.108276471861288</v>
      </c>
      <c r="AG6198" s="2">
        <f ca="1"/>
        <v>0.77042714802895063</v>
      </c>
      <c r="AH6198" s="2" t="str">
        <f ca="1"/>
        <v>Bad</v>
      </c>
    </row>
    <row r="6199" spans="2:34">
      <c r="B6199" s="2">
        <f ca="1"/>
        <v>0.71195235087456021</v>
      </c>
      <c r="O6199" s="2">
        <f ca="1"/>
        <v>-1.1909502751031971</v>
      </c>
      <c r="X6199" s="2">
        <f ca="1"/>
        <v>66.698804648423021</v>
      </c>
      <c r="AG6199" s="2">
        <f ca="1"/>
        <v>9.4000671851464546E-2</v>
      </c>
      <c r="AH6199" s="2" t="str">
        <f ca="1"/>
        <v>OK</v>
      </c>
    </row>
    <row r="6200" spans="2:34">
      <c r="B6200" s="2">
        <f ca="1"/>
        <v>0.24599819758664743</v>
      </c>
      <c r="O6200" s="2">
        <f ca="1"/>
        <v>0.22138804698788611</v>
      </c>
      <c r="X6200" s="2">
        <f ca="1"/>
        <v>68.855233857118549</v>
      </c>
      <c r="AG6200" s="2">
        <f ca="1"/>
        <v>0.68082368607463595</v>
      </c>
      <c r="AH6200" s="2" t="str">
        <f ca="1"/>
        <v>Bad</v>
      </c>
    </row>
    <row r="6201" spans="2:34">
      <c r="B6201" s="2">
        <f ca="1"/>
        <v>0.4512747097734382</v>
      </c>
      <c r="O6201" s="2">
        <f ca="1"/>
        <v>-0.18918468252687035</v>
      </c>
      <c r="X6201" s="2">
        <f ca="1"/>
        <v>33.133309657459023</v>
      </c>
      <c r="AG6201" s="2">
        <f ca="1"/>
        <v>0.18320449822595331</v>
      </c>
      <c r="AH6201" s="2" t="str">
        <f ca="1"/>
        <v>OK</v>
      </c>
    </row>
    <row r="6202" spans="2:34">
      <c r="B6202" s="2">
        <f ca="1"/>
        <v>0.14337724105470473</v>
      </c>
      <c r="O6202" s="2">
        <f ca="1"/>
        <v>0.72967703426859754</v>
      </c>
      <c r="X6202" s="2">
        <f ca="1"/>
        <v>59.59397172154992</v>
      </c>
      <c r="AG6202" s="2">
        <f ca="1"/>
        <v>0.99351286811497297</v>
      </c>
      <c r="AH6202" s="2" t="str">
        <f ca="1"/>
        <v>Bad</v>
      </c>
    </row>
    <row r="6203" spans="2:34">
      <c r="B6203" s="2">
        <f ca="1"/>
        <v>0.88743390495580066</v>
      </c>
      <c r="O6203" s="2">
        <f ca="1"/>
        <v>0.19139060445529962</v>
      </c>
      <c r="X6203" s="2">
        <f ca="1"/>
        <v>42.762536735607597</v>
      </c>
      <c r="AG6203" s="2">
        <f ca="1"/>
        <v>0.51197848318216743</v>
      </c>
      <c r="AH6203" s="2" t="str">
        <f ca="1"/>
        <v>Bad</v>
      </c>
    </row>
    <row r="6204" spans="2:34">
      <c r="B6204" s="2">
        <f ca="1"/>
        <v>0.96726070109349971</v>
      </c>
      <c r="O6204" s="2">
        <f ca="1"/>
        <v>0.55926430422393658</v>
      </c>
      <c r="X6204" s="2">
        <f ca="1"/>
        <v>50.425870312300283</v>
      </c>
      <c r="AG6204" s="2">
        <f ca="1"/>
        <v>0.79186511334668275</v>
      </c>
      <c r="AH6204" s="2" t="str">
        <f ca="1"/>
        <v>Bad</v>
      </c>
    </row>
    <row r="6205" spans="2:34">
      <c r="B6205" s="2">
        <f ca="1"/>
        <v>0.9817640323357022</v>
      </c>
      <c r="O6205" s="2">
        <f ca="1"/>
        <v>-0.21145765728006224</v>
      </c>
      <c r="X6205" s="2">
        <f ca="1"/>
        <v>47.761853985387347</v>
      </c>
      <c r="AG6205" s="2">
        <f ca="1"/>
        <v>0.2774440449941562</v>
      </c>
      <c r="AH6205" s="2" t="str">
        <f ca="1"/>
        <v>OK</v>
      </c>
    </row>
    <row r="6206" spans="2:34">
      <c r="B6206" s="2">
        <f ca="1"/>
        <v>0.60184870271927227</v>
      </c>
      <c r="O6206" s="2">
        <f ca="1"/>
        <v>1.6220587179834332</v>
      </c>
      <c r="X6206" s="2">
        <f ca="1"/>
        <v>46.378809847182453</v>
      </c>
      <c r="AG6206" s="2">
        <f ca="1"/>
        <v>0.30130082595540109</v>
      </c>
      <c r="AH6206" s="2" t="str">
        <f ca="1"/>
        <v>OK</v>
      </c>
    </row>
    <row r="6207" spans="2:34">
      <c r="B6207" s="2">
        <f ca="1"/>
        <v>0.27116259835322443</v>
      </c>
      <c r="O6207" s="2">
        <f ca="1"/>
        <v>1.9978247424787805</v>
      </c>
      <c r="X6207" s="2">
        <f ca="1"/>
        <v>54.754348042009504</v>
      </c>
      <c r="AG6207" s="2">
        <f ca="1"/>
        <v>0.21219324455049215</v>
      </c>
      <c r="AH6207" s="2" t="str">
        <f ca="1"/>
        <v>OK</v>
      </c>
    </row>
    <row r="6208" spans="2:34">
      <c r="B6208" s="2">
        <f ca="1"/>
        <v>0.33404348633305214</v>
      </c>
      <c r="O6208" s="2">
        <f ca="1"/>
        <v>-9.2968065226107556E-4</v>
      </c>
      <c r="X6208" s="2">
        <f ca="1"/>
        <v>46.265842518576498</v>
      </c>
      <c r="AG6208" s="2">
        <f ca="1"/>
        <v>0.27539432958966859</v>
      </c>
      <c r="AH6208" s="2" t="str">
        <f ca="1"/>
        <v>OK</v>
      </c>
    </row>
    <row r="6209" spans="2:34">
      <c r="B6209" s="2">
        <f ca="1"/>
        <v>8.3751652537721544E-2</v>
      </c>
      <c r="O6209" s="2">
        <f ca="1"/>
        <v>-1.6401161664496231</v>
      </c>
      <c r="X6209" s="2">
        <f ca="1"/>
        <v>35.189806444738693</v>
      </c>
      <c r="AG6209" s="2">
        <f ca="1"/>
        <v>0.8650155292441768</v>
      </c>
      <c r="AH6209" s="2" t="str">
        <f ca="1"/>
        <v>Bad</v>
      </c>
    </row>
    <row r="6210" spans="2:34">
      <c r="B6210" s="2">
        <f ca="1"/>
        <v>0.85987698795344203</v>
      </c>
      <c r="O6210" s="2">
        <f ca="1"/>
        <v>-0.91899373762206205</v>
      </c>
      <c r="X6210" s="2">
        <f ca="1"/>
        <v>55.093479533672173</v>
      </c>
      <c r="AG6210" s="2">
        <f ca="1"/>
        <v>0.93105594950231718</v>
      </c>
      <c r="AH6210" s="2" t="str">
        <f ca="1"/>
        <v>Bad</v>
      </c>
    </row>
    <row r="6211" spans="2:34">
      <c r="B6211" s="2">
        <f ca="1"/>
        <v>0.58307561128396568</v>
      </c>
      <c r="O6211" s="2">
        <f ca="1"/>
        <v>1.1454880368974956</v>
      </c>
      <c r="X6211" s="2">
        <f ca="1"/>
        <v>52.598838325481282</v>
      </c>
      <c r="AG6211" s="2">
        <f ca="1"/>
        <v>0.21325056858365632</v>
      </c>
      <c r="AH6211" s="2" t="str">
        <f ca="1"/>
        <v>OK</v>
      </c>
    </row>
    <row r="6212" spans="2:34">
      <c r="B6212" s="2">
        <f ca="1"/>
        <v>0.19238470123660112</v>
      </c>
      <c r="O6212" s="2">
        <f ca="1"/>
        <v>1.2561028543612196</v>
      </c>
      <c r="X6212" s="2">
        <f ca="1"/>
        <v>32.83592986599303</v>
      </c>
      <c r="AG6212" s="2">
        <f ca="1"/>
        <v>0.66304454559636206</v>
      </c>
      <c r="AH6212" s="2" t="str">
        <f ca="1"/>
        <v>Bad</v>
      </c>
    </row>
    <row r="6213" spans="2:34">
      <c r="B6213" s="2">
        <f ca="1"/>
        <v>0.38865027466687052</v>
      </c>
      <c r="O6213" s="2">
        <f ca="1"/>
        <v>-0.7044991994600226</v>
      </c>
      <c r="X6213" s="2">
        <f ca="1"/>
        <v>69.079598717546986</v>
      </c>
      <c r="AG6213" s="2">
        <f ca="1"/>
        <v>8.6431005566378838E-2</v>
      </c>
      <c r="AH6213" s="2" t="str">
        <f ca="1"/>
        <v>OK</v>
      </c>
    </row>
    <row r="6214" spans="2:34">
      <c r="B6214" s="2">
        <f ca="1"/>
        <v>0.4352655324614243</v>
      </c>
      <c r="O6214" s="2">
        <f ca="1"/>
        <v>0.82821763418175776</v>
      </c>
      <c r="X6214" s="2">
        <f ca="1"/>
        <v>38.636173764850085</v>
      </c>
      <c r="AG6214" s="2">
        <f ca="1"/>
        <v>0.62868232405663482</v>
      </c>
      <c r="AH6214" s="2" t="str">
        <f ca="1"/>
        <v>Bad</v>
      </c>
    </row>
    <row r="6215" spans="2:34">
      <c r="B6215" s="2">
        <f ca="1"/>
        <v>0.38652165429748941</v>
      </c>
      <c r="O6215" s="2">
        <f ca="1"/>
        <v>0.65672645268753793</v>
      </c>
      <c r="X6215" s="2">
        <f ca="1"/>
        <v>66.849961360156826</v>
      </c>
      <c r="AG6215" s="2">
        <f ca="1"/>
        <v>8.6139127106882096E-2</v>
      </c>
      <c r="AH6215" s="2" t="str">
        <f ca="1"/>
        <v>OK</v>
      </c>
    </row>
    <row r="6216" spans="2:34">
      <c r="B6216" s="2">
        <f ca="1"/>
        <v>0.85903785643457908</v>
      </c>
      <c r="O6216" s="2">
        <f ca="1"/>
        <v>0.69728777162647992</v>
      </c>
      <c r="X6216" s="2">
        <f ca="1"/>
        <v>38.313500923728022</v>
      </c>
      <c r="AG6216" s="2">
        <f ca="1"/>
        <v>0.81278014299695567</v>
      </c>
      <c r="AH6216" s="2" t="str">
        <f ca="1"/>
        <v>Bad</v>
      </c>
    </row>
    <row r="6217" spans="2:34">
      <c r="B6217" s="2">
        <f ca="1"/>
        <v>0.84720692488495186</v>
      </c>
      <c r="O6217" s="2">
        <f ca="1"/>
        <v>-0.57264359250429875</v>
      </c>
      <c r="X6217" s="2">
        <f ca="1"/>
        <v>43.387802729341871</v>
      </c>
      <c r="AG6217" s="2">
        <f ca="1"/>
        <v>0.12022412636936242</v>
      </c>
      <c r="AH6217" s="2" t="str">
        <f ca="1"/>
        <v>OK</v>
      </c>
    </row>
    <row r="6218" spans="2:34">
      <c r="B6218" s="2">
        <f ca="1"/>
        <v>0.78923728689273043</v>
      </c>
      <c r="O6218" s="2">
        <f ca="1"/>
        <v>-0.88977165979983397</v>
      </c>
      <c r="X6218" s="2">
        <f ca="1"/>
        <v>51.397714449612337</v>
      </c>
      <c r="AG6218" s="2">
        <f ca="1"/>
        <v>0.99627776475006979</v>
      </c>
      <c r="AH6218" s="2" t="str">
        <f ca="1"/>
        <v>Bad</v>
      </c>
    </row>
    <row r="6219" spans="2:34">
      <c r="B6219" s="2">
        <f ca="1"/>
        <v>0.51565240932550815</v>
      </c>
      <c r="O6219" s="2">
        <f ca="1"/>
        <v>-0.99249379966773232</v>
      </c>
      <c r="X6219" s="2">
        <f ca="1"/>
        <v>54.751954861694529</v>
      </c>
      <c r="AG6219" s="2">
        <f ca="1"/>
        <v>0.37037088879607505</v>
      </c>
      <c r="AH6219" s="2" t="str">
        <f ca="1"/>
        <v>OK</v>
      </c>
    </row>
    <row r="6220" spans="2:34">
      <c r="B6220" s="2">
        <f ca="1"/>
        <v>0.32625081668093792</v>
      </c>
      <c r="O6220" s="2">
        <f ca="1"/>
        <v>0.71303028629666476</v>
      </c>
      <c r="X6220" s="2">
        <f ca="1"/>
        <v>28.78471370959992</v>
      </c>
      <c r="AG6220" s="2">
        <f ca="1"/>
        <v>0.14139467820888996</v>
      </c>
      <c r="AH6220" s="2" t="str">
        <f ca="1"/>
        <v>OK</v>
      </c>
    </row>
    <row r="6221" spans="2:34">
      <c r="B6221" s="2">
        <f ca="1"/>
        <v>0.91245173435228555</v>
      </c>
      <c r="O6221" s="2">
        <f ca="1"/>
        <v>1.5350933119255734</v>
      </c>
      <c r="X6221" s="2">
        <f ca="1"/>
        <v>42.639603333749747</v>
      </c>
      <c r="AG6221" s="2">
        <f ca="1"/>
        <v>0.90086853716140247</v>
      </c>
      <c r="AH6221" s="2" t="str">
        <f ca="1"/>
        <v>Bad</v>
      </c>
    </row>
    <row r="6222" spans="2:34">
      <c r="B6222" s="2">
        <f ca="1"/>
        <v>0.52839843165665945</v>
      </c>
      <c r="O6222" s="2">
        <f ca="1"/>
        <v>-1.6798639975531466</v>
      </c>
      <c r="X6222" s="2">
        <f ca="1"/>
        <v>57.462416055496128</v>
      </c>
      <c r="AG6222" s="2">
        <f ca="1"/>
        <v>0.66842876216838909</v>
      </c>
      <c r="AH6222" s="2" t="str">
        <f ca="1"/>
        <v>Bad</v>
      </c>
    </row>
    <row r="6223" spans="2:34">
      <c r="B6223" s="2">
        <f ca="1"/>
        <v>0.84333750217285197</v>
      </c>
      <c r="O6223" s="2">
        <f ca="1"/>
        <v>-2.2203033306348674</v>
      </c>
      <c r="X6223" s="2">
        <f ca="1"/>
        <v>42.698598385611454</v>
      </c>
      <c r="AG6223" s="2">
        <f ca="1"/>
        <v>0.63054703670702694</v>
      </c>
      <c r="AH6223" s="2" t="str">
        <f ca="1"/>
        <v>Bad</v>
      </c>
    </row>
    <row r="6224" spans="2:34">
      <c r="B6224" s="2">
        <f ca="1"/>
        <v>0.28027207923997133</v>
      </c>
      <c r="O6224" s="2">
        <f ca="1"/>
        <v>0.50332825401223058</v>
      </c>
      <c r="X6224" s="2">
        <f ca="1"/>
        <v>53.971160921584939</v>
      </c>
      <c r="AG6224" s="2">
        <f ca="1"/>
        <v>0.96096791131094417</v>
      </c>
      <c r="AH6224" s="2" t="str">
        <f ca="1"/>
        <v>Bad</v>
      </c>
    </row>
    <row r="6225" spans="2:34">
      <c r="B6225" s="2">
        <f ca="1"/>
        <v>0.36944606296121885</v>
      </c>
      <c r="O6225" s="2">
        <f ca="1"/>
        <v>1.391896751342842</v>
      </c>
      <c r="X6225" s="2">
        <f ca="1"/>
        <v>60.038132082795777</v>
      </c>
      <c r="AG6225" s="2">
        <f ca="1"/>
        <v>0.30858549034570726</v>
      </c>
      <c r="AH6225" s="2" t="str">
        <f ca="1"/>
        <v>OK</v>
      </c>
    </row>
    <row r="6226" spans="2:34">
      <c r="B6226" s="2">
        <f ca="1"/>
        <v>0.7225430311531098</v>
      </c>
      <c r="O6226" s="2">
        <f ca="1"/>
        <v>-1.5696267984267493</v>
      </c>
      <c r="X6226" s="2">
        <f ca="1"/>
        <v>55.998211915437494</v>
      </c>
      <c r="AG6226" s="2">
        <f ca="1"/>
        <v>0.63170020112811143</v>
      </c>
      <c r="AH6226" s="2" t="str">
        <f ca="1"/>
        <v>Bad</v>
      </c>
    </row>
    <row r="6227" spans="2:34">
      <c r="B6227" s="2">
        <f ca="1"/>
        <v>0.32556474037758187</v>
      </c>
      <c r="O6227" s="2">
        <f ca="1"/>
        <v>-0.72532858230308317</v>
      </c>
      <c r="X6227" s="2">
        <f ca="1"/>
        <v>45.364651471488472</v>
      </c>
      <c r="AG6227" s="2">
        <f ca="1"/>
        <v>0.52036998378994137</v>
      </c>
      <c r="AH6227" s="2" t="str">
        <f ca="1"/>
        <v>Bad</v>
      </c>
    </row>
    <row r="6228" spans="2:34">
      <c r="B6228" s="2">
        <f ca="1"/>
        <v>0.8344435648165045</v>
      </c>
      <c r="O6228" s="2">
        <f ca="1"/>
        <v>-1.7483300988681567</v>
      </c>
      <c r="X6228" s="2">
        <f ca="1"/>
        <v>45.664639427393361</v>
      </c>
      <c r="AG6228" s="2">
        <f ca="1"/>
        <v>0.96384537909546397</v>
      </c>
      <c r="AH6228" s="2" t="str">
        <f ca="1"/>
        <v>Bad</v>
      </c>
    </row>
    <row r="6229" spans="2:34">
      <c r="B6229" s="2">
        <f ca="1"/>
        <v>0.85842603468721879</v>
      </c>
      <c r="O6229" s="2">
        <f ca="1"/>
        <v>-0.40353847846298591</v>
      </c>
      <c r="X6229" s="2">
        <f ca="1"/>
        <v>48.771094254242669</v>
      </c>
      <c r="AG6229" s="2">
        <f ca="1"/>
        <v>0.31196547122513896</v>
      </c>
      <c r="AH6229" s="2" t="str">
        <f ca="1"/>
        <v>OK</v>
      </c>
    </row>
    <row r="6230" spans="2:34">
      <c r="B6230" s="2">
        <f ca="1"/>
        <v>0.56800277770805274</v>
      </c>
      <c r="O6230" s="2">
        <f ca="1"/>
        <v>-0.38323875893360332</v>
      </c>
      <c r="X6230" s="2">
        <f ca="1"/>
        <v>68.396691914553287</v>
      </c>
      <c r="AG6230" s="2">
        <f ca="1"/>
        <v>0.42986854506950833</v>
      </c>
      <c r="AH6230" s="2" t="str">
        <f ca="1"/>
        <v>Bad</v>
      </c>
    </row>
    <row r="6231" spans="2:34">
      <c r="B6231" s="2">
        <f ca="1"/>
        <v>0.19951668339289563</v>
      </c>
      <c r="O6231" s="2">
        <f ca="1"/>
        <v>1.5492595639547446</v>
      </c>
      <c r="X6231" s="2">
        <f ca="1"/>
        <v>58.057867169515582</v>
      </c>
      <c r="AG6231" s="2">
        <f ca="1"/>
        <v>0.88377523565308835</v>
      </c>
      <c r="AH6231" s="2" t="str">
        <f ca="1"/>
        <v>Bad</v>
      </c>
    </row>
    <row r="6232" spans="2:34">
      <c r="B6232" s="2">
        <f ca="1"/>
        <v>0.20448802601902405</v>
      </c>
      <c r="O6232" s="2">
        <f ca="1"/>
        <v>1.0852796324607703</v>
      </c>
      <c r="X6232" s="2">
        <f ca="1"/>
        <v>61.604412993090449</v>
      </c>
      <c r="AG6232" s="2">
        <f ca="1"/>
        <v>1.5891235510593349E-2</v>
      </c>
      <c r="AH6232" s="2" t="str">
        <f ca="1"/>
        <v>Good</v>
      </c>
    </row>
    <row r="6233" spans="2:34">
      <c r="B6233" s="2">
        <f ca="1"/>
        <v>0.79711838474237129</v>
      </c>
      <c r="O6233" s="2">
        <f ca="1"/>
        <v>-1.3552427817621981</v>
      </c>
      <c r="X6233" s="2">
        <f ca="1"/>
        <v>68.609498107709854</v>
      </c>
      <c r="AG6233" s="2">
        <f ca="1"/>
        <v>0.36728547985210303</v>
      </c>
      <c r="AH6233" s="2" t="str">
        <f ca="1"/>
        <v>OK</v>
      </c>
    </row>
    <row r="6234" spans="2:34">
      <c r="B6234" s="2">
        <f ca="1"/>
        <v>0.67713523367611783</v>
      </c>
      <c r="O6234" s="2">
        <f ca="1"/>
        <v>-2.8959082489009424</v>
      </c>
      <c r="X6234" s="2">
        <f ca="1"/>
        <v>46.723374016839038</v>
      </c>
      <c r="AG6234" s="2">
        <f ca="1"/>
        <v>0.69315044059424391</v>
      </c>
      <c r="AH6234" s="2" t="str">
        <f ca="1"/>
        <v>Bad</v>
      </c>
    </row>
    <row r="6235" spans="2:34">
      <c r="B6235" s="2">
        <f ca="1"/>
        <v>0.75578020912166788</v>
      </c>
      <c r="O6235" s="2">
        <f ca="1"/>
        <v>-0.41834787858847761</v>
      </c>
      <c r="X6235" s="2">
        <f ca="1"/>
        <v>36.468077230664107</v>
      </c>
      <c r="AG6235" s="2">
        <f ca="1"/>
        <v>5.8294399020048626E-2</v>
      </c>
      <c r="AH6235" s="2" t="str">
        <f ca="1"/>
        <v>OK</v>
      </c>
    </row>
    <row r="6236" spans="2:34">
      <c r="B6236" s="2">
        <f ca="1"/>
        <v>0.68157608229081923</v>
      </c>
      <c r="O6236" s="2">
        <f ca="1"/>
        <v>-6.6920921633282657E-2</v>
      </c>
      <c r="X6236" s="2">
        <f ca="1"/>
        <v>67.572591412011093</v>
      </c>
      <c r="AG6236" s="2">
        <f ca="1"/>
        <v>0.82448209120161242</v>
      </c>
      <c r="AH6236" s="2" t="str">
        <f ca="1"/>
        <v>Bad</v>
      </c>
    </row>
    <row r="6237" spans="2:34">
      <c r="B6237" s="2">
        <f ca="1"/>
        <v>6.5745076499296617E-2</v>
      </c>
      <c r="O6237" s="2">
        <f ca="1"/>
        <v>-1.5147972074812415</v>
      </c>
      <c r="X6237" s="2">
        <f ca="1"/>
        <v>66.930807747979074</v>
      </c>
      <c r="AG6237" s="2">
        <f ca="1"/>
        <v>2.0629615286011926E-2</v>
      </c>
      <c r="AH6237" s="2" t="str">
        <f ca="1"/>
        <v>Good</v>
      </c>
    </row>
    <row r="6238" spans="2:34">
      <c r="B6238" s="2">
        <f ca="1"/>
        <v>0.91204243242797767</v>
      </c>
      <c r="O6238" s="2">
        <f ca="1"/>
        <v>1.4938211724579371</v>
      </c>
      <c r="X6238" s="2">
        <f ca="1"/>
        <v>28.056634932135349</v>
      </c>
      <c r="AG6238" s="2">
        <f ca="1"/>
        <v>0.8389708775186584</v>
      </c>
      <c r="AH6238" s="2" t="str">
        <f ca="1"/>
        <v>Bad</v>
      </c>
    </row>
    <row r="6239" spans="2:34">
      <c r="B6239" s="2">
        <f ca="1"/>
        <v>0.58429869739758389</v>
      </c>
      <c r="O6239" s="2">
        <f ca="1"/>
        <v>0.56154065674181597</v>
      </c>
      <c r="X6239" s="2">
        <f ca="1"/>
        <v>47.643607514245431</v>
      </c>
      <c r="AG6239" s="2">
        <f ca="1"/>
        <v>0.72519225225223272</v>
      </c>
      <c r="AH6239" s="2" t="str">
        <f ca="1"/>
        <v>Bad</v>
      </c>
    </row>
    <row r="6240" spans="2:34">
      <c r="B6240" s="2">
        <f ca="1"/>
        <v>0.52563443181682512</v>
      </c>
      <c r="O6240" s="2">
        <f ca="1"/>
        <v>1.9182556537063968</v>
      </c>
      <c r="X6240" s="2">
        <f ca="1"/>
        <v>61.83664722156594</v>
      </c>
      <c r="AG6240" s="2">
        <f ca="1"/>
        <v>0.90759159390675337</v>
      </c>
      <c r="AH6240" s="2" t="str">
        <f ca="1"/>
        <v>Bad</v>
      </c>
    </row>
    <row r="6241" spans="2:34">
      <c r="B6241" s="2">
        <f ca="1"/>
        <v>3.0501987349275561E-2</v>
      </c>
      <c r="O6241" s="2">
        <f ca="1"/>
        <v>1.7989397234824422</v>
      </c>
      <c r="X6241" s="2">
        <f ca="1"/>
        <v>37.407194634712276</v>
      </c>
      <c r="AG6241" s="2">
        <f ca="1"/>
        <v>0.97151922130752788</v>
      </c>
      <c r="AH6241" s="2" t="str">
        <f ca="1"/>
        <v>Bad</v>
      </c>
    </row>
    <row r="6242" spans="2:34">
      <c r="B6242" s="2">
        <f ca="1"/>
        <v>0.52691229655517491</v>
      </c>
      <c r="O6242" s="2">
        <f ca="1"/>
        <v>-0.57371849265841601</v>
      </c>
      <c r="X6242" s="2">
        <f ca="1"/>
        <v>47.783549898831481</v>
      </c>
      <c r="AG6242" s="2">
        <f ca="1"/>
        <v>9.903489475014382E-2</v>
      </c>
      <c r="AH6242" s="2" t="str">
        <f ca="1"/>
        <v>OK</v>
      </c>
    </row>
    <row r="6243" spans="2:34">
      <c r="B6243" s="2">
        <f ca="1"/>
        <v>0.14090033238283306</v>
      </c>
      <c r="O6243" s="2">
        <f ca="1"/>
        <v>0.89650345773383522</v>
      </c>
      <c r="X6243" s="2">
        <f ca="1"/>
        <v>56.549247040690176</v>
      </c>
      <c r="AG6243" s="2">
        <f ca="1"/>
        <v>0.30343029848787273</v>
      </c>
      <c r="AH6243" s="2" t="str">
        <f ca="1"/>
        <v>OK</v>
      </c>
    </row>
    <row r="6244" spans="2:34">
      <c r="B6244" s="2">
        <f ca="1"/>
        <v>0.28857517509363562</v>
      </c>
      <c r="O6244" s="2">
        <f ca="1"/>
        <v>-0.96986685671887796</v>
      </c>
      <c r="X6244" s="2">
        <f ca="1"/>
        <v>40.81022212911865</v>
      </c>
      <c r="AG6244" s="2">
        <f ca="1"/>
        <v>9.8195033943448973E-2</v>
      </c>
      <c r="AH6244" s="2" t="str">
        <f ca="1"/>
        <v>OK</v>
      </c>
    </row>
    <row r="6245" spans="2:34">
      <c r="B6245" s="2">
        <f ca="1"/>
        <v>0.41855679773052623</v>
      </c>
      <c r="O6245" s="2">
        <f ca="1"/>
        <v>-0.67040656934721077</v>
      </c>
      <c r="X6245" s="2">
        <f ca="1"/>
        <v>57.889322159243093</v>
      </c>
      <c r="AG6245" s="2">
        <f ca="1"/>
        <v>0.28323881498524694</v>
      </c>
      <c r="AH6245" s="2" t="str">
        <f ca="1"/>
        <v>OK</v>
      </c>
    </row>
    <row r="6246" spans="2:34">
      <c r="B6246" s="2">
        <f ca="1"/>
        <v>2.3714595293433449E-2</v>
      </c>
      <c r="O6246" s="2">
        <f ca="1"/>
        <v>0.28631426427096918</v>
      </c>
      <c r="X6246" s="2">
        <f ca="1"/>
        <v>43.343646398541992</v>
      </c>
      <c r="AG6246" s="2">
        <f ca="1"/>
        <v>0.56035414616385082</v>
      </c>
      <c r="AH6246" s="2" t="str">
        <f ca="1"/>
        <v>Bad</v>
      </c>
    </row>
    <row r="6247" spans="2:34">
      <c r="B6247" s="2">
        <f ca="1"/>
        <v>0.18914950483942738</v>
      </c>
      <c r="O6247" s="2">
        <f ca="1"/>
        <v>1.8899345614861678</v>
      </c>
      <c r="X6247" s="2">
        <f ca="1"/>
        <v>56.881991835963859</v>
      </c>
      <c r="AG6247" s="2">
        <f ca="1"/>
        <v>0.60264281223205263</v>
      </c>
      <c r="AH6247" s="2" t="str">
        <f ca="1"/>
        <v>Bad</v>
      </c>
    </row>
    <row r="6248" spans="2:34">
      <c r="B6248" s="2">
        <f ca="1"/>
        <v>0.8614146875254709</v>
      </c>
      <c r="O6248" s="2">
        <f ca="1"/>
        <v>1.5102071461224049</v>
      </c>
      <c r="X6248" s="2">
        <f ca="1"/>
        <v>69.851031257514279</v>
      </c>
      <c r="AG6248" s="2">
        <f ca="1"/>
        <v>0.89213909678401127</v>
      </c>
      <c r="AH6248" s="2" t="str">
        <f ca="1"/>
        <v>Bad</v>
      </c>
    </row>
    <row r="6249" spans="2:34">
      <c r="B6249" s="2">
        <f ca="1"/>
        <v>0.85689719502370432</v>
      </c>
      <c r="O6249" s="2">
        <f ca="1"/>
        <v>0.40363665968140594</v>
      </c>
      <c r="X6249" s="2">
        <f ca="1"/>
        <v>37.578519674675931</v>
      </c>
      <c r="AG6249" s="2">
        <f ca="1"/>
        <v>0.14386989151719276</v>
      </c>
      <c r="AH6249" s="2" t="str">
        <f ca="1"/>
        <v>OK</v>
      </c>
    </row>
    <row r="6250" spans="2:34">
      <c r="B6250" s="2">
        <f ca="1"/>
        <v>0.38828944309861213</v>
      </c>
      <c r="O6250" s="2">
        <f ca="1"/>
        <v>0.6951177462361382</v>
      </c>
      <c r="X6250" s="2">
        <f ca="1"/>
        <v>55.92371787116403</v>
      </c>
      <c r="AG6250" s="2">
        <f ca="1"/>
        <v>0.6320012757909903</v>
      </c>
      <c r="AH6250" s="2" t="str">
        <f ca="1"/>
        <v>Bad</v>
      </c>
    </row>
    <row r="6251" spans="2:34">
      <c r="B6251" s="2">
        <f ca="1"/>
        <v>0.45142377083707141</v>
      </c>
      <c r="O6251" s="2">
        <f ca="1"/>
        <v>-0.43570752214470404</v>
      </c>
      <c r="X6251" s="2">
        <f ca="1"/>
        <v>24.474453317309464</v>
      </c>
      <c r="AG6251" s="2">
        <f ca="1"/>
        <v>0.21357596678413793</v>
      </c>
      <c r="AH6251" s="2" t="str">
        <f ca="1"/>
        <v>OK</v>
      </c>
    </row>
    <row r="6252" spans="2:34">
      <c r="B6252" s="2">
        <f ca="1"/>
        <v>0.60716835132236668</v>
      </c>
      <c r="O6252" s="2">
        <f ca="1"/>
        <v>1.5879535574258834</v>
      </c>
      <c r="X6252" s="2">
        <f ca="1"/>
        <v>77.360575509799673</v>
      </c>
      <c r="AG6252" s="2">
        <f ca="1"/>
        <v>0.94438026611197068</v>
      </c>
      <c r="AH6252" s="2" t="str">
        <f ca="1"/>
        <v>Bad</v>
      </c>
    </row>
    <row r="6253" spans="2:34">
      <c r="B6253" s="2">
        <f ca="1"/>
        <v>0.72467685892660527</v>
      </c>
      <c r="O6253" s="2">
        <f ca="1"/>
        <v>8.5497465273479359E-2</v>
      </c>
      <c r="X6253" s="2">
        <f ca="1"/>
        <v>54.551009620623972</v>
      </c>
      <c r="AG6253" s="2">
        <f ca="1"/>
        <v>2.0549398620923753E-3</v>
      </c>
      <c r="AH6253" s="2" t="str">
        <f ca="1"/>
        <v>Good</v>
      </c>
    </row>
    <row r="6254" spans="2:34">
      <c r="B6254" s="2">
        <f ca="1"/>
        <v>0.51115559418053302</v>
      </c>
      <c r="O6254" s="2">
        <f ca="1"/>
        <v>0.64002396585944066</v>
      </c>
      <c r="X6254" s="2">
        <f ca="1"/>
        <v>88.379552624668094</v>
      </c>
      <c r="AG6254" s="2">
        <f ca="1"/>
        <v>0.24659300140940688</v>
      </c>
      <c r="AH6254" s="2" t="str">
        <f ca="1"/>
        <v>OK</v>
      </c>
    </row>
    <row r="6255" spans="2:34">
      <c r="B6255" s="2">
        <f ca="1"/>
        <v>0.60123428763543862</v>
      </c>
      <c r="O6255" s="2">
        <f ca="1"/>
        <v>-0.37238820556059898</v>
      </c>
      <c r="X6255" s="2">
        <f ca="1"/>
        <v>68.73767678210298</v>
      </c>
      <c r="AG6255" s="2">
        <f ca="1"/>
        <v>0.22417334654819432</v>
      </c>
      <c r="AH6255" s="2" t="str">
        <f ca="1"/>
        <v>OK</v>
      </c>
    </row>
    <row r="6256" spans="2:34">
      <c r="B6256" s="2">
        <f ca="1"/>
        <v>0.15674869850918682</v>
      </c>
      <c r="O6256" s="2">
        <f ca="1"/>
        <v>-1.0040902338106767</v>
      </c>
      <c r="X6256" s="2">
        <f ca="1"/>
        <v>55.30816848333729</v>
      </c>
      <c r="AG6256" s="2">
        <f ca="1"/>
        <v>0.1123799508742771</v>
      </c>
      <c r="AH6256" s="2" t="str">
        <f ca="1"/>
        <v>OK</v>
      </c>
    </row>
    <row r="6257" spans="2:34">
      <c r="B6257" s="2">
        <f ca="1"/>
        <v>0.1651655525590412</v>
      </c>
      <c r="O6257" s="2">
        <f ca="1"/>
        <v>0.48293150644869154</v>
      </c>
      <c r="X6257" s="2">
        <f ca="1"/>
        <v>36.756184635032255</v>
      </c>
      <c r="AG6257" s="2">
        <f ca="1"/>
        <v>0.91062185936120543</v>
      </c>
      <c r="AH6257" s="2" t="str">
        <f ca="1"/>
        <v>Bad</v>
      </c>
    </row>
    <row r="6258" spans="2:34">
      <c r="B6258" s="2">
        <f ca="1"/>
        <v>0.93354382171806893</v>
      </c>
      <c r="O6258" s="2">
        <f ca="1"/>
        <v>0.78672310825662739</v>
      </c>
      <c r="X6258" s="2">
        <f ca="1"/>
        <v>63.655147928640176</v>
      </c>
      <c r="AG6258" s="2">
        <f ca="1"/>
        <v>0.55295570954832285</v>
      </c>
      <c r="AH6258" s="2" t="str">
        <f ca="1"/>
        <v>Bad</v>
      </c>
    </row>
    <row r="6259" spans="2:34">
      <c r="B6259" s="2">
        <f ca="1"/>
        <v>0.83122060763345007</v>
      </c>
      <c r="O6259" s="2">
        <f ca="1"/>
        <v>-0.13868130445607046</v>
      </c>
      <c r="X6259" s="2">
        <f ca="1"/>
        <v>50.909883207543999</v>
      </c>
      <c r="AG6259" s="2">
        <f ca="1"/>
        <v>0.30047376529558867</v>
      </c>
      <c r="AH6259" s="2" t="str">
        <f ca="1"/>
        <v>OK</v>
      </c>
    </row>
    <row r="6260" spans="2:34">
      <c r="B6260" s="2">
        <f ca="1"/>
        <v>0.22470748644564642</v>
      </c>
      <c r="O6260" s="2">
        <f ca="1"/>
        <v>-1.3646775170115202</v>
      </c>
      <c r="X6260" s="2">
        <f ca="1"/>
        <v>44.437804856122128</v>
      </c>
      <c r="AG6260" s="2">
        <f ca="1"/>
        <v>0.41818842834180203</v>
      </c>
      <c r="AH6260" s="2" t="str">
        <f ca="1"/>
        <v>Bad</v>
      </c>
    </row>
    <row r="6261" spans="2:34">
      <c r="B6261" s="2">
        <f ca="1"/>
        <v>0.14585395817900371</v>
      </c>
      <c r="O6261" s="2">
        <f ca="1"/>
        <v>0.91967097110894624</v>
      </c>
      <c r="X6261" s="2">
        <f ca="1"/>
        <v>31.271232327160323</v>
      </c>
      <c r="AG6261" s="2">
        <f ca="1"/>
        <v>0.10717554157289189</v>
      </c>
      <c r="AH6261" s="2" t="str">
        <f ca="1"/>
        <v>OK</v>
      </c>
    </row>
    <row r="6262" spans="2:34">
      <c r="B6262" s="2">
        <f ca="1"/>
        <v>0.78614618721765384</v>
      </c>
      <c r="O6262" s="2">
        <f ca="1"/>
        <v>-1.2418919930110834</v>
      </c>
      <c r="X6262" s="2">
        <f ca="1"/>
        <v>45.350343324546181</v>
      </c>
      <c r="AG6262" s="2">
        <f ca="1"/>
        <v>0.87409386848624138</v>
      </c>
      <c r="AH6262" s="2" t="str">
        <f ca="1"/>
        <v>Bad</v>
      </c>
    </row>
    <row r="6263" spans="2:34">
      <c r="B6263" s="2">
        <f ca="1"/>
        <v>0.15012886076548582</v>
      </c>
      <c r="O6263" s="2">
        <f ca="1"/>
        <v>0.5642755759823731</v>
      </c>
      <c r="X6263" s="2">
        <f ca="1"/>
        <v>48.897789402416464</v>
      </c>
      <c r="AG6263" s="2">
        <f ca="1"/>
        <v>0.4999272426574306</v>
      </c>
      <c r="AH6263" s="2" t="str">
        <f ca="1"/>
        <v>Bad</v>
      </c>
    </row>
    <row r="6264" spans="2:34">
      <c r="B6264" s="2">
        <f ca="1"/>
        <v>0.92776212375771516</v>
      </c>
      <c r="O6264" s="2">
        <f ca="1"/>
        <v>4.545276135151001E-2</v>
      </c>
      <c r="X6264" s="2">
        <f ca="1"/>
        <v>43.53800891773443</v>
      </c>
      <c r="AG6264" s="2">
        <f ca="1"/>
        <v>0.16082940649177235</v>
      </c>
      <c r="AH6264" s="2" t="str">
        <f ca="1"/>
        <v>OK</v>
      </c>
    </row>
    <row r="6265" spans="2:34">
      <c r="B6265" s="2">
        <f ca="1"/>
        <v>0.95022480676854304</v>
      </c>
      <c r="O6265" s="2">
        <f ca="1"/>
        <v>-1.3471882688071148</v>
      </c>
      <c r="X6265" s="2">
        <f ca="1"/>
        <v>41.562131281277672</v>
      </c>
      <c r="AG6265" s="2">
        <f ca="1"/>
        <v>0.98846698864546956</v>
      </c>
      <c r="AH6265" s="2" t="str">
        <f ca="1"/>
        <v>Bad</v>
      </c>
    </row>
    <row r="6266" spans="2:34">
      <c r="B6266" s="2">
        <f ca="1"/>
        <v>7.0073708528192835E-2</v>
      </c>
      <c r="O6266" s="2">
        <f ca="1"/>
        <v>-1.8492272585249974</v>
      </c>
      <c r="X6266" s="2">
        <f ca="1"/>
        <v>62.992809354296</v>
      </c>
      <c r="AG6266" s="2">
        <f ca="1"/>
        <v>0.21764470641292832</v>
      </c>
      <c r="AH6266" s="2" t="str">
        <f ca="1"/>
        <v>OK</v>
      </c>
    </row>
    <row r="6267" spans="2:34">
      <c r="B6267" s="2">
        <f ca="1"/>
        <v>3.9670362507743695E-2</v>
      </c>
      <c r="O6267" s="2">
        <f ca="1"/>
        <v>-1.521263648664678</v>
      </c>
      <c r="X6267" s="2">
        <f ca="1"/>
        <v>33.762073263609494</v>
      </c>
      <c r="AG6267" s="2">
        <f ca="1"/>
        <v>0.90292171427666368</v>
      </c>
      <c r="AH6267" s="2" t="str">
        <f ca="1"/>
        <v>Bad</v>
      </c>
    </row>
    <row r="6268" spans="2:34">
      <c r="B6268" s="2">
        <f ca="1"/>
        <v>0.52323511965741454</v>
      </c>
      <c r="O6268" s="2">
        <f ca="1"/>
        <v>1.0315650948483004</v>
      </c>
      <c r="X6268" s="2">
        <f ca="1"/>
        <v>70.895103424307706</v>
      </c>
      <c r="AG6268" s="2">
        <f ca="1"/>
        <v>0.40191171748640286</v>
      </c>
      <c r="AH6268" s="2" t="str">
        <f ca="1"/>
        <v>Bad</v>
      </c>
    </row>
    <row r="6269" spans="2:34">
      <c r="B6269" s="2">
        <f ca="1"/>
        <v>0.68925064019528715</v>
      </c>
      <c r="O6269" s="2">
        <f ca="1"/>
        <v>0.17075576037074772</v>
      </c>
      <c r="X6269" s="2">
        <f ca="1"/>
        <v>39.213655151593144</v>
      </c>
      <c r="AG6269" s="2">
        <f ca="1"/>
        <v>0.92477312703120607</v>
      </c>
      <c r="AH6269" s="2" t="str">
        <f ca="1"/>
        <v>Bad</v>
      </c>
    </row>
    <row r="6270" spans="2:34">
      <c r="B6270" s="2">
        <f ca="1"/>
        <v>0.81618490561811585</v>
      </c>
      <c r="O6270" s="2">
        <f ca="1"/>
        <v>8.1091625477368052E-3</v>
      </c>
      <c r="X6270" s="2">
        <f ca="1"/>
        <v>50.032488226853964</v>
      </c>
      <c r="AG6270" s="2">
        <f ca="1"/>
        <v>0.80535646125801508</v>
      </c>
      <c r="AH6270" s="2" t="str">
        <f ca="1"/>
        <v>Bad</v>
      </c>
    </row>
    <row r="6271" spans="2:34">
      <c r="B6271" s="2">
        <f ca="1"/>
        <v>0.46621863233705163</v>
      </c>
      <c r="O6271" s="2">
        <f ca="1"/>
        <v>0.57988274432739473</v>
      </c>
      <c r="X6271" s="2">
        <f ca="1"/>
        <v>72.423849281097588</v>
      </c>
      <c r="AG6271" s="2">
        <f ca="1"/>
        <v>0.84351352696816395</v>
      </c>
      <c r="AH6271" s="2" t="str">
        <f ca="1"/>
        <v>Bad</v>
      </c>
    </row>
    <row r="6272" spans="2:34">
      <c r="B6272" s="2">
        <f ca="1"/>
        <v>0.16068223953739946</v>
      </c>
      <c r="O6272" s="2">
        <f ca="1"/>
        <v>0.56176692948652518</v>
      </c>
      <c r="X6272" s="2">
        <f ca="1"/>
        <v>38.432310503782851</v>
      </c>
      <c r="AG6272" s="2">
        <f ca="1"/>
        <v>0.48037304510679002</v>
      </c>
      <c r="AH6272" s="2" t="str">
        <f ca="1"/>
        <v>Bad</v>
      </c>
    </row>
    <row r="6273" spans="2:34">
      <c r="B6273" s="2">
        <f ca="1"/>
        <v>0.50038259737189605</v>
      </c>
      <c r="O6273" s="2">
        <f ca="1"/>
        <v>0.28131194791232722</v>
      </c>
      <c r="X6273" s="2">
        <f ca="1"/>
        <v>37.416055698309762</v>
      </c>
      <c r="AG6273" s="2">
        <f ca="1"/>
        <v>0.50631375699595949</v>
      </c>
      <c r="AH6273" s="2" t="str">
        <f ca="1"/>
        <v>Bad</v>
      </c>
    </row>
    <row r="6274" spans="2:34">
      <c r="B6274" s="2">
        <f ca="1"/>
        <v>0.98449820459246329</v>
      </c>
      <c r="O6274" s="2">
        <f ca="1"/>
        <v>-0.49202453277141361</v>
      </c>
      <c r="X6274" s="2">
        <f ca="1"/>
        <v>64.35257649576198</v>
      </c>
      <c r="AG6274" s="2">
        <f ca="1"/>
        <v>0.21879365242403015</v>
      </c>
      <c r="AH6274" s="2" t="str">
        <f ca="1"/>
        <v>OK</v>
      </c>
    </row>
    <row r="6275" spans="2:34">
      <c r="B6275" s="2">
        <f ca="1"/>
        <v>0.4360358419342476</v>
      </c>
      <c r="O6275" s="2">
        <f ca="1"/>
        <v>-0.36753322102277547</v>
      </c>
      <c r="X6275" s="2">
        <f ca="1"/>
        <v>64.106825265464991</v>
      </c>
      <c r="AG6275" s="2">
        <f ca="1"/>
        <v>8.5793273760979671E-2</v>
      </c>
      <c r="AH6275" s="2" t="str">
        <f ca="1"/>
        <v>OK</v>
      </c>
    </row>
    <row r="6276" spans="2:34">
      <c r="B6276" s="2">
        <f ca="1"/>
        <v>0.51077326871245243</v>
      </c>
      <c r="O6276" s="2">
        <f ca="1"/>
        <v>-0.24189667555461178</v>
      </c>
      <c r="X6276" s="2">
        <f ca="1"/>
        <v>46.446101243346277</v>
      </c>
      <c r="AG6276" s="2">
        <f ca="1"/>
        <v>0.12819034702071663</v>
      </c>
      <c r="AH6276" s="2" t="str">
        <f ca="1"/>
        <v>OK</v>
      </c>
    </row>
    <row r="6277" spans="2:34">
      <c r="B6277" s="2">
        <f ca="1"/>
        <v>0.34704879229684416</v>
      </c>
      <c r="O6277" s="2">
        <f ca="1"/>
        <v>-2.0967831452082883</v>
      </c>
      <c r="X6277" s="2">
        <f ca="1"/>
        <v>44.285288112274408</v>
      </c>
      <c r="AG6277" s="2">
        <f ca="1"/>
        <v>0.3630923411658542</v>
      </c>
      <c r="AH6277" s="2" t="str">
        <f ca="1"/>
        <v>OK</v>
      </c>
    </row>
    <row r="6278" spans="2:34">
      <c r="B6278" s="2">
        <f ca="1"/>
        <v>0.20952027611100932</v>
      </c>
      <c r="O6278" s="2">
        <f ca="1"/>
        <v>-0.17411938281993455</v>
      </c>
      <c r="X6278" s="2">
        <f ca="1"/>
        <v>37.224694342058001</v>
      </c>
      <c r="AG6278" s="2">
        <f ca="1"/>
        <v>0.88102124624450928</v>
      </c>
      <c r="AH6278" s="2" t="str">
        <f ca="1"/>
        <v>Bad</v>
      </c>
    </row>
    <row r="6279" spans="2:34">
      <c r="B6279" s="2">
        <f ca="1"/>
        <v>0.97026556208425729</v>
      </c>
      <c r="O6279" s="2">
        <f ca="1"/>
        <v>1.6959028925466011</v>
      </c>
      <c r="X6279" s="2">
        <f ca="1"/>
        <v>77.160132031437314</v>
      </c>
      <c r="AG6279" s="2">
        <f ca="1"/>
        <v>6.0409083185259504E-2</v>
      </c>
      <c r="AH6279" s="2" t="str">
        <f ca="1"/>
        <v>OK</v>
      </c>
    </row>
    <row r="6280" spans="2:34">
      <c r="B6280" s="2">
        <f ca="1"/>
        <v>0.7368208761529913</v>
      </c>
      <c r="O6280" s="2">
        <f ca="1"/>
        <v>2.7682468719182032E-2</v>
      </c>
      <c r="X6280" s="2">
        <f ca="1"/>
        <v>51.857104417674819</v>
      </c>
      <c r="AG6280" s="2">
        <f ca="1"/>
        <v>0.44550319540868877</v>
      </c>
      <c r="AH6280" s="2" t="str">
        <f ca="1"/>
        <v>Bad</v>
      </c>
    </row>
    <row r="6281" spans="2:34">
      <c r="B6281" s="2">
        <f ca="1"/>
        <v>0.81964706619051064</v>
      </c>
      <c r="O6281" s="2">
        <f ca="1"/>
        <v>-0.81700546177832223</v>
      </c>
      <c r="X6281" s="2">
        <f ca="1"/>
        <v>54.799890614901386</v>
      </c>
      <c r="AG6281" s="2">
        <f ca="1"/>
        <v>0.95262628785021453</v>
      </c>
      <c r="AH6281" s="2" t="str">
        <f ca="1"/>
        <v>Bad</v>
      </c>
    </row>
    <row r="6282" spans="2:34">
      <c r="B6282" s="2">
        <f ca="1"/>
        <v>0.11022721387541434</v>
      </c>
      <c r="O6282" s="2">
        <f ca="1"/>
        <v>0.26204074246499087</v>
      </c>
      <c r="X6282" s="2">
        <f ca="1"/>
        <v>47.169944737580145</v>
      </c>
      <c r="AG6282" s="2">
        <f ca="1"/>
        <v>0.22942128594925881</v>
      </c>
      <c r="AH6282" s="2" t="str">
        <f ca="1"/>
        <v>OK</v>
      </c>
    </row>
    <row r="6283" spans="2:34">
      <c r="B6283" s="2">
        <f ca="1"/>
        <v>0.5950236865471239</v>
      </c>
      <c r="O6283" s="2">
        <f ca="1"/>
        <v>1.0735034989082888E-2</v>
      </c>
      <c r="X6283" s="2">
        <f ca="1"/>
        <v>38.384962571711256</v>
      </c>
      <c r="AG6283" s="2">
        <f ca="1"/>
        <v>0.53044119500634657</v>
      </c>
      <c r="AH6283" s="2" t="str">
        <f ca="1"/>
        <v>Bad</v>
      </c>
    </row>
    <row r="6284" spans="2:34">
      <c r="B6284" s="2">
        <f ca="1"/>
        <v>0.2550180806354363</v>
      </c>
      <c r="O6284" s="2">
        <f ca="1"/>
        <v>-0.44238169755386025</v>
      </c>
      <c r="X6284" s="2">
        <f ca="1"/>
        <v>58.293258707185913</v>
      </c>
      <c r="AG6284" s="2">
        <f ca="1"/>
        <v>0.22968539161430446</v>
      </c>
      <c r="AH6284" s="2" t="str">
        <f ca="1"/>
        <v>OK</v>
      </c>
    </row>
    <row r="6285" spans="2:34">
      <c r="B6285" s="2">
        <f ca="1"/>
        <v>1.7707954013574279E-2</v>
      </c>
      <c r="O6285" s="2">
        <f ca="1"/>
        <v>0.72366135072724092</v>
      </c>
      <c r="X6285" s="2">
        <f ca="1"/>
        <v>26.041219174792815</v>
      </c>
      <c r="AG6285" s="2">
        <f ca="1"/>
        <v>0.53742986284321681</v>
      </c>
      <c r="AH6285" s="2" t="str">
        <f ca="1"/>
        <v>Bad</v>
      </c>
    </row>
    <row r="6286" spans="2:34">
      <c r="B6286" s="2">
        <f ca="1"/>
        <v>0.2036408943984569</v>
      </c>
      <c r="O6286" s="2">
        <f ca="1"/>
        <v>0.41412598902893727</v>
      </c>
      <c r="X6286" s="2">
        <f ca="1"/>
        <v>50.888537167567726</v>
      </c>
      <c r="AG6286" s="2">
        <f ca="1"/>
        <v>0.59754238495039291</v>
      </c>
      <c r="AH6286" s="2" t="str">
        <f ca="1"/>
        <v>Bad</v>
      </c>
    </row>
    <row r="6287" spans="2:34">
      <c r="B6287" s="2">
        <f ca="1"/>
        <v>3.0473818307588774E-2</v>
      </c>
      <c r="O6287" s="2">
        <f ca="1"/>
        <v>0.84812937039591962</v>
      </c>
      <c r="X6287" s="2">
        <f ca="1"/>
        <v>45.870854161019771</v>
      </c>
      <c r="AG6287" s="2">
        <f ca="1"/>
        <v>0.77440824853790025</v>
      </c>
      <c r="AH6287" s="2" t="str">
        <f ca="1"/>
        <v>Bad</v>
      </c>
    </row>
    <row r="6288" spans="2:34">
      <c r="B6288" s="2">
        <f ca="1"/>
        <v>0.68421508470192904</v>
      </c>
      <c r="O6288" s="2">
        <f ca="1"/>
        <v>0.11919215991948866</v>
      </c>
      <c r="X6288" s="2">
        <f ca="1"/>
        <v>54.868548047936457</v>
      </c>
      <c r="AG6288" s="2">
        <f ca="1"/>
        <v>0.38623721791357712</v>
      </c>
      <c r="AH6288" s="2" t="str">
        <f ca="1"/>
        <v>OK</v>
      </c>
    </row>
    <row r="6289" spans="2:34">
      <c r="B6289" s="2">
        <f ca="1"/>
        <v>0.23368681120819246</v>
      </c>
      <c r="O6289" s="2">
        <f ca="1"/>
        <v>-2.2284604630087692</v>
      </c>
      <c r="X6289" s="2">
        <f ca="1"/>
        <v>54.427348562993473</v>
      </c>
      <c r="AG6289" s="2">
        <f ca="1"/>
        <v>0.12956310055017295</v>
      </c>
      <c r="AH6289" s="2" t="str">
        <f ca="1"/>
        <v>OK</v>
      </c>
    </row>
    <row r="6290" spans="2:34">
      <c r="B6290" s="2">
        <f ca="1"/>
        <v>0.3981334639250067</v>
      </c>
      <c r="O6290" s="2">
        <f ca="1"/>
        <v>0.92858911549689682</v>
      </c>
      <c r="X6290" s="2">
        <f ca="1"/>
        <v>48.897624120373024</v>
      </c>
      <c r="AG6290" s="2">
        <f ca="1"/>
        <v>8.8293365337419161E-2</v>
      </c>
      <c r="AH6290" s="2" t="str">
        <f ca="1"/>
        <v>OK</v>
      </c>
    </row>
    <row r="6291" spans="2:34">
      <c r="B6291" s="2">
        <f ca="1"/>
        <v>0.40607506941007765</v>
      </c>
      <c r="O6291" s="2">
        <f ca="1"/>
        <v>-0.30143152372098886</v>
      </c>
      <c r="X6291" s="2">
        <f ca="1"/>
        <v>32.680922363055231</v>
      </c>
      <c r="AG6291" s="2">
        <f ca="1"/>
        <v>0.67741466491411928</v>
      </c>
      <c r="AH6291" s="2" t="str">
        <f ca="1"/>
        <v>Bad</v>
      </c>
    </row>
    <row r="6292" spans="2:34">
      <c r="B6292" s="2">
        <f ca="1"/>
        <v>0.98912614238630003</v>
      </c>
      <c r="O6292" s="2">
        <f ca="1"/>
        <v>0.1665190802664217</v>
      </c>
      <c r="X6292" s="2">
        <f ca="1"/>
        <v>55.118625842723887</v>
      </c>
      <c r="AG6292" s="2">
        <f ca="1"/>
        <v>5.8429692237897068E-2</v>
      </c>
      <c r="AH6292" s="2" t="str">
        <f ca="1"/>
        <v>OK</v>
      </c>
    </row>
    <row r="6293" spans="2:34">
      <c r="B6293" s="2">
        <f ca="1"/>
        <v>0.12575220093452755</v>
      </c>
      <c r="O6293" s="2">
        <f ca="1"/>
        <v>-0.13091552270648604</v>
      </c>
      <c r="X6293" s="2">
        <f ca="1"/>
        <v>54.854923388422975</v>
      </c>
      <c r="AG6293" s="2">
        <f ca="1"/>
        <v>0.49603048166517016</v>
      </c>
      <c r="AH6293" s="2" t="str">
        <f ca="1"/>
        <v>Bad</v>
      </c>
    </row>
    <row r="6294" spans="2:34">
      <c r="B6294" s="2">
        <f ca="1"/>
        <v>0.37554275652887092</v>
      </c>
      <c r="O6294" s="2">
        <f ca="1"/>
        <v>-1.1468668818180563</v>
      </c>
      <c r="X6294" s="2">
        <f ca="1"/>
        <v>47.846689709796372</v>
      </c>
      <c r="AG6294" s="2">
        <f ca="1"/>
        <v>0.41455207012591377</v>
      </c>
      <c r="AH6294" s="2" t="str">
        <f ca="1"/>
        <v>Bad</v>
      </c>
    </row>
    <row r="6295" spans="2:34">
      <c r="B6295" s="2">
        <f ca="1"/>
        <v>0.10692695746708569</v>
      </c>
      <c r="O6295" s="2">
        <f ca="1"/>
        <v>-7.7613541217367368E-2</v>
      </c>
      <c r="X6295" s="2">
        <f ca="1"/>
        <v>58.877989561105238</v>
      </c>
      <c r="AG6295" s="2">
        <f ca="1"/>
        <v>0.82157038871666943</v>
      </c>
      <c r="AH6295" s="2" t="str">
        <f ca="1"/>
        <v>Bad</v>
      </c>
    </row>
    <row r="6296" spans="2:34">
      <c r="B6296" s="2">
        <f ca="1"/>
        <v>0.49499842218804235</v>
      </c>
      <c r="O6296" s="2">
        <f ca="1"/>
        <v>-1.5935390535789857</v>
      </c>
      <c r="X6296" s="2">
        <f ca="1"/>
        <v>66.074646676373106</v>
      </c>
      <c r="AG6296" s="2">
        <f ca="1"/>
        <v>0.40568353557033121</v>
      </c>
      <c r="AH6296" s="2" t="str">
        <f ca="1"/>
        <v>Bad</v>
      </c>
    </row>
    <row r="6297" spans="2:34">
      <c r="B6297" s="2">
        <f ca="1"/>
        <v>0.87568302812713505</v>
      </c>
      <c r="O6297" s="2">
        <f ca="1"/>
        <v>-6.9651945011259903E-2</v>
      </c>
      <c r="X6297" s="2">
        <f ca="1"/>
        <v>44.566738045001699</v>
      </c>
      <c r="AG6297" s="2">
        <f ca="1"/>
        <v>0.3675817049282295</v>
      </c>
      <c r="AH6297" s="2" t="str">
        <f ca="1"/>
        <v>OK</v>
      </c>
    </row>
    <row r="6298" spans="2:34">
      <c r="B6298" s="2">
        <f ca="1"/>
        <v>0.57900268265574106</v>
      </c>
      <c r="O6298" s="2">
        <f ca="1"/>
        <v>-0.48789012943839671</v>
      </c>
      <c r="X6298" s="2">
        <f ca="1"/>
        <v>27.461941940617834</v>
      </c>
      <c r="AG6298" s="2">
        <f ca="1"/>
        <v>7.9931502305606417E-2</v>
      </c>
      <c r="AH6298" s="2" t="str">
        <f ca="1"/>
        <v>OK</v>
      </c>
    </row>
    <row r="6299" spans="2:34">
      <c r="B6299" s="2">
        <f ca="1"/>
        <v>0.11923729986221887</v>
      </c>
      <c r="O6299" s="2">
        <f ca="1"/>
        <v>0.29386212776319282</v>
      </c>
      <c r="X6299" s="2">
        <f ca="1"/>
        <v>53.44061730696361</v>
      </c>
      <c r="AG6299" s="2">
        <f ca="1"/>
        <v>0.45909562551827587</v>
      </c>
      <c r="AH6299" s="2" t="str">
        <f ca="1"/>
        <v>Bad</v>
      </c>
    </row>
    <row r="6300" spans="2:34">
      <c r="B6300" s="2">
        <f ca="1"/>
        <v>0.45389825912971471</v>
      </c>
      <c r="O6300" s="2">
        <f ca="1"/>
        <v>-0.23798278174947354</v>
      </c>
      <c r="X6300" s="2">
        <f ca="1"/>
        <v>50.451104613518744</v>
      </c>
      <c r="AG6300" s="2">
        <f ca="1"/>
        <v>0.88918381074921915</v>
      </c>
      <c r="AH6300" s="2" t="str">
        <f ca="1"/>
        <v>Bad</v>
      </c>
    </row>
    <row r="6301" spans="2:34">
      <c r="B6301" s="2">
        <f ca="1"/>
        <v>0.5138957433628768</v>
      </c>
      <c r="O6301" s="2">
        <f ca="1"/>
        <v>0.14233267453027382</v>
      </c>
      <c r="X6301" s="2">
        <f ca="1"/>
        <v>45.378685455814114</v>
      </c>
      <c r="AG6301" s="2">
        <f ca="1"/>
        <v>0.75224518256530293</v>
      </c>
      <c r="AH6301" s="2" t="str">
        <f ca="1"/>
        <v>Bad</v>
      </c>
    </row>
    <row r="6302" spans="2:34">
      <c r="B6302" s="2">
        <f ca="1"/>
        <v>0.84103592085304535</v>
      </c>
      <c r="O6302" s="2">
        <f ca="1"/>
        <v>-0.82296311130154054</v>
      </c>
      <c r="X6302" s="2">
        <f ca="1"/>
        <v>63.866298787645803</v>
      </c>
      <c r="AG6302" s="2">
        <f ca="1"/>
        <v>0.78044187824962874</v>
      </c>
      <c r="AH6302" s="2" t="str">
        <f ca="1"/>
        <v>Bad</v>
      </c>
    </row>
    <row r="6303" spans="2:34">
      <c r="B6303" s="2">
        <f ca="1"/>
        <v>0.89872351238059012</v>
      </c>
      <c r="O6303" s="2">
        <f ca="1"/>
        <v>-1.5857211616877973</v>
      </c>
      <c r="X6303" s="2">
        <f ca="1"/>
        <v>45.880225998855366</v>
      </c>
      <c r="AG6303" s="2">
        <f ca="1"/>
        <v>0.96623236072781604</v>
      </c>
      <c r="AH6303" s="2" t="str">
        <f ca="1"/>
        <v>Bad</v>
      </c>
    </row>
    <row r="6304" spans="2:34">
      <c r="B6304" s="2">
        <f ca="1"/>
        <v>0.52131643837849273</v>
      </c>
      <c r="O6304" s="2">
        <f ca="1"/>
        <v>-1.7400859688505805</v>
      </c>
      <c r="X6304" s="2">
        <f ca="1"/>
        <v>28.816628693034506</v>
      </c>
      <c r="AG6304" s="2">
        <f ca="1"/>
        <v>0.72878812007648142</v>
      </c>
      <c r="AH6304" s="2" t="str">
        <f ca="1"/>
        <v>Bad</v>
      </c>
    </row>
    <row r="6305" spans="2:34">
      <c r="B6305" s="2">
        <f ca="1"/>
        <v>0.17223342197422098</v>
      </c>
      <c r="O6305" s="2">
        <f ca="1"/>
        <v>1.9587820702946745</v>
      </c>
      <c r="X6305" s="2">
        <f ca="1"/>
        <v>30.89484105589111</v>
      </c>
      <c r="AG6305" s="2">
        <f ca="1"/>
        <v>0.79700117443332541</v>
      </c>
      <c r="AH6305" s="2" t="str">
        <f ca="1"/>
        <v>Bad</v>
      </c>
    </row>
    <row r="6306" spans="2:34">
      <c r="B6306" s="2">
        <f ca="1"/>
        <v>0.68968545300151951</v>
      </c>
      <c r="O6306" s="2">
        <f ca="1"/>
        <v>0.34227942142592338</v>
      </c>
      <c r="X6306" s="2">
        <f ca="1"/>
        <v>39.583711072775934</v>
      </c>
      <c r="AG6306" s="2">
        <f ca="1"/>
        <v>0.68581282582250713</v>
      </c>
      <c r="AH6306" s="2" t="str">
        <f ca="1"/>
        <v>Bad</v>
      </c>
    </row>
    <row r="6307" spans="2:34">
      <c r="B6307" s="2">
        <f ca="1"/>
        <v>0.89198132892323523</v>
      </c>
      <c r="O6307" s="2">
        <f ca="1"/>
        <v>0.53664660305150824</v>
      </c>
      <c r="X6307" s="2">
        <f ca="1"/>
        <v>38.531332694304993</v>
      </c>
      <c r="AG6307" s="2">
        <f ca="1"/>
        <v>0.42025192928417843</v>
      </c>
      <c r="AH6307" s="2" t="str">
        <f ca="1"/>
        <v>Bad</v>
      </c>
    </row>
    <row r="6308" spans="2:34">
      <c r="B6308" s="2">
        <f ca="1"/>
        <v>0.54660410607659182</v>
      </c>
      <c r="O6308" s="2">
        <f ca="1"/>
        <v>-0.88177467561403144</v>
      </c>
      <c r="X6308" s="2">
        <f ca="1"/>
        <v>46.869045324166237</v>
      </c>
      <c r="AG6308" s="2">
        <f ca="1"/>
        <v>0.1276832592486119</v>
      </c>
      <c r="AH6308" s="2" t="str">
        <f ca="1"/>
        <v>OK</v>
      </c>
    </row>
    <row r="6309" spans="2:34">
      <c r="B6309" s="2">
        <f ca="1"/>
        <v>0.63128692346422066</v>
      </c>
      <c r="O6309" s="2">
        <f ca="1"/>
        <v>-3.3745110540833729E-3</v>
      </c>
      <c r="X6309" s="2">
        <f ca="1"/>
        <v>72.870890744115314</v>
      </c>
      <c r="AG6309" s="2">
        <f ca="1"/>
        <v>0.64572742092140811</v>
      </c>
      <c r="AH6309" s="2" t="str">
        <f ca="1"/>
        <v>Bad</v>
      </c>
    </row>
    <row r="6310" spans="2:34">
      <c r="B6310" s="2">
        <f ca="1"/>
        <v>0.43410213929714669</v>
      </c>
      <c r="O6310" s="2">
        <f ca="1"/>
        <v>0.26551140993181793</v>
      </c>
      <c r="X6310" s="2">
        <f ca="1"/>
        <v>50.562842840359238</v>
      </c>
      <c r="AG6310" s="2">
        <f ca="1"/>
        <v>0.26481240063759381</v>
      </c>
      <c r="AH6310" s="2" t="str">
        <f ca="1"/>
        <v>OK</v>
      </c>
    </row>
    <row r="6311" spans="2:34">
      <c r="B6311" s="2">
        <f ca="1"/>
        <v>0.86646305828999726</v>
      </c>
      <c r="O6311" s="2">
        <f ca="1"/>
        <v>-0.19555685302903908</v>
      </c>
      <c r="X6311" s="2">
        <f ca="1"/>
        <v>45.886281136108245</v>
      </c>
      <c r="AG6311" s="2">
        <f ca="1"/>
        <v>2.0596128932732993E-2</v>
      </c>
      <c r="AH6311" s="2" t="str">
        <f ca="1"/>
        <v>Good</v>
      </c>
    </row>
    <row r="6312" spans="2:34">
      <c r="B6312" s="2">
        <f ca="1"/>
        <v>0.78955030153626082</v>
      </c>
      <c r="O6312" s="2">
        <f ca="1"/>
        <v>-0.23241408863171698</v>
      </c>
      <c r="X6312" s="2">
        <f ca="1"/>
        <v>56.01294092748109</v>
      </c>
      <c r="AG6312" s="2">
        <f ca="1"/>
        <v>0.71447781727433224</v>
      </c>
      <c r="AH6312" s="2" t="str">
        <f ca="1"/>
        <v>Bad</v>
      </c>
    </row>
    <row r="6313" spans="2:34">
      <c r="B6313" s="2">
        <f ca="1"/>
        <v>0.68547270381234249</v>
      </c>
      <c r="O6313" s="2">
        <f ca="1"/>
        <v>-2.3968817059085774</v>
      </c>
      <c r="X6313" s="2">
        <f ca="1"/>
        <v>55.877223175921145</v>
      </c>
      <c r="AG6313" s="2">
        <f ca="1"/>
        <v>0.74717981349702201</v>
      </c>
      <c r="AH6313" s="2" t="str">
        <f ca="1"/>
        <v>Bad</v>
      </c>
    </row>
    <row r="6314" spans="2:34">
      <c r="B6314" s="2">
        <f ca="1"/>
        <v>0.24697019251791974</v>
      </c>
      <c r="O6314" s="2">
        <f ca="1"/>
        <v>-2.0807501052509751</v>
      </c>
      <c r="X6314" s="2">
        <f ca="1"/>
        <v>46.147678605397402</v>
      </c>
      <c r="AG6314" s="2">
        <f ca="1"/>
        <v>0.13824380093396282</v>
      </c>
      <c r="AH6314" s="2" t="str">
        <f ca="1"/>
        <v>OK</v>
      </c>
    </row>
    <row r="6315" spans="2:34">
      <c r="B6315" s="2">
        <f ca="1"/>
        <v>0.45528584106375525</v>
      </c>
      <c r="O6315" s="2">
        <f ca="1"/>
        <v>0.53996658354993599</v>
      </c>
      <c r="X6315" s="2">
        <f ca="1"/>
        <v>31.773521543527373</v>
      </c>
      <c r="AG6315" s="2">
        <f ca="1"/>
        <v>0.45678793989877198</v>
      </c>
      <c r="AH6315" s="2" t="str">
        <f ca="1"/>
        <v>Bad</v>
      </c>
    </row>
    <row r="6316" spans="2:34">
      <c r="B6316" s="2">
        <f ca="1"/>
        <v>0.62286447632036213</v>
      </c>
      <c r="O6316" s="2">
        <f ca="1"/>
        <v>0.98228504839839115</v>
      </c>
      <c r="X6316" s="2">
        <f ca="1"/>
        <v>59.979594387850668</v>
      </c>
      <c r="AG6316" s="2">
        <f ca="1"/>
        <v>6.0319350288349227E-3</v>
      </c>
      <c r="AH6316" s="2" t="str">
        <f ca="1"/>
        <v>Good</v>
      </c>
    </row>
    <row r="6317" spans="2:34">
      <c r="B6317" s="2">
        <f ca="1"/>
        <v>0.32236868599335544</v>
      </c>
      <c r="O6317" s="2">
        <f ca="1"/>
        <v>-0.37887432874951144</v>
      </c>
      <c r="X6317" s="2">
        <f ca="1"/>
        <v>50.780409093085893</v>
      </c>
      <c r="AG6317" s="2">
        <f ca="1"/>
        <v>0.21714473252982924</v>
      </c>
      <c r="AH6317" s="2" t="str">
        <f ca="1"/>
        <v>OK</v>
      </c>
    </row>
    <row r="6318" spans="2:34">
      <c r="B6318" s="2">
        <f ca="1"/>
        <v>0.31063882285281741</v>
      </c>
      <c r="O6318" s="2">
        <f ca="1"/>
        <v>-0.67675130784613469</v>
      </c>
      <c r="X6318" s="2">
        <f ca="1"/>
        <v>56.513589803180146</v>
      </c>
      <c r="AG6318" s="2">
        <f ca="1"/>
        <v>0.8894098193103237</v>
      </c>
      <c r="AH6318" s="2" t="str">
        <f ca="1"/>
        <v>Bad</v>
      </c>
    </row>
    <row r="6319" spans="2:34">
      <c r="B6319" s="2">
        <f ca="1"/>
        <v>0.27265085194843297</v>
      </c>
      <c r="O6319" s="2">
        <f ca="1"/>
        <v>1.235794295244411</v>
      </c>
      <c r="X6319" s="2">
        <f ca="1"/>
        <v>43.133550811905863</v>
      </c>
      <c r="AG6319" s="2">
        <f ca="1"/>
        <v>0.11020112349695643</v>
      </c>
      <c r="AH6319" s="2" t="str">
        <f ca="1"/>
        <v>OK</v>
      </c>
    </row>
    <row r="6320" spans="2:34">
      <c r="B6320" s="2">
        <f ca="1"/>
        <v>0.44240908709728477</v>
      </c>
      <c r="O6320" s="2">
        <f ca="1"/>
        <v>1.5728745359356844</v>
      </c>
      <c r="X6320" s="2">
        <f ca="1"/>
        <v>47.519420146136817</v>
      </c>
      <c r="AG6320" s="2">
        <f ca="1"/>
        <v>0.90773639286128827</v>
      </c>
      <c r="AH6320" s="2" t="str">
        <f ca="1"/>
        <v>Bad</v>
      </c>
    </row>
    <row r="6321" spans="2:34">
      <c r="B6321" s="2">
        <f ca="1"/>
        <v>0.80180977093647288</v>
      </c>
      <c r="O6321" s="2">
        <f ca="1"/>
        <v>1.6771794776107243</v>
      </c>
      <c r="X6321" s="2">
        <f ca="1"/>
        <v>66.155451835004314</v>
      </c>
      <c r="AG6321" s="2">
        <f ca="1"/>
        <v>4.8810486689345289E-2</v>
      </c>
      <c r="AH6321" s="2" t="str">
        <f ca="1"/>
        <v>Good</v>
      </c>
    </row>
    <row r="6322" spans="2:34">
      <c r="B6322" s="2">
        <f ca="1"/>
        <v>0.97343419606891857</v>
      </c>
      <c r="O6322" s="2">
        <f ca="1"/>
        <v>-1.0649356865129853</v>
      </c>
      <c r="X6322" s="2">
        <f ca="1"/>
        <v>72.641597035534119</v>
      </c>
      <c r="AG6322" s="2">
        <f ca="1"/>
        <v>0.1830615613905191</v>
      </c>
      <c r="AH6322" s="2" t="str">
        <f ca="1"/>
        <v>OK</v>
      </c>
    </row>
    <row r="6323" spans="2:34">
      <c r="B6323" s="2">
        <f ca="1"/>
        <v>0.33996499988222095</v>
      </c>
      <c r="O6323" s="2">
        <f ca="1"/>
        <v>-1.3995939079964319</v>
      </c>
      <c r="X6323" s="2">
        <f ca="1"/>
        <v>43.764335822012264</v>
      </c>
      <c r="AG6323" s="2">
        <f ca="1"/>
        <v>0.62780074305425049</v>
      </c>
      <c r="AH6323" s="2" t="str">
        <f ca="1"/>
        <v>Bad</v>
      </c>
    </row>
    <row r="6324" spans="2:34">
      <c r="B6324" s="2">
        <f ca="1"/>
        <v>0.4875320244785073</v>
      </c>
      <c r="O6324" s="2">
        <f ca="1"/>
        <v>-2.7471557139526998E-2</v>
      </c>
      <c r="X6324" s="2">
        <f ca="1"/>
        <v>38.859299802378999</v>
      </c>
      <c r="AG6324" s="2">
        <f ca="1"/>
        <v>0.93379868690641454</v>
      </c>
      <c r="AH6324" s="2" t="str">
        <f ca="1"/>
        <v>Bad</v>
      </c>
    </row>
    <row r="6325" spans="2:34">
      <c r="B6325" s="2">
        <f ca="1"/>
        <v>0.85009595807032223</v>
      </c>
      <c r="O6325" s="2">
        <f ca="1"/>
        <v>-1.781321129934204</v>
      </c>
      <c r="X6325" s="2">
        <f ca="1"/>
        <v>80.992449186216078</v>
      </c>
      <c r="AG6325" s="2">
        <f ca="1"/>
        <v>0.22415589653530321</v>
      </c>
      <c r="AH6325" s="2" t="str">
        <f ca="1"/>
        <v>OK</v>
      </c>
    </row>
    <row r="6326" spans="2:34">
      <c r="B6326" s="2">
        <f ca="1"/>
        <v>0.7887807944474714</v>
      </c>
      <c r="O6326" s="2">
        <f ca="1"/>
        <v>-1.3441157692473638</v>
      </c>
      <c r="X6326" s="2">
        <f ca="1"/>
        <v>42.341150243482524</v>
      </c>
      <c r="AG6326" s="2">
        <f ca="1"/>
        <v>0.7868384732221656</v>
      </c>
      <c r="AH6326" s="2" t="str">
        <f ca="1"/>
        <v>Bad</v>
      </c>
    </row>
    <row r="6327" spans="2:34">
      <c r="B6327" s="2">
        <f ca="1"/>
        <v>0.54338523566391617</v>
      </c>
      <c r="O6327" s="2">
        <f ca="1"/>
        <v>-2.2702014365359262</v>
      </c>
      <c r="X6327" s="2">
        <f ca="1"/>
        <v>36.618245972701992</v>
      </c>
      <c r="AG6327" s="2">
        <f ca="1"/>
        <v>0.89015678744960103</v>
      </c>
      <c r="AH6327" s="2" t="str">
        <f ca="1"/>
        <v>Bad</v>
      </c>
    </row>
    <row r="6328" spans="2:34">
      <c r="B6328" s="2">
        <f ca="1"/>
        <v>0.46195049176883285</v>
      </c>
      <c r="O6328" s="2">
        <f ca="1"/>
        <v>1.3134315764557698</v>
      </c>
      <c r="X6328" s="2">
        <f ca="1"/>
        <v>45.389835376838974</v>
      </c>
      <c r="AG6328" s="2">
        <f ca="1"/>
        <v>0.24264753753695545</v>
      </c>
      <c r="AH6328" s="2" t="str">
        <f ca="1"/>
        <v>OK</v>
      </c>
    </row>
    <row r="6329" spans="2:34">
      <c r="B6329" s="2">
        <f ca="1"/>
        <v>0.50926433652081227</v>
      </c>
      <c r="O6329" s="2">
        <f ca="1"/>
        <v>-0.76493216001635489</v>
      </c>
      <c r="X6329" s="2">
        <f ca="1"/>
        <v>46.480162116972103</v>
      </c>
      <c r="AG6329" s="2">
        <f ca="1"/>
        <v>0.82362279086012924</v>
      </c>
      <c r="AH6329" s="2" t="str">
        <f ca="1"/>
        <v>Bad</v>
      </c>
    </row>
    <row r="6330" spans="2:34">
      <c r="B6330" s="2">
        <f ca="1"/>
        <v>0.86765634449678353</v>
      </c>
      <c r="O6330" s="2">
        <f ca="1"/>
        <v>0.13631464264515589</v>
      </c>
      <c r="X6330" s="2">
        <f ca="1"/>
        <v>44.899254241741751</v>
      </c>
      <c r="AG6330" s="2">
        <f ca="1"/>
        <v>0.72322535625442086</v>
      </c>
      <c r="AH6330" s="2" t="str">
        <f ca="1"/>
        <v>Bad</v>
      </c>
    </row>
    <row r="6331" spans="2:34">
      <c r="B6331" s="2">
        <f ca="1"/>
        <v>0.13999400303039589</v>
      </c>
      <c r="O6331" s="2">
        <f ca="1"/>
        <v>-1.6174888619101899</v>
      </c>
      <c r="X6331" s="2">
        <f ca="1"/>
        <v>27.651821503781228</v>
      </c>
      <c r="AG6331" s="2">
        <f ca="1"/>
        <v>0.24763984695719188</v>
      </c>
      <c r="AH6331" s="2" t="str">
        <f ca="1"/>
        <v>OK</v>
      </c>
    </row>
    <row r="6332" spans="2:34">
      <c r="B6332" s="2">
        <f ca="1"/>
        <v>0.98033888107469069</v>
      </c>
      <c r="O6332" s="2">
        <f ca="1"/>
        <v>0.41004769332092172</v>
      </c>
      <c r="X6332" s="2">
        <f ca="1"/>
        <v>63.626397071671946</v>
      </c>
      <c r="AG6332" s="2">
        <f ca="1"/>
        <v>0.56116727030306701</v>
      </c>
      <c r="AH6332" s="2" t="str">
        <f ca="1"/>
        <v>Bad</v>
      </c>
    </row>
    <row r="6333" spans="2:34">
      <c r="B6333" s="2">
        <f ca="1"/>
        <v>0.65219407200758761</v>
      </c>
      <c r="O6333" s="2">
        <f ca="1"/>
        <v>0.60048464152740222</v>
      </c>
      <c r="X6333" s="2">
        <f ca="1"/>
        <v>50.28850217634016</v>
      </c>
      <c r="AG6333" s="2">
        <f ca="1"/>
        <v>3.7023508611692124E-2</v>
      </c>
      <c r="AH6333" s="2" t="str">
        <f ca="1"/>
        <v>Good</v>
      </c>
    </row>
    <row r="6334" spans="2:34">
      <c r="B6334" s="2">
        <f ca="1"/>
        <v>0.9193708275161061</v>
      </c>
      <c r="O6334" s="2">
        <f ca="1"/>
        <v>0.90475780274593876</v>
      </c>
      <c r="X6334" s="2">
        <f ca="1"/>
        <v>39.256607721878751</v>
      </c>
      <c r="AG6334" s="2">
        <f ca="1"/>
        <v>0.18803817263344658</v>
      </c>
      <c r="AH6334" s="2" t="str">
        <f ca="1"/>
        <v>OK</v>
      </c>
    </row>
    <row r="6335" spans="2:34">
      <c r="B6335" s="2">
        <f ca="1"/>
        <v>0.4538177151731122</v>
      </c>
      <c r="O6335" s="2">
        <f ca="1"/>
        <v>0.43241779516314943</v>
      </c>
      <c r="X6335" s="2">
        <f ca="1"/>
        <v>38.587165906971698</v>
      </c>
      <c r="AG6335" s="2">
        <f ca="1"/>
        <v>0.89524778564955554</v>
      </c>
      <c r="AH6335" s="2" t="str">
        <f ca="1"/>
        <v>Bad</v>
      </c>
    </row>
    <row r="6336" spans="2:34">
      <c r="B6336" s="2">
        <f ca="1"/>
        <v>0.17246275139656242</v>
      </c>
      <c r="O6336" s="2">
        <f ca="1"/>
        <v>-0.49833812507031339</v>
      </c>
      <c r="X6336" s="2">
        <f ca="1"/>
        <v>50.586202804920568</v>
      </c>
      <c r="AG6336" s="2">
        <f ca="1"/>
        <v>4.1828499957476506E-2</v>
      </c>
      <c r="AH6336" s="2" t="str">
        <f ca="1"/>
        <v>Good</v>
      </c>
    </row>
    <row r="6337" spans="2:34">
      <c r="B6337" s="2">
        <f ca="1"/>
        <v>0.59776057098163693</v>
      </c>
      <c r="O6337" s="2">
        <f ca="1"/>
        <v>0.43161499167575978</v>
      </c>
      <c r="X6337" s="2">
        <f ca="1"/>
        <v>21.557904749704608</v>
      </c>
      <c r="AG6337" s="2">
        <f ca="1"/>
        <v>0.17981590896432231</v>
      </c>
      <c r="AH6337" s="2" t="str">
        <f ca="1"/>
        <v>OK</v>
      </c>
    </row>
    <row r="6338" spans="2:34">
      <c r="B6338" s="2">
        <f ca="1"/>
        <v>0.63979542470478501</v>
      </c>
      <c r="O6338" s="2">
        <f ca="1"/>
        <v>-0.71979859530032231</v>
      </c>
      <c r="X6338" s="2">
        <f ca="1"/>
        <v>46.499615509179797</v>
      </c>
      <c r="AG6338" s="2">
        <f ca="1"/>
        <v>0.61812224242627756</v>
      </c>
      <c r="AH6338" s="2" t="str">
        <f ca="1"/>
        <v>Bad</v>
      </c>
    </row>
    <row r="6339" spans="2:34">
      <c r="B6339" s="2">
        <f ca="1"/>
        <v>0.74190968893997522</v>
      </c>
      <c r="O6339" s="2">
        <f ca="1"/>
        <v>0.22467284720506539</v>
      </c>
      <c r="X6339" s="2">
        <f ca="1"/>
        <v>41.027648355189854</v>
      </c>
      <c r="AG6339" s="2">
        <f ca="1"/>
        <v>0.98255798398579697</v>
      </c>
      <c r="AH6339" s="2" t="str">
        <f ca="1"/>
        <v>Bad</v>
      </c>
    </row>
    <row r="6340" spans="2:34">
      <c r="B6340" s="2">
        <f ca="1"/>
        <v>6.8980884073943205E-2</v>
      </c>
      <c r="O6340" s="2">
        <f ca="1"/>
        <v>0.5935887509989084</v>
      </c>
      <c r="X6340" s="2">
        <f ca="1"/>
        <v>42.025399944674867</v>
      </c>
      <c r="AG6340" s="2">
        <f ca="1"/>
        <v>0.41536749584150545</v>
      </c>
      <c r="AH6340" s="2" t="str">
        <f ca="1"/>
        <v>Bad</v>
      </c>
    </row>
    <row r="6341" spans="2:34">
      <c r="B6341" s="2">
        <f ca="1"/>
        <v>0.78354838876119248</v>
      </c>
      <c r="O6341" s="2">
        <f ca="1"/>
        <v>1.2667947100854418</v>
      </c>
      <c r="X6341" s="2">
        <f ca="1"/>
        <v>42.961832029242629</v>
      </c>
      <c r="AG6341" s="2">
        <f ca="1"/>
        <v>0.5603459517361129</v>
      </c>
      <c r="AH6341" s="2" t="str">
        <f ca="1"/>
        <v>Bad</v>
      </c>
    </row>
    <row r="6342" spans="2:34">
      <c r="B6342" s="2">
        <f ca="1"/>
        <v>0.28738333734567978</v>
      </c>
      <c r="O6342" s="2">
        <f ca="1"/>
        <v>0.98372072618353645</v>
      </c>
      <c r="X6342" s="2">
        <f ca="1"/>
        <v>99.589175228388015</v>
      </c>
      <c r="AG6342" s="2">
        <f ca="1"/>
        <v>0.95754634109040948</v>
      </c>
      <c r="AH6342" s="2" t="str">
        <f ca="1"/>
        <v>Bad</v>
      </c>
    </row>
    <row r="6343" spans="2:34">
      <c r="B6343" s="2">
        <f ca="1"/>
        <v>0.85477655531532304</v>
      </c>
      <c r="O6343" s="2">
        <f ca="1"/>
        <v>-0.83522931787208776</v>
      </c>
      <c r="X6343" s="2">
        <f ca="1"/>
        <v>49.485078506823442</v>
      </c>
      <c r="AG6343" s="2">
        <f ca="1"/>
        <v>0.13471752082188071</v>
      </c>
      <c r="AH6343" s="2" t="str">
        <f ca="1"/>
        <v>OK</v>
      </c>
    </row>
    <row r="6344" spans="2:34">
      <c r="B6344" s="2">
        <f ca="1"/>
        <v>0.10448684146288323</v>
      </c>
      <c r="O6344" s="2">
        <f ca="1"/>
        <v>0.8893527088292108</v>
      </c>
      <c r="X6344" s="2">
        <f ca="1"/>
        <v>75.200813051253533</v>
      </c>
      <c r="AG6344" s="2">
        <f ca="1"/>
        <v>0.78196118154651928</v>
      </c>
      <c r="AH6344" s="2" t="str">
        <f ca="1"/>
        <v>Bad</v>
      </c>
    </row>
    <row r="6345" spans="2:34">
      <c r="B6345" s="2">
        <f ca="1"/>
        <v>0.1915764742719761</v>
      </c>
      <c r="O6345" s="2">
        <f ca="1"/>
        <v>0.43372132142733094</v>
      </c>
      <c r="X6345" s="2">
        <f ca="1"/>
        <v>69.817618957345417</v>
      </c>
      <c r="AG6345" s="2">
        <f ca="1"/>
        <v>0.55227481362615904</v>
      </c>
      <c r="AH6345" s="2" t="str">
        <f ca="1"/>
        <v>Bad</v>
      </c>
    </row>
    <row r="6346" spans="2:34">
      <c r="B6346" s="2">
        <f ca="1"/>
        <v>3.703201077393703E-2</v>
      </c>
      <c r="O6346" s="2">
        <f ca="1"/>
        <v>-1.460662757228133</v>
      </c>
      <c r="X6346" s="2">
        <f ca="1"/>
        <v>46.409193106137892</v>
      </c>
      <c r="AG6346" s="2">
        <f ca="1"/>
        <v>0.13501842297209898</v>
      </c>
      <c r="AH6346" s="2" t="str">
        <f ca="1"/>
        <v>OK</v>
      </c>
    </row>
    <row r="6347" spans="2:34">
      <c r="B6347" s="2">
        <f ca="1"/>
        <v>0.4136191040533479</v>
      </c>
      <c r="O6347" s="2">
        <f ca="1"/>
        <v>-0.19498242900366025</v>
      </c>
      <c r="X6347" s="2">
        <f ca="1"/>
        <v>32.083239270621704</v>
      </c>
      <c r="AG6347" s="2">
        <f ca="1"/>
        <v>0.34542187928666945</v>
      </c>
      <c r="AH6347" s="2" t="str">
        <f ca="1"/>
        <v>OK</v>
      </c>
    </row>
    <row r="6348" spans="2:34">
      <c r="B6348" s="2">
        <f ca="1"/>
        <v>0.90756469388131888</v>
      </c>
      <c r="O6348" s="2">
        <f ca="1"/>
        <v>0.40819322178879075</v>
      </c>
      <c r="X6348" s="2">
        <f ca="1"/>
        <v>51.726071153618882</v>
      </c>
      <c r="AG6348" s="2">
        <f ca="1"/>
        <v>0.82502328179339357</v>
      </c>
      <c r="AH6348" s="2" t="str">
        <f ca="1"/>
        <v>Bad</v>
      </c>
    </row>
    <row r="6349" spans="2:34">
      <c r="B6349" s="2">
        <f ca="1"/>
        <v>0.18737897136201753</v>
      </c>
      <c r="O6349" s="2">
        <f ca="1"/>
        <v>-0.55495382172146435</v>
      </c>
      <c r="X6349" s="2">
        <f ca="1"/>
        <v>29.761846436684184</v>
      </c>
      <c r="AG6349" s="2">
        <f ca="1"/>
        <v>0.56331576310188258</v>
      </c>
      <c r="AH6349" s="2" t="str">
        <f ca="1"/>
        <v>Bad</v>
      </c>
    </row>
    <row r="6350" spans="2:34">
      <c r="B6350" s="2">
        <f ca="1"/>
        <v>0.63862926942053466</v>
      </c>
      <c r="O6350" s="2">
        <f ca="1"/>
        <v>2.0250348357677361</v>
      </c>
      <c r="X6350" s="2">
        <f ca="1"/>
        <v>51.021593356600746</v>
      </c>
      <c r="AG6350" s="2">
        <f ca="1"/>
        <v>0.26484217180581271</v>
      </c>
      <c r="AH6350" s="2" t="str">
        <f ca="1"/>
        <v>OK</v>
      </c>
    </row>
    <row r="6351" spans="2:34">
      <c r="B6351" s="2">
        <f ca="1"/>
        <v>0.55444613813171539</v>
      </c>
      <c r="O6351" s="2">
        <f ca="1"/>
        <v>-1.110213854175734</v>
      </c>
      <c r="X6351" s="2">
        <f ca="1"/>
        <v>44.89942628018207</v>
      </c>
      <c r="AG6351" s="2">
        <f ca="1"/>
        <v>7.3340027153227627E-2</v>
      </c>
      <c r="AH6351" s="2" t="str">
        <f ca="1"/>
        <v>OK</v>
      </c>
    </row>
    <row r="6352" spans="2:34">
      <c r="B6352" s="2">
        <f ca="1"/>
        <v>0.28953004613153488</v>
      </c>
      <c r="O6352" s="2">
        <f ca="1"/>
        <v>-0.93439605260572589</v>
      </c>
      <c r="X6352" s="2">
        <f ca="1"/>
        <v>76.923425143321424</v>
      </c>
      <c r="AG6352" s="2">
        <f ca="1"/>
        <v>6.1129775409407561E-3</v>
      </c>
      <c r="AH6352" s="2" t="str">
        <f ca="1"/>
        <v>Good</v>
      </c>
    </row>
    <row r="6353" spans="2:34">
      <c r="B6353" s="2">
        <f ca="1"/>
        <v>0.53719607041256023</v>
      </c>
      <c r="O6353" s="2">
        <f ca="1"/>
        <v>0.52855639899800155</v>
      </c>
      <c r="X6353" s="2">
        <f ca="1"/>
        <v>37.343894419656223</v>
      </c>
      <c r="AG6353" s="2">
        <f ca="1"/>
        <v>0.90696811845756042</v>
      </c>
      <c r="AH6353" s="2" t="str">
        <f ca="1"/>
        <v>Bad</v>
      </c>
    </row>
    <row r="6354" spans="2:34">
      <c r="B6354" s="2">
        <f ca="1"/>
        <v>0.40236655602259574</v>
      </c>
      <c r="O6354" s="2">
        <f ca="1"/>
        <v>-6.9160469969086466E-2</v>
      </c>
      <c r="X6354" s="2">
        <f ca="1"/>
        <v>41.48961190296496</v>
      </c>
      <c r="AG6354" s="2">
        <f ca="1"/>
        <v>0.19272728272538697</v>
      </c>
      <c r="AH6354" s="2" t="str">
        <f ca="1"/>
        <v>OK</v>
      </c>
    </row>
    <row r="6355" spans="2:34">
      <c r="B6355" s="2">
        <f ca="1"/>
        <v>0.75300259802613501</v>
      </c>
      <c r="O6355" s="2">
        <f ca="1"/>
        <v>1.2465269256362144</v>
      </c>
      <c r="X6355" s="2">
        <f ca="1"/>
        <v>43.400084906165766</v>
      </c>
      <c r="AG6355" s="2">
        <f ca="1"/>
        <v>0.60107625963896716</v>
      </c>
      <c r="AH6355" s="2" t="str">
        <f ca="1"/>
        <v>Bad</v>
      </c>
    </row>
    <row r="6356" spans="2:34">
      <c r="B6356" s="2">
        <f ca="1"/>
        <v>0.61821207416744461</v>
      </c>
      <c r="O6356" s="2">
        <f ca="1"/>
        <v>1.1927391682893185</v>
      </c>
      <c r="X6356" s="2">
        <f ca="1"/>
        <v>56.002682225231013</v>
      </c>
      <c r="AG6356" s="2">
        <f ca="1"/>
        <v>0.13929703078351752</v>
      </c>
      <c r="AH6356" s="2" t="str">
        <f ca="1"/>
        <v>OK</v>
      </c>
    </row>
    <row r="6357" spans="2:34">
      <c r="B6357" s="2">
        <f ca="1"/>
        <v>0.41902092540222835</v>
      </c>
      <c r="O6357" s="2">
        <f ca="1"/>
        <v>-0.10046938280683447</v>
      </c>
      <c r="X6357" s="2">
        <f ca="1"/>
        <v>48.769297974480885</v>
      </c>
      <c r="AG6357" s="2">
        <f ca="1"/>
        <v>0.94899935303034</v>
      </c>
      <c r="AH6357" s="2" t="str">
        <f ca="1"/>
        <v>Bad</v>
      </c>
    </row>
    <row r="6358" spans="2:34">
      <c r="B6358" s="2">
        <f ca="1"/>
        <v>0.22618840357143877</v>
      </c>
      <c r="O6358" s="2">
        <f ca="1"/>
        <v>-0.80321283784655584</v>
      </c>
      <c r="X6358" s="2">
        <f ca="1"/>
        <v>59.937937377256105</v>
      </c>
      <c r="AG6358" s="2">
        <f ca="1"/>
        <v>1.3152969071652976E-2</v>
      </c>
      <c r="AH6358" s="2" t="str">
        <f ca="1"/>
        <v>Good</v>
      </c>
    </row>
    <row r="6359" spans="2:34">
      <c r="B6359" s="2">
        <f ca="1"/>
        <v>0.50778357612881875</v>
      </c>
      <c r="O6359" s="2">
        <f ca="1"/>
        <v>0.91146841610447316</v>
      </c>
      <c r="X6359" s="2">
        <f ca="1"/>
        <v>28.081468463166036</v>
      </c>
      <c r="AG6359" s="2">
        <f ca="1"/>
        <v>0.37863331980841752</v>
      </c>
      <c r="AH6359" s="2" t="str">
        <f ca="1"/>
        <v>OK</v>
      </c>
    </row>
    <row r="6360" spans="2:34">
      <c r="B6360" s="2">
        <f ca="1"/>
        <v>0.59032599379771056</v>
      </c>
      <c r="O6360" s="2">
        <f ca="1"/>
        <v>1.745153985958614E-2</v>
      </c>
      <c r="X6360" s="2">
        <f ca="1"/>
        <v>47.235113096500392</v>
      </c>
      <c r="AG6360" s="2">
        <f ca="1"/>
        <v>0.95683123723427443</v>
      </c>
      <c r="AH6360" s="2" t="str">
        <f ca="1"/>
        <v>Bad</v>
      </c>
    </row>
    <row r="6361" spans="2:34">
      <c r="B6361" s="2">
        <f ca="1"/>
        <v>0.78620354027193007</v>
      </c>
      <c r="O6361" s="2">
        <f ca="1"/>
        <v>1.2000436334698172</v>
      </c>
      <c r="X6361" s="2">
        <f ca="1"/>
        <v>62.208728099608678</v>
      </c>
      <c r="AG6361" s="2">
        <f ca="1"/>
        <v>0.44283821894001107</v>
      </c>
      <c r="AH6361" s="2" t="str">
        <f ca="1"/>
        <v>Bad</v>
      </c>
    </row>
    <row r="6362" spans="2:34">
      <c r="B6362" s="2">
        <f ca="1"/>
        <v>4.6879367218328083E-2</v>
      </c>
      <c r="O6362" s="2">
        <f ca="1"/>
        <v>-1.0971905026844733</v>
      </c>
      <c r="X6362" s="2">
        <f ca="1"/>
        <v>31.554515983613356</v>
      </c>
      <c r="AG6362" s="2">
        <f ca="1"/>
        <v>0.97071693805163561</v>
      </c>
      <c r="AH6362" s="2" t="str">
        <f ca="1"/>
        <v>Bad</v>
      </c>
    </row>
    <row r="6363" spans="2:34">
      <c r="B6363" s="2">
        <f ca="1"/>
        <v>0.90773516514929575</v>
      </c>
      <c r="O6363" s="2">
        <f ca="1"/>
        <v>-2.3579960189847706</v>
      </c>
      <c r="X6363" s="2">
        <f ca="1"/>
        <v>26.121932304301438</v>
      </c>
      <c r="AG6363" s="2">
        <f ca="1"/>
        <v>0.71099678929083288</v>
      </c>
      <c r="AH6363" s="2" t="str">
        <f ca="1"/>
        <v>Bad</v>
      </c>
    </row>
    <row r="6364" spans="2:34">
      <c r="B6364" s="2">
        <f ca="1"/>
        <v>0.59572083771032625</v>
      </c>
      <c r="O6364" s="2">
        <f ca="1"/>
        <v>1.0208958233235494</v>
      </c>
      <c r="X6364" s="2">
        <f ca="1"/>
        <v>38.376697573358641</v>
      </c>
      <c r="AG6364" s="2">
        <f ca="1"/>
        <v>0.1251127133431067</v>
      </c>
      <c r="AH6364" s="2" t="str">
        <f ca="1"/>
        <v>OK</v>
      </c>
    </row>
    <row r="6365" spans="2:34">
      <c r="B6365" s="2">
        <f ca="1"/>
        <v>0.33529515876631755</v>
      </c>
      <c r="O6365" s="2">
        <f ca="1"/>
        <v>-1.9112985632897137</v>
      </c>
      <c r="X6365" s="2">
        <f ca="1"/>
        <v>78.543641122443915</v>
      </c>
      <c r="AG6365" s="2">
        <f ca="1"/>
        <v>0.32441672571350044</v>
      </c>
      <c r="AH6365" s="2" t="str">
        <f ca="1"/>
        <v>OK</v>
      </c>
    </row>
    <row r="6366" spans="2:34">
      <c r="B6366" s="2">
        <f ca="1"/>
        <v>0.22482780153502824</v>
      </c>
      <c r="O6366" s="2">
        <f ca="1"/>
        <v>-1.0775527245498511</v>
      </c>
      <c r="X6366" s="2">
        <f ca="1"/>
        <v>35.096369994969876</v>
      </c>
      <c r="AG6366" s="2">
        <f ca="1"/>
        <v>0.76457308325678475</v>
      </c>
      <c r="AH6366" s="2" t="str">
        <f ca="1"/>
        <v>Bad</v>
      </c>
    </row>
    <row r="6367" spans="2:34">
      <c r="B6367" s="2">
        <f ca="1"/>
        <v>0.18511026640296846</v>
      </c>
      <c r="O6367" s="2">
        <f ca="1"/>
        <v>0.68278463888502738</v>
      </c>
      <c r="X6367" s="2">
        <f ca="1"/>
        <v>41.721421290226431</v>
      </c>
      <c r="AG6367" s="2">
        <f ca="1"/>
        <v>0.52472305292190402</v>
      </c>
      <c r="AH6367" s="2" t="str">
        <f ca="1"/>
        <v>Bad</v>
      </c>
    </row>
    <row r="6368" spans="2:34">
      <c r="B6368" s="2">
        <f ca="1"/>
        <v>0.92063310751994254</v>
      </c>
      <c r="O6368" s="2">
        <f ca="1"/>
        <v>4.5441866747826618E-2</v>
      </c>
      <c r="X6368" s="2">
        <f ca="1"/>
        <v>53.769722660127357</v>
      </c>
      <c r="AG6368" s="2">
        <f ca="1"/>
        <v>0.76921987281743331</v>
      </c>
      <c r="AH6368" s="2" t="str">
        <f ca="1"/>
        <v>Bad</v>
      </c>
    </row>
    <row r="6369" spans="2:34">
      <c r="B6369" s="2">
        <f ca="1"/>
        <v>0.15052889950932524</v>
      </c>
      <c r="O6369" s="2">
        <f ca="1"/>
        <v>0.65964629030122723</v>
      </c>
      <c r="X6369" s="2">
        <f ca="1"/>
        <v>43.249704377767237</v>
      </c>
      <c r="AG6369" s="2">
        <f ca="1"/>
        <v>9.3706623441866865E-2</v>
      </c>
      <c r="AH6369" s="2" t="str">
        <f ca="1"/>
        <v>OK</v>
      </c>
    </row>
    <row r="6370" spans="2:34">
      <c r="B6370" s="2">
        <f ca="1"/>
        <v>0.2429664416991173</v>
      </c>
      <c r="O6370" s="2">
        <f ca="1"/>
        <v>-1.8061486949192416</v>
      </c>
      <c r="X6370" s="2">
        <f ca="1"/>
        <v>78.802923324401789</v>
      </c>
      <c r="AG6370" s="2">
        <f ca="1"/>
        <v>0.31698344995554151</v>
      </c>
      <c r="AH6370" s="2" t="str">
        <f ca="1"/>
        <v>OK</v>
      </c>
    </row>
    <row r="6371" spans="2:34">
      <c r="B6371" s="2">
        <f ca="1"/>
        <v>0.66875152420003814</v>
      </c>
      <c r="O6371" s="2">
        <f ca="1"/>
        <v>-1.6699520566715316</v>
      </c>
      <c r="X6371" s="2">
        <f ca="1"/>
        <v>46.990844127244671</v>
      </c>
      <c r="AG6371" s="2">
        <f ca="1"/>
        <v>0.68396644377439575</v>
      </c>
      <c r="AH6371" s="2" t="str">
        <f ca="1"/>
        <v>Bad</v>
      </c>
    </row>
    <row r="6372" spans="2:34">
      <c r="B6372" s="2">
        <f ca="1"/>
        <v>0.60392820004415082</v>
      </c>
      <c r="O6372" s="2">
        <f ca="1"/>
        <v>1.085267488455173</v>
      </c>
      <c r="X6372" s="2">
        <f ca="1"/>
        <v>59.103374334370869</v>
      </c>
      <c r="AG6372" s="2">
        <f ca="1"/>
        <v>0.97531987274313758</v>
      </c>
      <c r="AH6372" s="2" t="str">
        <f ca="1"/>
        <v>Bad</v>
      </c>
    </row>
    <row r="6373" spans="2:34">
      <c r="B6373" s="2">
        <f ca="1"/>
        <v>0.77902625394204272</v>
      </c>
      <c r="O6373" s="2">
        <f ca="1"/>
        <v>0.77461824795232848</v>
      </c>
      <c r="X6373" s="2">
        <f ca="1"/>
        <v>50.949778869012256</v>
      </c>
      <c r="AG6373" s="2">
        <f ca="1"/>
        <v>0.62354758643984964</v>
      </c>
      <c r="AH6373" s="2" t="str">
        <f ca="1"/>
        <v>Bad</v>
      </c>
    </row>
    <row r="6374" spans="2:34">
      <c r="B6374" s="2">
        <f ca="1"/>
        <v>0.74263641609255604</v>
      </c>
      <c r="O6374" s="2">
        <f ca="1"/>
        <v>-0.89494660454938635</v>
      </c>
      <c r="X6374" s="2">
        <f ca="1"/>
        <v>46.257066092409154</v>
      </c>
      <c r="AG6374" s="2">
        <f ca="1"/>
        <v>0.83501297507714156</v>
      </c>
      <c r="AH6374" s="2" t="str">
        <f ca="1"/>
        <v>Bad</v>
      </c>
    </row>
    <row r="6375" spans="2:34">
      <c r="B6375" s="2">
        <f ca="1"/>
        <v>0.6884209479977681</v>
      </c>
      <c r="O6375" s="2">
        <f ca="1"/>
        <v>-0.92362415922088537</v>
      </c>
      <c r="X6375" s="2">
        <f ca="1"/>
        <v>56.677576875861263</v>
      </c>
      <c r="AG6375" s="2">
        <f ca="1"/>
        <v>0.54719164368320983</v>
      </c>
      <c r="AH6375" s="2" t="str">
        <f ca="1"/>
        <v>Bad</v>
      </c>
    </row>
    <row r="6376" spans="2:34">
      <c r="B6376" s="2">
        <f ca="1"/>
        <v>0.87379065199122596</v>
      </c>
      <c r="O6376" s="2">
        <f ca="1"/>
        <v>-0.41508924808895231</v>
      </c>
      <c r="X6376" s="2">
        <f ca="1"/>
        <v>54.912591966823214</v>
      </c>
      <c r="AG6376" s="2">
        <f ca="1"/>
        <v>0.98741098002502947</v>
      </c>
      <c r="AH6376" s="2" t="str">
        <f ca="1"/>
        <v>Bad</v>
      </c>
    </row>
    <row r="6377" spans="2:34">
      <c r="B6377" s="2">
        <f ca="1"/>
        <v>0.72729862570412518</v>
      </c>
      <c r="O6377" s="2">
        <f ca="1"/>
        <v>1.2166033748382596</v>
      </c>
      <c r="X6377" s="2">
        <f ca="1"/>
        <v>63.465731334570918</v>
      </c>
      <c r="AG6377" s="2">
        <f ca="1"/>
        <v>0.55489385460546514</v>
      </c>
      <c r="AH6377" s="2" t="str">
        <f ca="1"/>
        <v>Bad</v>
      </c>
    </row>
    <row r="6378" spans="2:34">
      <c r="B6378" s="2">
        <f ca="1"/>
        <v>0.93509394924528499</v>
      </c>
      <c r="O6378" s="2">
        <f ca="1"/>
        <v>-0.42578848524294544</v>
      </c>
      <c r="X6378" s="2">
        <f ca="1"/>
        <v>44.750228123132921</v>
      </c>
      <c r="AG6378" s="2">
        <f ca="1"/>
        <v>1.0813019690725012E-2</v>
      </c>
      <c r="AH6378" s="2" t="str">
        <f ca="1"/>
        <v>Good</v>
      </c>
    </row>
    <row r="6379" spans="2:34">
      <c r="B6379" s="2">
        <f ca="1"/>
        <v>0.99448837753723884</v>
      </c>
      <c r="O6379" s="2">
        <f ca="1"/>
        <v>0.67516809746664341</v>
      </c>
      <c r="X6379" s="2">
        <f ca="1"/>
        <v>54.619798860364661</v>
      </c>
      <c r="AG6379" s="2">
        <f ca="1"/>
        <v>0.58645005785823012</v>
      </c>
      <c r="AH6379" s="2" t="str">
        <f ca="1"/>
        <v>Bad</v>
      </c>
    </row>
    <row r="6380" spans="2:34">
      <c r="B6380" s="2">
        <f ca="1"/>
        <v>0.6923769617874489</v>
      </c>
      <c r="O6380" s="2">
        <f ca="1"/>
        <v>-0.57389476801780348</v>
      </c>
      <c r="X6380" s="2">
        <f ca="1"/>
        <v>34.412912749863899</v>
      </c>
      <c r="AG6380" s="2">
        <f ca="1"/>
        <v>0.57116646313971797</v>
      </c>
      <c r="AH6380" s="2" t="str">
        <f ca="1"/>
        <v>Bad</v>
      </c>
    </row>
    <row r="6381" spans="2:34">
      <c r="B6381" s="2">
        <f ca="1"/>
        <v>0.69555856072298861</v>
      </c>
      <c r="O6381" s="2">
        <f ca="1"/>
        <v>0.45063203588952933</v>
      </c>
      <c r="X6381" s="2">
        <f ca="1"/>
        <v>63.081617287295863</v>
      </c>
      <c r="AG6381" s="2">
        <f ca="1"/>
        <v>0.2912985547814142</v>
      </c>
      <c r="AH6381" s="2" t="str">
        <f ca="1"/>
        <v>OK</v>
      </c>
    </row>
    <row r="6382" spans="2:34">
      <c r="B6382" s="2">
        <f ca="1"/>
        <v>5.2548556167837379E-3</v>
      </c>
      <c r="O6382" s="2">
        <f ca="1"/>
        <v>-7.6124384587343386E-2</v>
      </c>
      <c r="X6382" s="2">
        <f ca="1"/>
        <v>48.145749255876638</v>
      </c>
      <c r="AG6382" s="2">
        <f ca="1"/>
        <v>0.78790419311101001</v>
      </c>
      <c r="AH6382" s="2" t="str">
        <f ca="1"/>
        <v>Bad</v>
      </c>
    </row>
    <row r="6383" spans="2:34">
      <c r="B6383" s="2">
        <f ca="1"/>
        <v>0.11606317082342321</v>
      </c>
      <c r="O6383" s="2">
        <f ca="1"/>
        <v>-0.26041386547190626</v>
      </c>
      <c r="X6383" s="2">
        <f ca="1"/>
        <v>31.616265679933441</v>
      </c>
      <c r="AG6383" s="2">
        <f ca="1"/>
        <v>0.12149842149767198</v>
      </c>
      <c r="AH6383" s="2" t="str">
        <f ca="1"/>
        <v>OK</v>
      </c>
    </row>
    <row r="6384" spans="2:34">
      <c r="B6384" s="2">
        <f ca="1"/>
        <v>0.48516097259152313</v>
      </c>
      <c r="O6384" s="2">
        <f ca="1"/>
        <v>-0.63533702789745006</v>
      </c>
      <c r="X6384" s="2">
        <f ca="1"/>
        <v>97.860318401634174</v>
      </c>
      <c r="AG6384" s="2">
        <f ca="1"/>
        <v>0.77835898549476634</v>
      </c>
      <c r="AH6384" s="2" t="str">
        <f ca="1"/>
        <v>Bad</v>
      </c>
    </row>
    <row r="6385" spans="2:34">
      <c r="B6385" s="2">
        <f ca="1"/>
        <v>0.46320127666177835</v>
      </c>
      <c r="O6385" s="2">
        <f ca="1"/>
        <v>1.243284737662834</v>
      </c>
      <c r="X6385" s="2">
        <f ca="1"/>
        <v>22.083137036776424</v>
      </c>
      <c r="AG6385" s="2">
        <f ca="1"/>
        <v>4.7152332137375907E-2</v>
      </c>
      <c r="AH6385" s="2" t="str">
        <f ca="1"/>
        <v>Good</v>
      </c>
    </row>
    <row r="6386" spans="2:34">
      <c r="B6386" s="2">
        <f ca="1"/>
        <v>0.91989345828145352</v>
      </c>
      <c r="O6386" s="2">
        <f ca="1"/>
        <v>-0.1156377755153105</v>
      </c>
      <c r="X6386" s="2">
        <f ca="1"/>
        <v>49.751943275661297</v>
      </c>
      <c r="AG6386" s="2">
        <f ca="1"/>
        <v>0.65670643313365185</v>
      </c>
      <c r="AH6386" s="2" t="str">
        <f ca="1"/>
        <v>Bad</v>
      </c>
    </row>
    <row r="6387" spans="2:34">
      <c r="B6387" s="2">
        <f ca="1"/>
        <v>0.46555674787030954</v>
      </c>
      <c r="O6387" s="2">
        <f ca="1"/>
        <v>-1.1481094250302291</v>
      </c>
      <c r="X6387" s="2">
        <f ca="1"/>
        <v>77.8364058479698</v>
      </c>
      <c r="AG6387" s="2">
        <f ca="1"/>
        <v>0.81291072233082873</v>
      </c>
      <c r="AH6387" s="2" t="str">
        <f ca="1"/>
        <v>Bad</v>
      </c>
    </row>
    <row r="6388" spans="2:34">
      <c r="B6388" s="2">
        <f ca="1"/>
        <v>6.4587913504843941E-2</v>
      </c>
      <c r="O6388" s="2">
        <f ca="1"/>
        <v>-0.15932716503993585</v>
      </c>
      <c r="X6388" s="2">
        <f ca="1"/>
        <v>31.740185018618181</v>
      </c>
      <c r="AG6388" s="2">
        <f ca="1"/>
        <v>0.25529972778374854</v>
      </c>
      <c r="AH6388" s="2" t="str">
        <f ca="1"/>
        <v>OK</v>
      </c>
    </row>
    <row r="6389" spans="2:34">
      <c r="B6389" s="2">
        <f ca="1"/>
        <v>3.9900042856265472E-2</v>
      </c>
      <c r="O6389" s="2">
        <f ca="1"/>
        <v>2.1247375264806906E-4</v>
      </c>
      <c r="X6389" s="2">
        <f ca="1"/>
        <v>43.67709621287392</v>
      </c>
      <c r="AG6389" s="2">
        <f ca="1"/>
        <v>0.79865654637422945</v>
      </c>
      <c r="AH6389" s="2" t="str">
        <f ca="1"/>
        <v>Bad</v>
      </c>
    </row>
    <row r="6390" spans="2:34">
      <c r="B6390" s="2">
        <f ca="1"/>
        <v>0.45017653567318705</v>
      </c>
      <c r="O6390" s="2">
        <f ca="1"/>
        <v>-0.45826032515345716</v>
      </c>
      <c r="X6390" s="2">
        <f ca="1"/>
        <v>42.210088868250963</v>
      </c>
      <c r="AG6390" s="2">
        <f ca="1"/>
        <v>0.90669891692884685</v>
      </c>
      <c r="AH6390" s="2" t="str">
        <f ca="1"/>
        <v>Bad</v>
      </c>
    </row>
    <row r="6391" spans="2:34">
      <c r="B6391" s="2">
        <f ca="1"/>
        <v>0.71766828363262047</v>
      </c>
      <c r="O6391" s="2">
        <f ca="1"/>
        <v>1.0302871616462013</v>
      </c>
      <c r="X6391" s="2">
        <f ca="1"/>
        <v>54.068236946034602</v>
      </c>
      <c r="AG6391" s="2">
        <f ca="1"/>
        <v>0.11309750570800525</v>
      </c>
      <c r="AH6391" s="2" t="str">
        <f ca="1"/>
        <v>OK</v>
      </c>
    </row>
    <row r="6392" spans="2:34">
      <c r="B6392" s="2">
        <f ca="1"/>
        <v>0.77019992079149757</v>
      </c>
      <c r="O6392" s="2">
        <f ca="1"/>
        <v>-0.23760706023208122</v>
      </c>
      <c r="X6392" s="2">
        <f ca="1"/>
        <v>49.015873474693315</v>
      </c>
      <c r="AG6392" s="2">
        <f ca="1"/>
        <v>0.26268749358021237</v>
      </c>
      <c r="AH6392" s="2" t="str">
        <f ca="1"/>
        <v>OK</v>
      </c>
    </row>
    <row r="6393" spans="2:34">
      <c r="B6393" s="2">
        <f ca="1"/>
        <v>0.20178286936895029</v>
      </c>
      <c r="O6393" s="2">
        <f ca="1"/>
        <v>-0.7931585759928973</v>
      </c>
      <c r="X6393" s="2">
        <f ca="1"/>
        <v>61.11997470956539</v>
      </c>
      <c r="AG6393" s="2">
        <f ca="1"/>
        <v>0.6405494844354862</v>
      </c>
      <c r="AH6393" s="2" t="str">
        <f ca="1"/>
        <v>Bad</v>
      </c>
    </row>
    <row r="6394" spans="2:34">
      <c r="B6394" s="2">
        <f ca="1"/>
        <v>0.27477575189499825</v>
      </c>
      <c r="O6394" s="2">
        <f ca="1"/>
        <v>2.3436321985302042</v>
      </c>
      <c r="X6394" s="2">
        <f ca="1"/>
        <v>30.287488442061061</v>
      </c>
      <c r="AG6394" s="2">
        <f ca="1"/>
        <v>6.5580420756072622E-2</v>
      </c>
      <c r="AH6394" s="2" t="str">
        <f ca="1"/>
        <v>OK</v>
      </c>
    </row>
    <row r="6395" spans="2:34">
      <c r="B6395" s="2">
        <f ca="1"/>
        <v>0.63309169764608497</v>
      </c>
      <c r="O6395" s="2">
        <f ca="1"/>
        <v>-0.37192532671004674</v>
      </c>
      <c r="X6395" s="2">
        <f ca="1"/>
        <v>58.953523958207512</v>
      </c>
      <c r="AG6395" s="2">
        <f ca="1"/>
        <v>0.24982210942586747</v>
      </c>
      <c r="AH6395" s="2" t="str">
        <f ca="1"/>
        <v>OK</v>
      </c>
    </row>
    <row r="6396" spans="2:34">
      <c r="B6396" s="2">
        <f ca="1"/>
        <v>0.66542869012916728</v>
      </c>
      <c r="O6396" s="2">
        <f ca="1"/>
        <v>-1.0066584705391439</v>
      </c>
      <c r="X6396" s="2">
        <f ca="1"/>
        <v>41.795708188605296</v>
      </c>
      <c r="AG6396" s="2">
        <f ca="1"/>
        <v>0.11590296031078995</v>
      </c>
      <c r="AH6396" s="2" t="str">
        <f ca="1"/>
        <v>OK</v>
      </c>
    </row>
    <row r="6397" spans="2:34">
      <c r="B6397" s="2">
        <f ca="1"/>
        <v>0.9514273786504206</v>
      </c>
      <c r="O6397" s="2">
        <f ca="1"/>
        <v>-0.33196299941668939</v>
      </c>
      <c r="X6397" s="2">
        <f ca="1"/>
        <v>35.311441058965045</v>
      </c>
      <c r="AG6397" s="2">
        <f ca="1"/>
        <v>0.47238876917516204</v>
      </c>
      <c r="AH6397" s="2" t="str">
        <f ca="1"/>
        <v>Bad</v>
      </c>
    </row>
    <row r="6398" spans="2:34">
      <c r="B6398" s="2">
        <f ca="1"/>
        <v>0.36313955303341894</v>
      </c>
      <c r="O6398" s="2">
        <f ca="1"/>
        <v>0.62852913942977029</v>
      </c>
      <c r="X6398" s="2">
        <f ca="1"/>
        <v>79.499689509923684</v>
      </c>
      <c r="AG6398" s="2">
        <f ca="1"/>
        <v>0.28364029593541362</v>
      </c>
      <c r="AH6398" s="2" t="str">
        <f ca="1"/>
        <v>OK</v>
      </c>
    </row>
    <row r="6399" spans="2:34">
      <c r="B6399" s="2">
        <f ca="1"/>
        <v>0.71731076671278093</v>
      </c>
      <c r="O6399" s="2">
        <f ca="1"/>
        <v>1.4237199807493945</v>
      </c>
      <c r="X6399" s="2">
        <f ca="1"/>
        <v>37.617544678207068</v>
      </c>
      <c r="AG6399" s="2">
        <f ca="1"/>
        <v>0.87074450381438817</v>
      </c>
      <c r="AH6399" s="2" t="str">
        <f ca="1"/>
        <v>Bad</v>
      </c>
    </row>
    <row r="6400" spans="2:34">
      <c r="B6400" s="2">
        <f ca="1"/>
        <v>0.11219538756069847</v>
      </c>
      <c r="O6400" s="2">
        <f ca="1"/>
        <v>-1.7583256607645725</v>
      </c>
      <c r="X6400" s="2">
        <f ca="1"/>
        <v>50.546874585047789</v>
      </c>
      <c r="AG6400" s="2">
        <f ca="1"/>
        <v>3.4053059179687928E-2</v>
      </c>
      <c r="AH6400" s="2" t="str">
        <f ca="1"/>
        <v>Good</v>
      </c>
    </row>
    <row r="6401" spans="2:34">
      <c r="B6401" s="2">
        <f ca="1"/>
        <v>0.47955619802447003</v>
      </c>
      <c r="O6401" s="2">
        <f ca="1"/>
        <v>-0.81396250033085082</v>
      </c>
      <c r="X6401" s="2">
        <f ca="1"/>
        <v>41.700768974871266</v>
      </c>
      <c r="AG6401" s="2">
        <f ca="1"/>
        <v>0.88794470431358463</v>
      </c>
      <c r="AH6401" s="2" t="str">
        <f ca="1"/>
        <v>Bad</v>
      </c>
    </row>
    <row r="6402" spans="2:34">
      <c r="B6402" s="2">
        <f ca="1"/>
        <v>0.9452354503157232</v>
      </c>
      <c r="O6402" s="2">
        <f ca="1"/>
        <v>-1.1323159198614707</v>
      </c>
      <c r="X6402" s="2">
        <f ca="1"/>
        <v>62.96909216675202</v>
      </c>
      <c r="AG6402" s="2">
        <f ca="1"/>
        <v>0.83159390419242452</v>
      </c>
      <c r="AH6402" s="2" t="str">
        <f ca="1"/>
        <v>Bad</v>
      </c>
    </row>
    <row r="6403" spans="2:34">
      <c r="B6403" s="2">
        <f ca="1"/>
        <v>0.45498473425941333</v>
      </c>
      <c r="O6403" s="2">
        <f ca="1"/>
        <v>-1.359406813421538</v>
      </c>
      <c r="X6403" s="2">
        <f ca="1"/>
        <v>42.489413750597379</v>
      </c>
      <c r="AG6403" s="2">
        <f ca="1"/>
        <v>0.37920274661357611</v>
      </c>
      <c r="AH6403" s="2" t="str">
        <f ca="1"/>
        <v>OK</v>
      </c>
    </row>
    <row r="6404" spans="2:34">
      <c r="B6404" s="2">
        <f ca="1"/>
        <v>0.67340532037305856</v>
      </c>
      <c r="O6404" s="2">
        <f ca="1"/>
        <v>-2.0932533524646044</v>
      </c>
      <c r="X6404" s="2">
        <f ca="1"/>
        <v>55.662207464707947</v>
      </c>
      <c r="AG6404" s="2">
        <f ca="1"/>
        <v>0.60645635424023547</v>
      </c>
      <c r="AH6404" s="2" t="str">
        <f ca="1"/>
        <v>Bad</v>
      </c>
    </row>
    <row r="6405" spans="2:34">
      <c r="B6405" s="2">
        <f ca="1"/>
        <v>0.55629663380219352</v>
      </c>
      <c r="O6405" s="2">
        <f ca="1"/>
        <v>1.0040344229616709</v>
      </c>
      <c r="X6405" s="2">
        <f ca="1"/>
        <v>40.913403090860029</v>
      </c>
      <c r="AG6405" s="2">
        <f ca="1"/>
        <v>0.36158897419844838</v>
      </c>
      <c r="AH6405" s="2" t="str">
        <f ca="1"/>
        <v>OK</v>
      </c>
    </row>
    <row r="6406" spans="2:34">
      <c r="B6406" s="2">
        <f ca="1"/>
        <v>7.3120743314167846E-3</v>
      </c>
      <c r="O6406" s="2">
        <f ca="1"/>
        <v>0.37908975874682393</v>
      </c>
      <c r="X6406" s="2">
        <f ca="1"/>
        <v>114.90294768861331</v>
      </c>
      <c r="AG6406" s="2">
        <f ca="1"/>
        <v>0.92906195594283902</v>
      </c>
      <c r="AH6406" s="2" t="str">
        <f ca="1"/>
        <v>Bad</v>
      </c>
    </row>
    <row r="6407" spans="2:34">
      <c r="B6407" s="2">
        <f ca="1"/>
        <v>0.99070494821609478</v>
      </c>
      <c r="O6407" s="2">
        <f ca="1"/>
        <v>1.06054892276301</v>
      </c>
      <c r="X6407" s="2">
        <f ca="1"/>
        <v>41.246006823933499</v>
      </c>
      <c r="AG6407" s="2">
        <f ca="1"/>
        <v>0.79745886144673772</v>
      </c>
      <c r="AH6407" s="2" t="str">
        <f ca="1"/>
        <v>Bad</v>
      </c>
    </row>
    <row r="6408" spans="2:34">
      <c r="B6408" s="2">
        <f ca="1"/>
        <v>0.12955212198261301</v>
      </c>
      <c r="O6408" s="2">
        <f ca="1"/>
        <v>0.35303308244466547</v>
      </c>
      <c r="X6408" s="2">
        <f ca="1"/>
        <v>44.692749694419369</v>
      </c>
      <c r="AG6408" s="2">
        <f ca="1"/>
        <v>0.81651716724417867</v>
      </c>
      <c r="AH6408" s="2" t="str">
        <f ca="1"/>
        <v>Bad</v>
      </c>
    </row>
    <row r="6409" spans="2:34">
      <c r="B6409" s="2">
        <f ca="1"/>
        <v>0.13013507376294831</v>
      </c>
      <c r="O6409" s="2">
        <f ca="1"/>
        <v>-2.2653069031308619</v>
      </c>
      <c r="X6409" s="2">
        <f ca="1"/>
        <v>40.615548351892478</v>
      </c>
      <c r="AG6409" s="2">
        <f ca="1"/>
        <v>0.15259870373608808</v>
      </c>
      <c r="AH6409" s="2" t="str">
        <f ca="1"/>
        <v>OK</v>
      </c>
    </row>
    <row r="6410" spans="2:34">
      <c r="B6410" s="2">
        <f ca="1"/>
        <v>0.26696412699046568</v>
      </c>
      <c r="O6410" s="2">
        <f ca="1"/>
        <v>0.81020817342668316</v>
      </c>
      <c r="X6410" s="2">
        <f ca="1"/>
        <v>47.482507040917582</v>
      </c>
      <c r="AG6410" s="2">
        <f ca="1"/>
        <v>0.23451736160936898</v>
      </c>
      <c r="AH6410" s="2" t="str">
        <f ca="1"/>
        <v>OK</v>
      </c>
    </row>
    <row r="6411" spans="2:34">
      <c r="B6411" s="2">
        <f ca="1"/>
        <v>8.900677197418938E-3</v>
      </c>
      <c r="O6411" s="2">
        <f ca="1"/>
        <v>-1.7084681793552552</v>
      </c>
      <c r="X6411" s="2">
        <f ca="1"/>
        <v>54.531079771003135</v>
      </c>
      <c r="AG6411" s="2">
        <f ca="1"/>
        <v>0.63618167825562955</v>
      </c>
      <c r="AH6411" s="2" t="str">
        <f ca="1"/>
        <v>Bad</v>
      </c>
    </row>
    <row r="6412" spans="2:34">
      <c r="B6412" s="2">
        <f ca="1"/>
        <v>0.40689590036513557</v>
      </c>
      <c r="O6412" s="2">
        <f ca="1"/>
        <v>-0.47951871523056083</v>
      </c>
      <c r="X6412" s="2">
        <f ca="1"/>
        <v>26.407660635328121</v>
      </c>
      <c r="AG6412" s="2">
        <f ca="1"/>
        <v>0.37781567009800687</v>
      </c>
      <c r="AH6412" s="2" t="str">
        <f ca="1"/>
        <v>OK</v>
      </c>
    </row>
    <row r="6413" spans="2:34">
      <c r="B6413" s="2">
        <f ca="1"/>
        <v>0.56582784937885022</v>
      </c>
      <c r="O6413" s="2">
        <f ca="1"/>
        <v>-0.89948522605537584</v>
      </c>
      <c r="X6413" s="2">
        <f ca="1"/>
        <v>42.767128016893551</v>
      </c>
      <c r="AG6413" s="2">
        <f ca="1"/>
        <v>0.57474235295126808</v>
      </c>
      <c r="AH6413" s="2" t="str">
        <f ca="1"/>
        <v>Bad</v>
      </c>
    </row>
    <row r="6414" spans="2:34">
      <c r="B6414" s="2">
        <f ca="1"/>
        <v>0.73959201087213922</v>
      </c>
      <c r="O6414" s="2">
        <f ca="1"/>
        <v>-1.0854398464553592</v>
      </c>
      <c r="X6414" s="2">
        <f ca="1"/>
        <v>32.925738413035276</v>
      </c>
      <c r="AG6414" s="2">
        <f ca="1"/>
        <v>0.32212089593551352</v>
      </c>
      <c r="AH6414" s="2" t="str">
        <f ca="1"/>
        <v>OK</v>
      </c>
    </row>
    <row r="6415" spans="2:34">
      <c r="B6415" s="2">
        <f ca="1"/>
        <v>0.75525019880394084</v>
      </c>
      <c r="O6415" s="2">
        <f ca="1"/>
        <v>0.25401876812201118</v>
      </c>
      <c r="X6415" s="2">
        <f ca="1"/>
        <v>31.599865408870151</v>
      </c>
      <c r="AG6415" s="2">
        <f ca="1"/>
        <v>0.80159407691721274</v>
      </c>
      <c r="AH6415" s="2" t="str">
        <f ca="1"/>
        <v>Bad</v>
      </c>
    </row>
    <row r="6416" spans="2:34">
      <c r="B6416" s="2">
        <f ca="1"/>
        <v>0.46682523566262257</v>
      </c>
      <c r="O6416" s="2">
        <f ca="1"/>
        <v>1.197731585416357</v>
      </c>
      <c r="X6416" s="2">
        <f ca="1"/>
        <v>37.187342058163829</v>
      </c>
      <c r="AG6416" s="2">
        <f ca="1"/>
        <v>0.69121977663952716</v>
      </c>
      <c r="AH6416" s="2" t="str">
        <f ca="1"/>
        <v>Bad</v>
      </c>
    </row>
    <row r="6417" spans="2:34">
      <c r="B6417" s="2">
        <f ca="1"/>
        <v>0.88637629102196347</v>
      </c>
      <c r="O6417" s="2">
        <f ca="1"/>
        <v>-0.68088752920460704</v>
      </c>
      <c r="X6417" s="2">
        <f ca="1"/>
        <v>35.133309257923514</v>
      </c>
      <c r="AG6417" s="2">
        <f ca="1"/>
        <v>0.64554367353282527</v>
      </c>
      <c r="AH6417" s="2" t="str">
        <f ca="1"/>
        <v>Bad</v>
      </c>
    </row>
    <row r="6418" spans="2:34">
      <c r="B6418" s="2">
        <f ca="1"/>
        <v>0.66375267542554961</v>
      </c>
      <c r="O6418" s="2">
        <f ca="1"/>
        <v>0.51097038342778967</v>
      </c>
      <c r="X6418" s="2">
        <f ca="1"/>
        <v>54.253277611621002</v>
      </c>
      <c r="AG6418" s="2">
        <f ca="1"/>
        <v>0.42347799150044918</v>
      </c>
      <c r="AH6418" s="2" t="str">
        <f ca="1"/>
        <v>Bad</v>
      </c>
    </row>
    <row r="6419" spans="2:34">
      <c r="B6419" s="2">
        <f ca="1"/>
        <v>0.87644274867921812</v>
      </c>
      <c r="O6419" s="2">
        <f ca="1"/>
        <v>1.1354533933174007</v>
      </c>
      <c r="X6419" s="2">
        <f ca="1"/>
        <v>60.118841448301687</v>
      </c>
      <c r="AG6419" s="2">
        <f ca="1"/>
        <v>0.12476891641363297</v>
      </c>
      <c r="AH6419" s="2" t="str">
        <f ca="1"/>
        <v>OK</v>
      </c>
    </row>
    <row r="6420" spans="2:34">
      <c r="B6420" s="2">
        <f ca="1"/>
        <v>0.88763538956003396</v>
      </c>
      <c r="O6420" s="2">
        <f ca="1"/>
        <v>-0.29667558091945795</v>
      </c>
      <c r="X6420" s="2">
        <f ca="1"/>
        <v>30.466021940258106</v>
      </c>
      <c r="AG6420" s="2">
        <f ca="1"/>
        <v>0.81057592695621361</v>
      </c>
      <c r="AH6420" s="2" t="str">
        <f ca="1"/>
        <v>Bad</v>
      </c>
    </row>
    <row r="6421" spans="2:34">
      <c r="B6421" s="2">
        <f ca="1"/>
        <v>0.76234930232045817</v>
      </c>
      <c r="O6421" s="2">
        <f ca="1"/>
        <v>1.0539525777085343</v>
      </c>
      <c r="X6421" s="2">
        <f ca="1"/>
        <v>61.345877910617197</v>
      </c>
      <c r="AG6421" s="2">
        <f ca="1"/>
        <v>0.4007560327451607</v>
      </c>
      <c r="AH6421" s="2" t="str">
        <f ca="1"/>
        <v>Bad</v>
      </c>
    </row>
    <row r="6422" spans="2:34">
      <c r="B6422" s="2">
        <f ca="1"/>
        <v>0.28218093037715364</v>
      </c>
      <c r="O6422" s="2">
        <f ca="1"/>
        <v>-1.9740842209611822</v>
      </c>
      <c r="X6422" s="2">
        <f ca="1"/>
        <v>46.866926856213482</v>
      </c>
      <c r="AG6422" s="2">
        <f ca="1"/>
        <v>0.21843256139744582</v>
      </c>
      <c r="AH6422" s="2" t="str">
        <f ca="1"/>
        <v>OK</v>
      </c>
    </row>
    <row r="6423" spans="2:34">
      <c r="B6423" s="2">
        <f ca="1"/>
        <v>4.7181973031406255E-2</v>
      </c>
      <c r="O6423" s="2">
        <f ca="1"/>
        <v>-0.48836631403536335</v>
      </c>
      <c r="X6423" s="2">
        <f ca="1"/>
        <v>53.374272971784613</v>
      </c>
      <c r="AG6423" s="2">
        <f ca="1"/>
        <v>0.61851015342615279</v>
      </c>
      <c r="AH6423" s="2" t="str">
        <f ca="1"/>
        <v>Bad</v>
      </c>
    </row>
    <row r="6424" spans="2:34">
      <c r="B6424" s="2">
        <f ca="1"/>
        <v>0.48457632379303295</v>
      </c>
      <c r="O6424" s="2">
        <f ca="1"/>
        <v>0.79365984644915233</v>
      </c>
      <c r="X6424" s="2">
        <f ca="1"/>
        <v>88.514296574110446</v>
      </c>
      <c r="AG6424" s="2">
        <f ca="1"/>
        <v>0.46647444645277791</v>
      </c>
      <c r="AH6424" s="2" t="str">
        <f ca="1"/>
        <v>Bad</v>
      </c>
    </row>
    <row r="6425" spans="2:34">
      <c r="B6425" s="2">
        <f ca="1"/>
        <v>0.12375859717684823</v>
      </c>
      <c r="O6425" s="2">
        <f ca="1"/>
        <v>-0.1524455806707963</v>
      </c>
      <c r="X6425" s="2">
        <f ca="1"/>
        <v>33.413752955245485</v>
      </c>
      <c r="AG6425" s="2">
        <f ca="1"/>
        <v>0.22688945955086304</v>
      </c>
      <c r="AH6425" s="2" t="str">
        <f ca="1"/>
        <v>OK</v>
      </c>
    </row>
    <row r="6426" spans="2:34">
      <c r="B6426" s="2">
        <f ca="1"/>
        <v>0.59014887153123152</v>
      </c>
      <c r="O6426" s="2">
        <f ca="1"/>
        <v>0.31740579740287156</v>
      </c>
      <c r="X6426" s="2">
        <f ca="1"/>
        <v>43.491523892972381</v>
      </c>
      <c r="AG6426" s="2">
        <f ca="1"/>
        <v>0.81555068571573486</v>
      </c>
      <c r="AH6426" s="2" t="str">
        <f ca="1"/>
        <v>Bad</v>
      </c>
    </row>
    <row r="6427" spans="2:34">
      <c r="B6427" s="2">
        <f ca="1"/>
        <v>0.1192934322877901</v>
      </c>
      <c r="O6427" s="2">
        <f ca="1"/>
        <v>1.3372758251561789</v>
      </c>
      <c r="X6427" s="2">
        <f ca="1"/>
        <v>47.522049768532881</v>
      </c>
      <c r="AG6427" s="2">
        <f ca="1"/>
        <v>0.49279283885512815</v>
      </c>
      <c r="AH6427" s="2" t="str">
        <f ca="1"/>
        <v>Bad</v>
      </c>
    </row>
    <row r="6428" spans="2:34">
      <c r="B6428" s="2">
        <f ca="1"/>
        <v>0.43022523520492051</v>
      </c>
      <c r="O6428" s="2">
        <f ca="1"/>
        <v>1.3242055582482186</v>
      </c>
      <c r="X6428" s="2">
        <f ca="1"/>
        <v>66.96916446665935</v>
      </c>
      <c r="AG6428" s="2">
        <f ca="1"/>
        <v>0.13423560198594653</v>
      </c>
      <c r="AH6428" s="2" t="str">
        <f ca="1"/>
        <v>OK</v>
      </c>
    </row>
    <row r="6429" spans="2:34">
      <c r="B6429" s="2">
        <f ca="1"/>
        <v>0.70129512985233622</v>
      </c>
      <c r="O6429" s="2">
        <f ca="1"/>
        <v>-1.2047439890244305</v>
      </c>
      <c r="X6429" s="2">
        <f ca="1"/>
        <v>34.772326175711292</v>
      </c>
      <c r="AG6429" s="2">
        <f ca="1"/>
        <v>0.78701821380499482</v>
      </c>
      <c r="AH6429" s="2" t="str">
        <f ca="1"/>
        <v>Bad</v>
      </c>
    </row>
    <row r="6430" spans="2:34">
      <c r="B6430" s="2">
        <f ca="1"/>
        <v>0.60319240487877734</v>
      </c>
      <c r="O6430" s="2">
        <f ca="1"/>
        <v>1.175692727936458</v>
      </c>
      <c r="X6430" s="2">
        <f ca="1"/>
        <v>39.83686626214508</v>
      </c>
      <c r="AG6430" s="2">
        <f ca="1"/>
        <v>0.7950691761864781</v>
      </c>
      <c r="AH6430" s="2" t="str">
        <f ca="1"/>
        <v>Bad</v>
      </c>
    </row>
    <row r="6431" spans="2:34">
      <c r="B6431" s="2">
        <f ca="1"/>
        <v>0.21943879995131343</v>
      </c>
      <c r="O6431" s="2">
        <f ca="1"/>
        <v>-0.48987770797847996</v>
      </c>
      <c r="X6431" s="2">
        <f ca="1"/>
        <v>50.035511282337282</v>
      </c>
      <c r="AG6431" s="2">
        <f ca="1"/>
        <v>9.3486116750600701E-3</v>
      </c>
      <c r="AH6431" s="2" t="str">
        <f ca="1"/>
        <v>Good</v>
      </c>
    </row>
    <row r="6432" spans="2:34">
      <c r="B6432" s="2">
        <f ca="1"/>
        <v>0.12182787854169641</v>
      </c>
      <c r="O6432" s="2">
        <f ca="1"/>
        <v>-1.2557880536357438</v>
      </c>
      <c r="X6432" s="2">
        <f ca="1"/>
        <v>43.502450487709808</v>
      </c>
      <c r="AG6432" s="2">
        <f ca="1"/>
        <v>0.69347453655346802</v>
      </c>
      <c r="AH6432" s="2" t="str">
        <f ca="1"/>
        <v>Bad</v>
      </c>
    </row>
    <row r="6433" spans="2:34">
      <c r="B6433" s="2">
        <f ca="1"/>
        <v>0.79803171287645402</v>
      </c>
      <c r="O6433" s="2">
        <f ca="1"/>
        <v>2.2078721645577657</v>
      </c>
      <c r="X6433" s="2">
        <f ca="1"/>
        <v>51.480682230113644</v>
      </c>
      <c r="AG6433" s="2">
        <f ca="1"/>
        <v>0.19457444508360999</v>
      </c>
      <c r="AH6433" s="2" t="str">
        <f ca="1"/>
        <v>OK</v>
      </c>
    </row>
    <row r="6434" spans="2:34">
      <c r="B6434" s="2">
        <f ca="1"/>
        <v>0.52209892560277282</v>
      </c>
      <c r="O6434" s="2">
        <f ca="1"/>
        <v>0.78392996067905407</v>
      </c>
      <c r="X6434" s="2">
        <f ca="1"/>
        <v>30.84051755872219</v>
      </c>
      <c r="AG6434" s="2">
        <f ca="1"/>
        <v>2.5079266863446525E-2</v>
      </c>
      <c r="AH6434" s="2" t="str">
        <f ca="1"/>
        <v>Good</v>
      </c>
    </row>
    <row r="6435" spans="2:34">
      <c r="B6435" s="2">
        <f ca="1"/>
        <v>9.6166567190954844E-2</v>
      </c>
      <c r="O6435" s="2">
        <f ca="1"/>
        <v>0.45738931121038445</v>
      </c>
      <c r="X6435" s="2">
        <f ca="1"/>
        <v>48.205537518069107</v>
      </c>
      <c r="AG6435" s="2">
        <f ca="1"/>
        <v>0.7185945487819565</v>
      </c>
      <c r="AH6435" s="2" t="str">
        <f ca="1"/>
        <v>Bad</v>
      </c>
    </row>
    <row r="6436" spans="2:34">
      <c r="B6436" s="2">
        <f ca="1"/>
        <v>0.50653597041234377</v>
      </c>
      <c r="O6436" s="2">
        <f ca="1"/>
        <v>-0.51022321507168733</v>
      </c>
      <c r="X6436" s="2">
        <f ca="1"/>
        <v>69.884822775557737</v>
      </c>
      <c r="AG6436" s="2">
        <f ca="1"/>
        <v>0.25660582299618317</v>
      </c>
      <c r="AH6436" s="2" t="str">
        <f ca="1"/>
        <v>OK</v>
      </c>
    </row>
    <row r="6437" spans="2:34">
      <c r="B6437" s="2">
        <f ca="1"/>
        <v>0.53232101025409495</v>
      </c>
      <c r="O6437" s="2">
        <f ca="1"/>
        <v>-0.68591604118315985</v>
      </c>
      <c r="X6437" s="2">
        <f ca="1"/>
        <v>46.998794428795378</v>
      </c>
      <c r="AG6437" s="2">
        <f ca="1"/>
        <v>0.45858917180865677</v>
      </c>
      <c r="AH6437" s="2" t="str">
        <f ca="1"/>
        <v>Bad</v>
      </c>
    </row>
    <row r="6438" spans="2:34">
      <c r="B6438" s="2">
        <f ca="1"/>
        <v>0.62448109372718918</v>
      </c>
      <c r="O6438" s="2">
        <f ca="1"/>
        <v>0.94022805247978281</v>
      </c>
      <c r="X6438" s="2">
        <f ca="1"/>
        <v>35.118068668172434</v>
      </c>
      <c r="AG6438" s="2">
        <f ca="1"/>
        <v>0.71653382130163035</v>
      </c>
      <c r="AH6438" s="2" t="str">
        <f ca="1"/>
        <v>Bad</v>
      </c>
    </row>
    <row r="6439" spans="2:34">
      <c r="B6439" s="2">
        <f ca="1"/>
        <v>0.36801098174984359</v>
      </c>
      <c r="O6439" s="2">
        <f ca="1"/>
        <v>1.7242142598546593</v>
      </c>
      <c r="X6439" s="2">
        <f ca="1"/>
        <v>56.128682597145058</v>
      </c>
      <c r="AG6439" s="2">
        <f ca="1"/>
        <v>0.21369178275848499</v>
      </c>
      <c r="AH6439" s="2" t="str">
        <f ca="1"/>
        <v>OK</v>
      </c>
    </row>
    <row r="6440" spans="2:34">
      <c r="B6440" s="2">
        <f ca="1"/>
        <v>0.13953818215455316</v>
      </c>
      <c r="O6440" s="2">
        <f ca="1"/>
        <v>-3.7154229142822466E-2</v>
      </c>
      <c r="X6440" s="2">
        <f ca="1"/>
        <v>28.167522222079153</v>
      </c>
      <c r="AG6440" s="2">
        <f ca="1"/>
        <v>0.54484630440538862</v>
      </c>
      <c r="AH6440" s="2" t="str">
        <f ca="1"/>
        <v>Bad</v>
      </c>
    </row>
    <row r="6441" spans="2:34">
      <c r="B6441" s="2">
        <f ca="1"/>
        <v>0.13633739544598966</v>
      </c>
      <c r="O6441" s="2">
        <f ca="1"/>
        <v>0.39506854596094032</v>
      </c>
      <c r="X6441" s="2">
        <f ca="1"/>
        <v>31.144104041792701</v>
      </c>
      <c r="AG6441" s="2">
        <f ca="1"/>
        <v>0.64415549997449184</v>
      </c>
      <c r="AH6441" s="2" t="str">
        <f ca="1"/>
        <v>Bad</v>
      </c>
    </row>
    <row r="6442" spans="2:34">
      <c r="B6442" s="2">
        <f ca="1"/>
        <v>0.32423598159115108</v>
      </c>
      <c r="O6442" s="2">
        <f ca="1"/>
        <v>0.96316182499740277</v>
      </c>
      <c r="X6442" s="2">
        <f ca="1"/>
        <v>45.99843304078324</v>
      </c>
      <c r="AG6442" s="2">
        <f ca="1"/>
        <v>0.51076279610491504</v>
      </c>
      <c r="AH6442" s="2" t="str">
        <f ca="1"/>
        <v>Bad</v>
      </c>
    </row>
    <row r="6443" spans="2:34">
      <c r="B6443" s="2">
        <f ca="1"/>
        <v>0.9853089065043743</v>
      </c>
      <c r="O6443" s="2">
        <f ca="1"/>
        <v>-0.48199371782705558</v>
      </c>
      <c r="X6443" s="2">
        <f ca="1"/>
        <v>37.371517336162931</v>
      </c>
      <c r="AG6443" s="2">
        <f ca="1"/>
        <v>0.11730264175191762</v>
      </c>
      <c r="AH6443" s="2" t="str">
        <f ca="1"/>
        <v>OK</v>
      </c>
    </row>
    <row r="6444" spans="2:34">
      <c r="B6444" s="2">
        <f ca="1"/>
        <v>0.21100021621202125</v>
      </c>
      <c r="O6444" s="2">
        <f ca="1"/>
        <v>-0.11872559244029937</v>
      </c>
      <c r="X6444" s="2">
        <f ca="1"/>
        <v>51.405682238367135</v>
      </c>
      <c r="AG6444" s="2">
        <f ca="1"/>
        <v>0.44472801840024423</v>
      </c>
      <c r="AH6444" s="2" t="str">
        <f ca="1"/>
        <v>Bad</v>
      </c>
    </row>
    <row r="6445" spans="2:34">
      <c r="B6445" s="2">
        <f ca="1"/>
        <v>1.3870656192406017E-2</v>
      </c>
      <c r="O6445" s="2">
        <f ca="1"/>
        <v>0.17993558671041399</v>
      </c>
      <c r="X6445" s="2">
        <f ca="1"/>
        <v>62.722385002756582</v>
      </c>
      <c r="AG6445" s="2">
        <f ca="1"/>
        <v>0.41502354576789457</v>
      </c>
      <c r="AH6445" s="2" t="str">
        <f ca="1"/>
        <v>Bad</v>
      </c>
    </row>
    <row r="6446" spans="2:34">
      <c r="B6446" s="2">
        <f ca="1"/>
        <v>0.52492109139152343</v>
      </c>
      <c r="O6446" s="2">
        <f ca="1"/>
        <v>-1.777967631156445</v>
      </c>
      <c r="X6446" s="2">
        <f ca="1"/>
        <v>51.500196481873999</v>
      </c>
      <c r="AG6446" s="2">
        <f ca="1"/>
        <v>0.71811131023913477</v>
      </c>
      <c r="AH6446" s="2" t="str">
        <f ca="1"/>
        <v>Bad</v>
      </c>
    </row>
    <row r="6447" spans="2:34">
      <c r="B6447" s="2">
        <f ca="1"/>
        <v>0.41418803060283005</v>
      </c>
      <c r="O6447" s="2">
        <f ca="1"/>
        <v>0.21701662617359591</v>
      </c>
      <c r="X6447" s="2">
        <f ca="1"/>
        <v>61.761676819222828</v>
      </c>
      <c r="AG6447" s="2">
        <f ca="1"/>
        <v>0.35823619642582161</v>
      </c>
      <c r="AH6447" s="2" t="str">
        <f ca="1"/>
        <v>OK</v>
      </c>
    </row>
    <row r="6448" spans="2:34">
      <c r="B6448" s="2">
        <f ca="1"/>
        <v>0.62198476050002105</v>
      </c>
      <c r="O6448" s="2">
        <f ca="1"/>
        <v>0.34833077735219176</v>
      </c>
      <c r="X6448" s="2">
        <f ca="1"/>
        <v>56.290806281835309</v>
      </c>
      <c r="AG6448" s="2">
        <f ca="1"/>
        <v>0.18127811598263821</v>
      </c>
      <c r="AH6448" s="2" t="str">
        <f ca="1"/>
        <v>OK</v>
      </c>
    </row>
    <row r="6449" spans="2:34">
      <c r="B6449" s="2">
        <f ca="1"/>
        <v>0.14492430941731915</v>
      </c>
      <c r="O6449" s="2">
        <f ca="1"/>
        <v>0.93300200027459768</v>
      </c>
      <c r="X6449" s="2">
        <f ca="1"/>
        <v>46.41452803294996</v>
      </c>
      <c r="AG6449" s="2">
        <f ca="1"/>
        <v>0.92919626190325944</v>
      </c>
      <c r="AH6449" s="2" t="str">
        <f ca="1"/>
        <v>Bad</v>
      </c>
    </row>
    <row r="6450" spans="2:34">
      <c r="B6450" s="2">
        <f ca="1"/>
        <v>9.5922983978275589E-2</v>
      </c>
      <c r="O6450" s="2">
        <f ca="1"/>
        <v>0.42653421649588968</v>
      </c>
      <c r="X6450" s="2">
        <f ca="1"/>
        <v>50.693136355949797</v>
      </c>
      <c r="AG6450" s="2">
        <f ca="1"/>
        <v>0.42039821000512934</v>
      </c>
      <c r="AH6450" s="2" t="str">
        <f ca="1"/>
        <v>Bad</v>
      </c>
    </row>
    <row r="6451" spans="2:34">
      <c r="B6451" s="2">
        <f ca="1"/>
        <v>0.66423304042341424</v>
      </c>
      <c r="O6451" s="2">
        <f ca="1"/>
        <v>0.44662440102533679</v>
      </c>
      <c r="X6451" s="2">
        <f ca="1"/>
        <v>52.783779505599107</v>
      </c>
      <c r="AG6451" s="2">
        <f ca="1"/>
        <v>0.73526958999806968</v>
      </c>
      <c r="AH6451" s="2" t="str">
        <f ca="1"/>
        <v>Bad</v>
      </c>
    </row>
    <row r="6452" spans="2:34">
      <c r="B6452" s="2">
        <f ca="1"/>
        <v>0.59504828389307285</v>
      </c>
      <c r="O6452" s="2">
        <f ca="1"/>
        <v>3.1965083138903032</v>
      </c>
      <c r="X6452" s="2">
        <f ca="1"/>
        <v>53.139737845718329</v>
      </c>
      <c r="AG6452" s="2">
        <f ca="1"/>
        <v>0.77675584642613127</v>
      </c>
      <c r="AH6452" s="2" t="str">
        <f ca="1"/>
        <v>Bad</v>
      </c>
    </row>
    <row r="6453" spans="2:34">
      <c r="B6453" s="2">
        <f ca="1"/>
        <v>0.12355662507208565</v>
      </c>
      <c r="O6453" s="2">
        <f ca="1"/>
        <v>0.10984521391584832</v>
      </c>
      <c r="X6453" s="2">
        <f ca="1"/>
        <v>40.317117461910115</v>
      </c>
      <c r="AG6453" s="2">
        <f ca="1"/>
        <v>0.77436109730579994</v>
      </c>
      <c r="AH6453" s="2" t="str">
        <f ca="1"/>
        <v>Bad</v>
      </c>
    </row>
    <row r="6454" spans="2:34">
      <c r="B6454" s="2">
        <f ca="1"/>
        <v>0.85480295517162697</v>
      </c>
      <c r="O6454" s="2">
        <f ca="1"/>
        <v>-0.14697676912606739</v>
      </c>
      <c r="X6454" s="2">
        <f ca="1"/>
        <v>71.244196332366556</v>
      </c>
      <c r="AG6454" s="2">
        <f ca="1"/>
        <v>0.85863433628031727</v>
      </c>
      <c r="AH6454" s="2" t="str">
        <f ca="1"/>
        <v>Bad</v>
      </c>
    </row>
    <row r="6455" spans="2:34">
      <c r="B6455" s="2">
        <f ca="1"/>
        <v>0.40773977728805533</v>
      </c>
      <c r="O6455" s="2">
        <f ca="1"/>
        <v>-0.82415398828093134</v>
      </c>
      <c r="X6455" s="2">
        <f ca="1"/>
        <v>35.858372933420689</v>
      </c>
      <c r="AG6455" s="2">
        <f ca="1"/>
        <v>0.57196154714629466</v>
      </c>
      <c r="AH6455" s="2" t="str">
        <f ca="1"/>
        <v>Bad</v>
      </c>
    </row>
    <row r="6456" spans="2:34">
      <c r="B6456" s="2">
        <f ca="1"/>
        <v>0.79437512600980931</v>
      </c>
      <c r="O6456" s="2">
        <f ca="1"/>
        <v>1.002869576966549</v>
      </c>
      <c r="X6456" s="2">
        <f ca="1"/>
        <v>48.352271471830093</v>
      </c>
      <c r="AG6456" s="2">
        <f ca="1"/>
        <v>0.71598575056343505</v>
      </c>
      <c r="AH6456" s="2" t="str">
        <f ca="1"/>
        <v>Bad</v>
      </c>
    </row>
    <row r="6457" spans="2:34">
      <c r="B6457" s="2">
        <f ca="1"/>
        <v>0.35334750122208836</v>
      </c>
      <c r="O6457" s="2">
        <f ca="1"/>
        <v>-0.61655798825217611</v>
      </c>
      <c r="X6457" s="2">
        <f ca="1"/>
        <v>48.382478781374843</v>
      </c>
      <c r="AG6457" s="2">
        <f ca="1"/>
        <v>0.33842505719729421</v>
      </c>
      <c r="AH6457" s="2" t="str">
        <f ca="1"/>
        <v>OK</v>
      </c>
    </row>
    <row r="6458" spans="2:34">
      <c r="B6458" s="2">
        <f ca="1"/>
        <v>0.73339503215825563</v>
      </c>
      <c r="O6458" s="2">
        <f ca="1"/>
        <v>-0.67957013808705768</v>
      </c>
      <c r="X6458" s="2">
        <f ca="1"/>
        <v>44.764871844913628</v>
      </c>
      <c r="AG6458" s="2">
        <f ca="1"/>
        <v>0.4866055925271604</v>
      </c>
      <c r="AH6458" s="2" t="str">
        <f ca="1"/>
        <v>Bad</v>
      </c>
    </row>
    <row r="6459" spans="2:34">
      <c r="B6459" s="2">
        <f ca="1"/>
        <v>0.50102970735555541</v>
      </c>
      <c r="O6459" s="2">
        <f ca="1"/>
        <v>-1.346058065544991</v>
      </c>
      <c r="X6459" s="2">
        <f ca="1"/>
        <v>55.742647273099315</v>
      </c>
      <c r="AG6459" s="2">
        <f ca="1"/>
        <v>0.93962456829529328</v>
      </c>
      <c r="AH6459" s="2" t="str">
        <f ca="1"/>
        <v>Bad</v>
      </c>
    </row>
    <row r="6460" spans="2:34">
      <c r="B6460" s="2">
        <f ca="1"/>
        <v>0.34935700289807836</v>
      </c>
      <c r="O6460" s="2">
        <f ca="1"/>
        <v>-1.3581965925268613</v>
      </c>
      <c r="X6460" s="2">
        <f ca="1"/>
        <v>22.364437378243593</v>
      </c>
      <c r="AG6460" s="2">
        <f ca="1"/>
        <v>0.63075210033789464</v>
      </c>
      <c r="AH6460" s="2" t="str">
        <f ca="1"/>
        <v>Bad</v>
      </c>
    </row>
    <row r="6461" spans="2:34">
      <c r="B6461" s="2">
        <f ca="1"/>
        <v>0.33701592433255279</v>
      </c>
      <c r="O6461" s="2">
        <f ca="1"/>
        <v>-0.91218557191301508</v>
      </c>
      <c r="X6461" s="2">
        <f ca="1"/>
        <v>41.644425549295512</v>
      </c>
      <c r="AG6461" s="2">
        <f ca="1"/>
        <v>0.8891342320406308</v>
      </c>
      <c r="AH6461" s="2" t="str">
        <f ca="1"/>
        <v>Bad</v>
      </c>
    </row>
    <row r="6462" spans="2:34">
      <c r="B6462" s="2">
        <f ca="1"/>
        <v>0.16476795868826022</v>
      </c>
      <c r="O6462" s="2">
        <f ca="1"/>
        <v>1.4469626442143406</v>
      </c>
      <c r="X6462" s="2">
        <f ca="1"/>
        <v>47.828248575850132</v>
      </c>
      <c r="AG6462" s="2">
        <f ca="1"/>
        <v>0.93884267915370234</v>
      </c>
      <c r="AH6462" s="2" t="str">
        <f ca="1"/>
        <v>Bad</v>
      </c>
    </row>
    <row r="6463" spans="2:34">
      <c r="B6463" s="2">
        <f ca="1"/>
        <v>0.42633071014019097</v>
      </c>
      <c r="O6463" s="2">
        <f ca="1"/>
        <v>-0.54314482145997045</v>
      </c>
      <c r="X6463" s="2">
        <f ca="1"/>
        <v>64.579702152627249</v>
      </c>
      <c r="AG6463" s="2">
        <f ca="1"/>
        <v>0.3381543040236763</v>
      </c>
      <c r="AH6463" s="2" t="str">
        <f ca="1"/>
        <v>OK</v>
      </c>
    </row>
    <row r="6464" spans="2:34">
      <c r="B6464" s="2">
        <f ca="1"/>
        <v>0.11552876147154545</v>
      </c>
      <c r="O6464" s="2">
        <f ca="1"/>
        <v>-0.25634706409875696</v>
      </c>
      <c r="X6464" s="2">
        <f ca="1"/>
        <v>77.554927521039104</v>
      </c>
      <c r="AG6464" s="2">
        <f ca="1"/>
        <v>0.41324127039413705</v>
      </c>
      <c r="AH6464" s="2" t="str">
        <f ca="1"/>
        <v>Bad</v>
      </c>
    </row>
    <row r="6465" spans="2:34">
      <c r="B6465" s="2">
        <f ca="1"/>
        <v>0.92254595435154729</v>
      </c>
      <c r="O6465" s="2">
        <f ca="1"/>
        <v>1.4977243562077096</v>
      </c>
      <c r="X6465" s="2">
        <f ca="1"/>
        <v>43.196296294245464</v>
      </c>
      <c r="AG6465" s="2">
        <f ca="1"/>
        <v>0.93306511544776471</v>
      </c>
      <c r="AH6465" s="2" t="str">
        <f ca="1"/>
        <v>Bad</v>
      </c>
    </row>
    <row r="6466" spans="2:34">
      <c r="B6466" s="2">
        <f ca="1"/>
        <v>0.72952840438911148</v>
      </c>
      <c r="O6466" s="2">
        <f ca="1"/>
        <v>0.74093678392421258</v>
      </c>
      <c r="X6466" s="2">
        <f ca="1"/>
        <v>59.612235585271272</v>
      </c>
      <c r="AG6466" s="2">
        <f ca="1"/>
        <v>0.83471688740490091</v>
      </c>
      <c r="AH6466" s="2" t="str">
        <f ca="1"/>
        <v>Bad</v>
      </c>
    </row>
    <row r="6467" spans="2:34">
      <c r="B6467" s="2">
        <f ca="1"/>
        <v>0.26705070328781089</v>
      </c>
      <c r="O6467" s="2">
        <f ca="1"/>
        <v>-0.98067436166889976</v>
      </c>
      <c r="X6467" s="2">
        <f ca="1"/>
        <v>30.157400674194857</v>
      </c>
      <c r="AG6467" s="2">
        <f ca="1"/>
        <v>0.85047485214378504</v>
      </c>
      <c r="AH6467" s="2" t="str">
        <f ca="1"/>
        <v>Bad</v>
      </c>
    </row>
    <row r="6468" spans="2:34">
      <c r="B6468" s="2">
        <f ca="1"/>
        <v>5.8752502823729902E-2</v>
      </c>
      <c r="O6468" s="2">
        <f ca="1"/>
        <v>-1.0637260873779857</v>
      </c>
      <c r="X6468" s="2">
        <f ca="1"/>
        <v>48.081406795815752</v>
      </c>
      <c r="AG6468" s="2">
        <f ca="1"/>
        <v>0.52022748212599845</v>
      </c>
      <c r="AH6468" s="2" t="str">
        <f ca="1"/>
        <v>Bad</v>
      </c>
    </row>
    <row r="6469" spans="2:34">
      <c r="B6469" s="2">
        <f ca="1"/>
        <v>0.95140433941904212</v>
      </c>
      <c r="O6469" s="2">
        <f ca="1"/>
        <v>-1.4795440815356415</v>
      </c>
      <c r="X6469" s="2">
        <f ca="1"/>
        <v>44.803687505955587</v>
      </c>
      <c r="AG6469" s="2">
        <f ca="1"/>
        <v>0.86209051744354093</v>
      </c>
      <c r="AH6469" s="2" t="str">
        <f ca="1"/>
        <v>Bad</v>
      </c>
    </row>
    <row r="6470" spans="2:34">
      <c r="B6470" s="2">
        <f ca="1"/>
        <v>0.68131875093629723</v>
      </c>
      <c r="O6470" s="2">
        <f ca="1"/>
        <v>-0.31016886517810904</v>
      </c>
      <c r="X6470" s="2">
        <f ca="1"/>
        <v>57.698981476288409</v>
      </c>
      <c r="AG6470" s="2">
        <f ca="1"/>
        <v>9.1366210119384617E-2</v>
      </c>
      <c r="AH6470" s="2" t="str">
        <f ca="1"/>
        <v>OK</v>
      </c>
    </row>
    <row r="6471" spans="2:34">
      <c r="B6471" s="2">
        <f ca="1"/>
        <v>0.44981661334832945</v>
      </c>
      <c r="O6471" s="2">
        <f ca="1"/>
        <v>0.31213707475164071</v>
      </c>
      <c r="X6471" s="2">
        <f ca="1"/>
        <v>36.517110238022411</v>
      </c>
      <c r="AG6471" s="2">
        <f ca="1"/>
        <v>0.46599399828760113</v>
      </c>
      <c r="AH6471" s="2" t="str">
        <f ca="1"/>
        <v>Bad</v>
      </c>
    </row>
    <row r="6472" spans="2:34">
      <c r="B6472" s="2">
        <f ca="1"/>
        <v>0.9941938919139075</v>
      </c>
      <c r="O6472" s="2">
        <f ca="1"/>
        <v>1.0184313477369824</v>
      </c>
      <c r="X6472" s="2">
        <f ca="1"/>
        <v>70.646142349072434</v>
      </c>
      <c r="AG6472" s="2">
        <f ca="1"/>
        <v>0.84227819859297104</v>
      </c>
      <c r="AH6472" s="2" t="str">
        <f ca="1"/>
        <v>Bad</v>
      </c>
    </row>
    <row r="6473" spans="2:34">
      <c r="B6473" s="2">
        <f ca="1"/>
        <v>0.69215672647616211</v>
      </c>
      <c r="O6473" s="2">
        <f ca="1"/>
        <v>0.77349540889427382</v>
      </c>
      <c r="X6473" s="2">
        <f ca="1"/>
        <v>28.593209811153958</v>
      </c>
      <c r="AG6473" s="2">
        <f ca="1"/>
        <v>0.25207111052880071</v>
      </c>
      <c r="AH6473" s="2" t="str">
        <f ca="1"/>
        <v>OK</v>
      </c>
    </row>
    <row r="6474" spans="2:34">
      <c r="B6474" s="2">
        <f ca="1"/>
        <v>0.96500206608043571</v>
      </c>
      <c r="O6474" s="2">
        <f ca="1"/>
        <v>-1.4858150719623247</v>
      </c>
      <c r="X6474" s="2">
        <f ca="1"/>
        <v>63.096235404691889</v>
      </c>
      <c r="AG6474" s="2">
        <f ca="1"/>
        <v>0.84531602269743655</v>
      </c>
      <c r="AH6474" s="2" t="str">
        <f ca="1"/>
        <v>Bad</v>
      </c>
    </row>
    <row r="6475" spans="2:34">
      <c r="B6475" s="2">
        <f ca="1"/>
        <v>0.95588492988837581</v>
      </c>
      <c r="O6475" s="2">
        <f ca="1"/>
        <v>0.25881587736187439</v>
      </c>
      <c r="X6475" s="2">
        <f ca="1"/>
        <v>53.138306948453611</v>
      </c>
      <c r="AG6475" s="2">
        <f ca="1"/>
        <v>0.82805118633865193</v>
      </c>
      <c r="AH6475" s="2" t="str">
        <f ca="1"/>
        <v>Bad</v>
      </c>
    </row>
    <row r="6476" spans="2:34">
      <c r="B6476" s="2">
        <f ca="1"/>
        <v>0.66955984599430352</v>
      </c>
      <c r="O6476" s="2">
        <f ca="1"/>
        <v>-1.7192957345158513</v>
      </c>
      <c r="X6476" s="2">
        <f ca="1"/>
        <v>81.38475029000108</v>
      </c>
      <c r="AG6476" s="2">
        <f ca="1"/>
        <v>0.4980054798913669</v>
      </c>
      <c r="AH6476" s="2" t="str">
        <f ca="1"/>
        <v>Bad</v>
      </c>
    </row>
    <row r="6477" spans="2:34">
      <c r="B6477" s="2">
        <f ca="1"/>
        <v>0.55974584944852723</v>
      </c>
      <c r="O6477" s="2">
        <f ca="1"/>
        <v>0.50710304800439854</v>
      </c>
      <c r="X6477" s="2">
        <f ca="1"/>
        <v>65.407184011735112</v>
      </c>
      <c r="AG6477" s="2">
        <f ca="1"/>
        <v>0.79392855803712692</v>
      </c>
      <c r="AH6477" s="2" t="str">
        <f ca="1"/>
        <v>Bad</v>
      </c>
    </row>
    <row r="6478" spans="2:34">
      <c r="B6478" s="2">
        <f ca="1"/>
        <v>0.40826464396326201</v>
      </c>
      <c r="O6478" s="2">
        <f ca="1"/>
        <v>0.59455890802522704</v>
      </c>
      <c r="X6478" s="2">
        <f ca="1"/>
        <v>37.336181856953161</v>
      </c>
      <c r="AG6478" s="2">
        <f ca="1"/>
        <v>0.69904758409241086</v>
      </c>
      <c r="AH6478" s="2" t="str">
        <f ca="1"/>
        <v>Bad</v>
      </c>
    </row>
    <row r="6479" spans="2:34">
      <c r="B6479" s="2">
        <f ca="1"/>
        <v>0.81206398112436995</v>
      </c>
      <c r="O6479" s="2">
        <f ca="1"/>
        <v>1.2403657388593619</v>
      </c>
      <c r="X6479" s="2">
        <f ca="1"/>
        <v>22.950889115437878</v>
      </c>
      <c r="AG6479" s="2">
        <f ca="1"/>
        <v>0.36275315033131861</v>
      </c>
      <c r="AH6479" s="2" t="str">
        <f ca="1"/>
        <v>OK</v>
      </c>
    </row>
    <row r="6480" spans="2:34">
      <c r="B6480" s="2">
        <f ca="1"/>
        <v>0.39055978343051256</v>
      </c>
      <c r="O6480" s="2">
        <f ca="1"/>
        <v>-1.1332814075892117</v>
      </c>
      <c r="X6480" s="2">
        <f ca="1"/>
        <v>44.939022824772877</v>
      </c>
      <c r="AG6480" s="2">
        <f ca="1"/>
        <v>0.64262942118237687</v>
      </c>
      <c r="AH6480" s="2" t="str">
        <f ca="1"/>
        <v>Bad</v>
      </c>
    </row>
    <row r="6481" spans="2:34">
      <c r="B6481" s="2">
        <f ca="1"/>
        <v>0.81679882890997146</v>
      </c>
      <c r="O6481" s="2">
        <f ca="1"/>
        <v>-0.34538538631909665</v>
      </c>
      <c r="X6481" s="2">
        <f ca="1"/>
        <v>56.405665250460537</v>
      </c>
      <c r="AG6481" s="2">
        <f ca="1"/>
        <v>0.38873648203268729</v>
      </c>
      <c r="AH6481" s="2" t="str">
        <f ca="1"/>
        <v>OK</v>
      </c>
    </row>
    <row r="6482" spans="2:34">
      <c r="B6482" s="2">
        <f ca="1"/>
        <v>0.20931433601487015</v>
      </c>
      <c r="O6482" s="2">
        <f ca="1"/>
        <v>0.97535522213374615</v>
      </c>
      <c r="X6482" s="2">
        <f ca="1"/>
        <v>36.753550534401164</v>
      </c>
      <c r="AG6482" s="2">
        <f ca="1"/>
        <v>0.19154181177682306</v>
      </c>
      <c r="AH6482" s="2" t="str">
        <f ca="1"/>
        <v>OK</v>
      </c>
    </row>
    <row r="6483" spans="2:34">
      <c r="B6483" s="2">
        <f ca="1"/>
        <v>0.89443274752704904</v>
      </c>
      <c r="O6483" s="2">
        <f ca="1"/>
        <v>0.59142919745653955</v>
      </c>
      <c r="X6483" s="2">
        <f ca="1"/>
        <v>54.350178576861268</v>
      </c>
      <c r="AG6483" s="2">
        <f ca="1"/>
        <v>9.1452279945943848E-2</v>
      </c>
      <c r="AH6483" s="2" t="str">
        <f ca="1"/>
        <v>OK</v>
      </c>
    </row>
    <row r="6484" spans="2:34">
      <c r="B6484" s="2">
        <f ca="1"/>
        <v>0.94589170310321258</v>
      </c>
      <c r="O6484" s="2">
        <f ca="1"/>
        <v>0.21493396844671767</v>
      </c>
      <c r="X6484" s="2">
        <f ca="1"/>
        <v>26.427718850765341</v>
      </c>
      <c r="AG6484" s="2">
        <f ca="1"/>
        <v>0.14140646784911026</v>
      </c>
      <c r="AH6484" s="2" t="str">
        <f ca="1"/>
        <v>OK</v>
      </c>
    </row>
    <row r="6485" spans="2:34">
      <c r="B6485" s="2">
        <f ca="1"/>
        <v>0.88628580705283411</v>
      </c>
      <c r="O6485" s="2">
        <f ca="1"/>
        <v>0.26537486625267548</v>
      </c>
      <c r="X6485" s="2">
        <f ca="1"/>
        <v>38.543620375104119</v>
      </c>
      <c r="AG6485" s="2">
        <f ca="1"/>
        <v>0.52283430704187372</v>
      </c>
      <c r="AH6485" s="2" t="str">
        <f ca="1"/>
        <v>Bad</v>
      </c>
    </row>
    <row r="6486" spans="2:34">
      <c r="B6486" s="2">
        <f ca="1"/>
        <v>0.86133666296954292</v>
      </c>
      <c r="O6486" s="2">
        <f ca="1"/>
        <v>1.5055273757153007</v>
      </c>
      <c r="X6486" s="2">
        <f ca="1"/>
        <v>55.340571143967381</v>
      </c>
      <c r="AG6486" s="2">
        <f ca="1"/>
        <v>8.0525283348005017E-2</v>
      </c>
      <c r="AH6486" s="2" t="str">
        <f ca="1"/>
        <v>OK</v>
      </c>
    </row>
    <row r="6487" spans="2:34">
      <c r="B6487" s="2">
        <f ca="1"/>
        <v>0.34453549393386229</v>
      </c>
      <c r="O6487" s="2">
        <f ca="1"/>
        <v>-0.39907024600183161</v>
      </c>
      <c r="X6487" s="2">
        <f ca="1"/>
        <v>57.330003781819592</v>
      </c>
      <c r="AG6487" s="2">
        <f ca="1"/>
        <v>0.18474573164709995</v>
      </c>
      <c r="AH6487" s="2" t="str">
        <f ca="1"/>
        <v>OK</v>
      </c>
    </row>
    <row r="6488" spans="2:34">
      <c r="B6488" s="2">
        <f ca="1"/>
        <v>0.21207335138872629</v>
      </c>
      <c r="O6488" s="2">
        <f ca="1"/>
        <v>-0.44240995467986294</v>
      </c>
      <c r="X6488" s="2">
        <f ca="1"/>
        <v>59.522353475575265</v>
      </c>
      <c r="AG6488" s="2">
        <f ca="1"/>
        <v>0.63132278779155704</v>
      </c>
      <c r="AH6488" s="2" t="str">
        <f ca="1"/>
        <v>Bad</v>
      </c>
    </row>
    <row r="6489" spans="2:34">
      <c r="B6489" s="2">
        <f ca="1"/>
        <v>2.1927949849563033E-2</v>
      </c>
      <c r="O6489" s="2">
        <f ca="1"/>
        <v>2.290454460989225</v>
      </c>
      <c r="X6489" s="2">
        <f ca="1"/>
        <v>64.77730925408153</v>
      </c>
      <c r="AG6489" s="2">
        <f ca="1"/>
        <v>0.32765984022113637</v>
      </c>
      <c r="AH6489" s="2" t="str">
        <f ca="1"/>
        <v>OK</v>
      </c>
    </row>
    <row r="6490" spans="2:34">
      <c r="B6490" s="2">
        <f ca="1"/>
        <v>4.9258209942400155E-2</v>
      </c>
      <c r="O6490" s="2">
        <f ca="1"/>
        <v>-0.51259785059049778</v>
      </c>
      <c r="X6490" s="2">
        <f ca="1"/>
        <v>31.611150246202403</v>
      </c>
      <c r="AG6490" s="2">
        <f ca="1"/>
        <v>0.67408777551851329</v>
      </c>
      <c r="AH6490" s="2" t="str">
        <f ca="1"/>
        <v>Bad</v>
      </c>
    </row>
    <row r="6491" spans="2:34">
      <c r="B6491" s="2">
        <f ca="1"/>
        <v>0.98990423572346753</v>
      </c>
      <c r="O6491" s="2">
        <f ca="1"/>
        <v>0.36767704249743938</v>
      </c>
      <c r="X6491" s="2">
        <f ca="1"/>
        <v>65.990596141894372</v>
      </c>
      <c r="AG6491" s="2">
        <f ca="1"/>
        <v>0.39575816650343576</v>
      </c>
      <c r="AH6491" s="2" t="str">
        <f ca="1"/>
        <v>OK</v>
      </c>
    </row>
    <row r="6492" spans="2:34">
      <c r="B6492" s="2">
        <f ca="1"/>
        <v>0.17380353483078315</v>
      </c>
      <c r="O6492" s="2">
        <f ca="1"/>
        <v>-9.6897168510821086E-3</v>
      </c>
      <c r="X6492" s="2">
        <f ca="1"/>
        <v>70.293112591519076</v>
      </c>
      <c r="AG6492" s="2">
        <f ca="1"/>
        <v>0.31957305202466157</v>
      </c>
      <c r="AH6492" s="2" t="str">
        <f ca="1"/>
        <v>OK</v>
      </c>
    </row>
    <row r="6493" spans="2:34">
      <c r="B6493" s="2">
        <f ca="1"/>
        <v>0.51912000637396449</v>
      </c>
      <c r="O6493" s="2">
        <f ca="1"/>
        <v>1.2287314437652277</v>
      </c>
      <c r="X6493" s="2">
        <f ca="1"/>
        <v>46.049688222700297</v>
      </c>
      <c r="AG6493" s="2">
        <f ca="1"/>
        <v>0.71269281035710619</v>
      </c>
      <c r="AH6493" s="2" t="str">
        <f ca="1"/>
        <v>Bad</v>
      </c>
    </row>
    <row r="6494" spans="2:34">
      <c r="B6494" s="2">
        <f ca="1"/>
        <v>0.93822720251170066</v>
      </c>
      <c r="O6494" s="2">
        <f ca="1"/>
        <v>-0.96519626662298319</v>
      </c>
      <c r="X6494" s="2">
        <f ca="1"/>
        <v>56.857670204783332</v>
      </c>
      <c r="AG6494" s="2">
        <f ca="1"/>
        <v>0.94826985541592745</v>
      </c>
      <c r="AH6494" s="2" t="str">
        <f ca="1"/>
        <v>Bad</v>
      </c>
    </row>
    <row r="6495" spans="2:34">
      <c r="B6495" s="2">
        <f ca="1"/>
        <v>0.19915960919108744</v>
      </c>
      <c r="O6495" s="2">
        <f ca="1"/>
        <v>-0.92159741991269351</v>
      </c>
      <c r="X6495" s="2">
        <f ca="1"/>
        <v>76.19262225730418</v>
      </c>
      <c r="AG6495" s="2">
        <f ca="1"/>
        <v>0.79602307958107121</v>
      </c>
      <c r="AH6495" s="2" t="str">
        <f ca="1"/>
        <v>Bad</v>
      </c>
    </row>
    <row r="6496" spans="2:34">
      <c r="B6496" s="2">
        <f ca="1"/>
        <v>0.62407614850444948</v>
      </c>
      <c r="O6496" s="2">
        <f ca="1"/>
        <v>-1.2541327472674551</v>
      </c>
      <c r="X6496" s="2">
        <f ca="1"/>
        <v>43.812169070160856</v>
      </c>
      <c r="AG6496" s="2">
        <f ca="1"/>
        <v>0.97460794921112059</v>
      </c>
      <c r="AH6496" s="2" t="str">
        <f ca="1"/>
        <v>Bad</v>
      </c>
    </row>
    <row r="6497" spans="2:34">
      <c r="B6497" s="2">
        <f ca="1"/>
        <v>0.86806540171974333</v>
      </c>
      <c r="O6497" s="2">
        <f ca="1"/>
        <v>-0.57705524471329062</v>
      </c>
      <c r="X6497" s="2">
        <f ca="1"/>
        <v>51.677847498348854</v>
      </c>
      <c r="AG6497" s="2">
        <f ca="1"/>
        <v>0.45379771884566567</v>
      </c>
      <c r="AH6497" s="2" t="str">
        <f ca="1"/>
        <v>Bad</v>
      </c>
    </row>
    <row r="6498" spans="2:34">
      <c r="B6498" s="2">
        <f ca="1"/>
        <v>0.96453287806295718</v>
      </c>
      <c r="O6498" s="2">
        <f ca="1"/>
        <v>0.78525425120630887</v>
      </c>
      <c r="X6498" s="2">
        <f ca="1"/>
        <v>36.844546031709285</v>
      </c>
      <c r="AG6498" s="2">
        <f ca="1"/>
        <v>2.0431433988798098E-2</v>
      </c>
      <c r="AH6498" s="2" t="str">
        <f ca="1"/>
        <v>Good</v>
      </c>
    </row>
    <row r="6499" spans="2:34">
      <c r="B6499" s="2">
        <f ca="1"/>
        <v>0.67910621909375157</v>
      </c>
      <c r="O6499" s="2">
        <f ca="1"/>
        <v>-0.38703890904563881</v>
      </c>
      <c r="X6499" s="2">
        <f ca="1"/>
        <v>32.586446342425596</v>
      </c>
      <c r="AG6499" s="2">
        <f ca="1"/>
        <v>0.10821243109882595</v>
      </c>
      <c r="AH6499" s="2" t="str">
        <f ca="1"/>
        <v>OK</v>
      </c>
    </row>
    <row r="6500" spans="2:34">
      <c r="B6500" s="2">
        <f ca="1"/>
        <v>0.97547126258958694</v>
      </c>
      <c r="O6500" s="2">
        <f ca="1"/>
        <v>-0.68162824448012604</v>
      </c>
      <c r="X6500" s="2">
        <f ca="1"/>
        <v>42.316651838222299</v>
      </c>
      <c r="AG6500" s="2">
        <f ca="1"/>
        <v>0.99293250728388815</v>
      </c>
      <c r="AH6500" s="2" t="str">
        <f ca="1"/>
        <v>Bad</v>
      </c>
    </row>
    <row r="6501" spans="2:34">
      <c r="B6501" s="2">
        <f ca="1"/>
        <v>0.13608402536700148</v>
      </c>
      <c r="O6501" s="2">
        <f ca="1"/>
        <v>0.35189806328488166</v>
      </c>
      <c r="X6501" s="2">
        <f ca="1"/>
        <v>55.200479648379066</v>
      </c>
      <c r="AG6501" s="2">
        <f ca="1"/>
        <v>0.35632685651209917</v>
      </c>
      <c r="AH6501" s="2" t="str">
        <f ca="1"/>
        <v>OK</v>
      </c>
    </row>
    <row r="6502" spans="2:34">
      <c r="B6502" s="2">
        <f ca="1"/>
        <v>0.39513987293667219</v>
      </c>
      <c r="O6502" s="2">
        <f ca="1"/>
        <v>1.2707889249053665</v>
      </c>
      <c r="X6502" s="2">
        <f ca="1"/>
        <v>90.774097101295325</v>
      </c>
      <c r="AG6502" s="2">
        <f ca="1"/>
        <v>0.57344642856404571</v>
      </c>
      <c r="AH6502" s="2" t="str">
        <f ca="1"/>
        <v>Bad</v>
      </c>
    </row>
    <row r="6503" spans="2:34">
      <c r="B6503" s="2">
        <f ca="1"/>
        <v>0.48139528486307226</v>
      </c>
      <c r="O6503" s="2">
        <f ca="1"/>
        <v>0.82319560047894347</v>
      </c>
      <c r="X6503" s="2">
        <f ca="1"/>
        <v>34.399249775643021</v>
      </c>
      <c r="AG6503" s="2">
        <f ca="1"/>
        <v>0.36313707310406396</v>
      </c>
      <c r="AH6503" s="2" t="str">
        <f ca="1"/>
        <v>OK</v>
      </c>
    </row>
    <row r="6504" spans="2:34">
      <c r="B6504" s="2">
        <f ca="1"/>
        <v>0.83078732398873134</v>
      </c>
      <c r="O6504" s="2">
        <f ca="1"/>
        <v>0.44352404606879847</v>
      </c>
      <c r="X6504" s="2">
        <f ca="1"/>
        <v>46.133549122352932</v>
      </c>
      <c r="AG6504" s="2">
        <f ca="1"/>
        <v>0.20024308329171903</v>
      </c>
      <c r="AH6504" s="2" t="str">
        <f ca="1"/>
        <v>OK</v>
      </c>
    </row>
    <row r="6505" spans="2:34">
      <c r="B6505" s="2">
        <f ca="1"/>
        <v>0.56953736750468331</v>
      </c>
      <c r="O6505" s="2">
        <f ca="1"/>
        <v>0.88639506397423973</v>
      </c>
      <c r="X6505" s="2">
        <f ca="1"/>
        <v>51.400967927923986</v>
      </c>
      <c r="AG6505" s="2">
        <f ca="1"/>
        <v>0.28015799216126802</v>
      </c>
      <c r="AH6505" s="2" t="str">
        <f ca="1"/>
        <v>OK</v>
      </c>
    </row>
    <row r="6506" spans="2:34">
      <c r="B6506" s="2">
        <f ca="1"/>
        <v>0.2147015278462614</v>
      </c>
      <c r="O6506" s="2">
        <f ca="1"/>
        <v>1.5244283101631724</v>
      </c>
      <c r="X6506" s="2">
        <f ca="1"/>
        <v>58.0181477148178</v>
      </c>
      <c r="AG6506" s="2">
        <f ca="1"/>
        <v>6.8346536759587018E-2</v>
      </c>
      <c r="AH6506" s="2" t="str">
        <f ca="1"/>
        <v>OK</v>
      </c>
    </row>
    <row r="6507" spans="2:34">
      <c r="B6507" s="2">
        <f ca="1"/>
        <v>0.30109392096706844</v>
      </c>
      <c r="O6507" s="2">
        <f ca="1"/>
        <v>-0.61097736230134136</v>
      </c>
      <c r="X6507" s="2">
        <f ca="1"/>
        <v>54.132024739986804</v>
      </c>
      <c r="AG6507" s="2">
        <f ca="1"/>
        <v>0.61483010201781974</v>
      </c>
      <c r="AH6507" s="2" t="str">
        <f ca="1"/>
        <v>Bad</v>
      </c>
    </row>
    <row r="6508" spans="2:34">
      <c r="B6508" s="2">
        <f ca="1"/>
        <v>0.41330534723293622</v>
      </c>
      <c r="O6508" s="2">
        <f ca="1"/>
        <v>0.86340451657630013</v>
      </c>
      <c r="X6508" s="2">
        <f ca="1"/>
        <v>56.6361184053617</v>
      </c>
      <c r="AG6508" s="2">
        <f ca="1"/>
        <v>0.27921799742405984</v>
      </c>
      <c r="AH6508" s="2" t="str">
        <f ca="1"/>
        <v>OK</v>
      </c>
    </row>
    <row r="6509" spans="2:34">
      <c r="B6509" s="2">
        <f ca="1"/>
        <v>0.12068797046157353</v>
      </c>
      <c r="O6509" s="2">
        <f ca="1"/>
        <v>0.86680221002603064</v>
      </c>
      <c r="X6509" s="2">
        <f ca="1"/>
        <v>54.242660554925443</v>
      </c>
      <c r="AG6509" s="2">
        <f ca="1"/>
        <v>0.28478117430013938</v>
      </c>
      <c r="AH6509" s="2" t="str">
        <f ca="1"/>
        <v>OK</v>
      </c>
    </row>
    <row r="6510" spans="2:34">
      <c r="B6510" s="2">
        <f ca="1"/>
        <v>0.30168139089074564</v>
      </c>
      <c r="O6510" s="2">
        <f ca="1"/>
        <v>-1.5621383868245249E-2</v>
      </c>
      <c r="X6510" s="2">
        <f ca="1"/>
        <v>73.896346469350334</v>
      </c>
      <c r="AG6510" s="2">
        <f ca="1"/>
        <v>5.0420157813737543E-3</v>
      </c>
      <c r="AH6510" s="2" t="str">
        <f ca="1"/>
        <v>Good</v>
      </c>
    </row>
    <row r="6511" spans="2:34">
      <c r="B6511" s="2">
        <f ca="1"/>
        <v>0.84136242947963291</v>
      </c>
      <c r="O6511" s="2">
        <f ca="1"/>
        <v>-0.99591043566456905</v>
      </c>
      <c r="X6511" s="2">
        <f ca="1"/>
        <v>77.982060877349724</v>
      </c>
      <c r="AG6511" s="2">
        <f ca="1"/>
        <v>0.27563096701193479</v>
      </c>
      <c r="AH6511" s="2" t="str">
        <f ca="1"/>
        <v>OK</v>
      </c>
    </row>
    <row r="6512" spans="2:34">
      <c r="B6512" s="2">
        <f ca="1"/>
        <v>0.81186748558010136</v>
      </c>
      <c r="O6512" s="2">
        <f ca="1"/>
        <v>1.5563912114211136</v>
      </c>
      <c r="X6512" s="2">
        <f ca="1"/>
        <v>35.298608499580347</v>
      </c>
      <c r="AG6512" s="2">
        <f ca="1"/>
        <v>0.59696971102543706</v>
      </c>
      <c r="AH6512" s="2" t="str">
        <f ca="1"/>
        <v>Bad</v>
      </c>
    </row>
    <row r="6513" spans="2:34">
      <c r="B6513" s="2">
        <f ca="1"/>
        <v>0.44876496965089951</v>
      </c>
      <c r="O6513" s="2">
        <f ca="1"/>
        <v>-0.26562490550615703</v>
      </c>
      <c r="X6513" s="2">
        <f ca="1"/>
        <v>49.438278792625695</v>
      </c>
      <c r="AG6513" s="2">
        <f ca="1"/>
        <v>0.52446032151294575</v>
      </c>
      <c r="AH6513" s="2" t="str">
        <f ca="1"/>
        <v>Bad</v>
      </c>
    </row>
    <row r="6514" spans="2:34">
      <c r="B6514" s="2">
        <f ca="1"/>
        <v>0.6499119850010997</v>
      </c>
      <c r="O6514" s="2">
        <f ca="1"/>
        <v>0.90120067195373632</v>
      </c>
      <c r="X6514" s="2">
        <f ca="1"/>
        <v>46.147152885905449</v>
      </c>
      <c r="AG6514" s="2">
        <f ca="1"/>
        <v>0.87608936459033471</v>
      </c>
      <c r="AH6514" s="2" t="str">
        <f ca="1"/>
        <v>Bad</v>
      </c>
    </row>
    <row r="6515" spans="2:34">
      <c r="B6515" s="2">
        <f ca="1"/>
        <v>0.22168482954563817</v>
      </c>
      <c r="O6515" s="2">
        <f ca="1"/>
        <v>0.68047198696254352</v>
      </c>
      <c r="X6515" s="2">
        <f ca="1"/>
        <v>68.164768422166574</v>
      </c>
      <c r="AG6515" s="2">
        <f ca="1"/>
        <v>0.74973737821438369</v>
      </c>
      <c r="AH6515" s="2" t="str">
        <f ca="1"/>
        <v>Bad</v>
      </c>
    </row>
    <row r="6516" spans="2:34">
      <c r="B6516" s="2">
        <f ca="1"/>
        <v>3.0605214933884906E-2</v>
      </c>
      <c r="O6516" s="2">
        <f ca="1"/>
        <v>-1.5461308720316509</v>
      </c>
      <c r="X6516" s="2">
        <f ca="1"/>
        <v>46.577357569488626</v>
      </c>
      <c r="AG6516" s="2">
        <f ca="1"/>
        <v>0.7441827144350357</v>
      </c>
      <c r="AH6516" s="2" t="str">
        <f ca="1"/>
        <v>Bad</v>
      </c>
    </row>
    <row r="6517" spans="2:34">
      <c r="B6517" s="2">
        <f ca="1"/>
        <v>0.92092051896525162</v>
      </c>
      <c r="O6517" s="2">
        <f ca="1"/>
        <v>-1.1087865898179303</v>
      </c>
      <c r="X6517" s="2">
        <f ca="1"/>
        <v>46.133298901859362</v>
      </c>
      <c r="AG6517" s="2">
        <f ca="1"/>
        <v>0.43983480595203273</v>
      </c>
      <c r="AH6517" s="2" t="str">
        <f ca="1"/>
        <v>Bad</v>
      </c>
    </row>
    <row r="6518" spans="2:34">
      <c r="B6518" s="2">
        <f ca="1"/>
        <v>9.5009236994884949E-2</v>
      </c>
      <c r="O6518" s="2">
        <f ca="1"/>
        <v>7.2923633665074011E-2</v>
      </c>
      <c r="X6518" s="2">
        <f ca="1"/>
        <v>46.540605035182836</v>
      </c>
      <c r="AG6518" s="2">
        <f ca="1"/>
        <v>0.61666601303987911</v>
      </c>
      <c r="AH6518" s="2" t="str">
        <f ca="1"/>
        <v>Bad</v>
      </c>
    </row>
    <row r="6519" spans="2:34">
      <c r="B6519" s="2">
        <f ca="1"/>
        <v>0.30518450526665908</v>
      </c>
      <c r="O6519" s="2">
        <f ca="1"/>
        <v>-9.2544038494827119E-2</v>
      </c>
      <c r="X6519" s="2">
        <f ca="1"/>
        <v>44.434015079617311</v>
      </c>
      <c r="AG6519" s="2">
        <f ca="1"/>
        <v>0.74886323603468896</v>
      </c>
      <c r="AH6519" s="2" t="str">
        <f ca="1"/>
        <v>Bad</v>
      </c>
    </row>
    <row r="6520" spans="2:34">
      <c r="B6520" s="2">
        <f ca="1"/>
        <v>0.24566273040767528</v>
      </c>
      <c r="O6520" s="2">
        <f ca="1"/>
        <v>0.77274787429314762</v>
      </c>
      <c r="X6520" s="2">
        <f ca="1"/>
        <v>51.047610153429972</v>
      </c>
      <c r="AG6520" s="2">
        <f ca="1"/>
        <v>0.21625618203221286</v>
      </c>
      <c r="AH6520" s="2" t="str">
        <f ca="1"/>
        <v>OK</v>
      </c>
    </row>
    <row r="6521" spans="2:34">
      <c r="B6521" s="2">
        <f ca="1"/>
        <v>0.5629396868368961</v>
      </c>
      <c r="O6521" s="2">
        <f ca="1"/>
        <v>-1.4581648196620651</v>
      </c>
      <c r="X6521" s="2">
        <f ca="1"/>
        <v>21.665272938899982</v>
      </c>
      <c r="AG6521" s="2">
        <f ca="1"/>
        <v>0.74403832114627755</v>
      </c>
      <c r="AH6521" s="2" t="str">
        <f ca="1"/>
        <v>Bad</v>
      </c>
    </row>
    <row r="6522" spans="2:34">
      <c r="B6522" s="2">
        <f ca="1"/>
        <v>0.64847537897846941</v>
      </c>
      <c r="O6522" s="2">
        <f ca="1"/>
        <v>0.50452606950887491</v>
      </c>
      <c r="X6522" s="2">
        <f ca="1"/>
        <v>41.037768835996928</v>
      </c>
      <c r="AG6522" s="2">
        <f ca="1"/>
        <v>0.51009290600150714</v>
      </c>
      <c r="AH6522" s="2" t="str">
        <f ca="1"/>
        <v>Bad</v>
      </c>
    </row>
    <row r="6523" spans="2:34">
      <c r="B6523" s="2">
        <f ca="1"/>
        <v>0.80564635927528139</v>
      </c>
      <c r="O6523" s="2">
        <f ca="1"/>
        <v>-0.36524141567153262</v>
      </c>
      <c r="X6523" s="2">
        <f ca="1"/>
        <v>37.979141057253003</v>
      </c>
      <c r="AG6523" s="2">
        <f ca="1"/>
        <v>0.83905646679782708</v>
      </c>
      <c r="AH6523" s="2" t="str">
        <f ca="1"/>
        <v>Bad</v>
      </c>
    </row>
    <row r="6524" spans="2:34">
      <c r="B6524" s="2">
        <f ca="1"/>
        <v>0.73289082578271558</v>
      </c>
      <c r="O6524" s="2">
        <f ca="1"/>
        <v>0.89867024339960122</v>
      </c>
      <c r="X6524" s="2">
        <f ca="1"/>
        <v>43.725546907127786</v>
      </c>
      <c r="AG6524" s="2">
        <f ca="1"/>
        <v>0.70700506977009869</v>
      </c>
      <c r="AH6524" s="2" t="str">
        <f ca="1"/>
        <v>Bad</v>
      </c>
    </row>
    <row r="6525" spans="2:34">
      <c r="B6525" s="2">
        <f ca="1"/>
        <v>0.82673100234620778</v>
      </c>
      <c r="O6525" s="2">
        <f ca="1"/>
        <v>-0.65697370031479951</v>
      </c>
      <c r="X6525" s="2">
        <f ca="1"/>
        <v>28.128859402536502</v>
      </c>
      <c r="AG6525" s="2">
        <f ca="1"/>
        <v>0.45021505265521755</v>
      </c>
      <c r="AH6525" s="2" t="str">
        <f ca="1"/>
        <v>Bad</v>
      </c>
    </row>
    <row r="6526" spans="2:34">
      <c r="B6526" s="2">
        <f ca="1"/>
        <v>0.46519849191228535</v>
      </c>
      <c r="O6526" s="2">
        <f ca="1"/>
        <v>0.66244952173411253</v>
      </c>
      <c r="X6526" s="2">
        <f ca="1"/>
        <v>69.797341096681663</v>
      </c>
      <c r="AG6526" s="2">
        <f ca="1"/>
        <v>0.24526847538856233</v>
      </c>
      <c r="AH6526" s="2" t="str">
        <f ca="1"/>
        <v>OK</v>
      </c>
    </row>
    <row r="6527" spans="2:34">
      <c r="B6527" s="2">
        <f ca="1"/>
        <v>0.45805492713413321</v>
      </c>
      <c r="O6527" s="2">
        <f ca="1"/>
        <v>-0.6321488209406072</v>
      </c>
      <c r="X6527" s="2">
        <f ca="1"/>
        <v>54.168867446520721</v>
      </c>
      <c r="AG6527" s="2">
        <f ca="1"/>
        <v>0.26397127723189295</v>
      </c>
      <c r="AH6527" s="2" t="str">
        <f ca="1"/>
        <v>OK</v>
      </c>
    </row>
    <row r="6528" spans="2:34">
      <c r="B6528" s="2">
        <f ca="1"/>
        <v>0.47062066150628468</v>
      </c>
      <c r="O6528" s="2">
        <f ca="1"/>
        <v>-0.16905219115620826</v>
      </c>
      <c r="X6528" s="2">
        <f ca="1"/>
        <v>62.529127084997917</v>
      </c>
      <c r="AG6528" s="2">
        <f ca="1"/>
        <v>0.45478400154517917</v>
      </c>
      <c r="AH6528" s="2" t="str">
        <f ca="1"/>
        <v>Bad</v>
      </c>
    </row>
    <row r="6529" spans="2:34">
      <c r="B6529" s="2">
        <f ca="1"/>
        <v>6.5384913445053483E-2</v>
      </c>
      <c r="O6529" s="2">
        <f ca="1"/>
        <v>0.30850101854066131</v>
      </c>
      <c r="X6529" s="2">
        <f ca="1"/>
        <v>77.295278587893705</v>
      </c>
      <c r="AG6529" s="2">
        <f ca="1"/>
        <v>0.95148349319033865</v>
      </c>
      <c r="AH6529" s="2" t="str">
        <f ca="1"/>
        <v>Bad</v>
      </c>
    </row>
    <row r="6530" spans="2:34">
      <c r="B6530" s="2">
        <f ca="1"/>
        <v>0.90676203901589125</v>
      </c>
      <c r="O6530" s="2">
        <f ca="1"/>
        <v>-1.112131170901103</v>
      </c>
      <c r="X6530" s="2">
        <f ca="1"/>
        <v>57.540868480023512</v>
      </c>
      <c r="AG6530" s="2">
        <f ca="1"/>
        <v>0.81924233611311448</v>
      </c>
      <c r="AH6530" s="2" t="str">
        <f ca="1"/>
        <v>Bad</v>
      </c>
    </row>
    <row r="6531" spans="2:34">
      <c r="B6531" s="2">
        <f ca="1"/>
        <v>0.25809332579334687</v>
      </c>
      <c r="O6531" s="2">
        <f ca="1"/>
        <v>-1.0840455712849388</v>
      </c>
      <c r="X6531" s="2">
        <f ca="1"/>
        <v>47.795784865578462</v>
      </c>
      <c r="AG6531" s="2">
        <f ca="1"/>
        <v>0.46362725100472124</v>
      </c>
      <c r="AH6531" s="2" t="str">
        <f ca="1"/>
        <v>Bad</v>
      </c>
    </row>
    <row r="6532" spans="2:34">
      <c r="B6532" s="2">
        <f ca="1"/>
        <v>8.1079570010232693E-2</v>
      </c>
      <c r="O6532" s="2">
        <f ca="1"/>
        <v>-0.98232710275998369</v>
      </c>
      <c r="X6532" s="2">
        <f ca="1"/>
        <v>35.752226464297863</v>
      </c>
      <c r="AG6532" s="2">
        <f ca="1"/>
        <v>0.57037039518811294</v>
      </c>
      <c r="AH6532" s="2" t="str">
        <f ca="1"/>
        <v>Bad</v>
      </c>
    </row>
    <row r="6533" spans="2:34">
      <c r="B6533" s="2">
        <f ca="1"/>
        <v>0.65841207075056252</v>
      </c>
      <c r="O6533" s="2">
        <f ca="1"/>
        <v>-1.7718205506153872</v>
      </c>
      <c r="X6533" s="2">
        <f ca="1"/>
        <v>94.737507054946533</v>
      </c>
      <c r="AG6533" s="2">
        <f ca="1"/>
        <v>6.7755325041801484E-2</v>
      </c>
      <c r="AH6533" s="2" t="str">
        <f ca="1"/>
        <v>OK</v>
      </c>
    </row>
    <row r="6534" spans="2:34">
      <c r="B6534" s="2">
        <f ca="1"/>
        <v>0.55716006284109687</v>
      </c>
      <c r="O6534" s="2">
        <f ca="1"/>
        <v>0.15100359474984806</v>
      </c>
      <c r="X6534" s="2">
        <f ca="1"/>
        <v>57.435575545229156</v>
      </c>
      <c r="AG6534" s="2">
        <f ca="1"/>
        <v>1.0133373058507367E-4</v>
      </c>
      <c r="AH6534" s="2" t="str">
        <f ca="1"/>
        <v>Good</v>
      </c>
    </row>
    <row r="6535" spans="2:34">
      <c r="B6535" s="2">
        <f ca="1"/>
        <v>0.57405472643117617</v>
      </c>
      <c r="O6535" s="2">
        <f ca="1"/>
        <v>-0.45062657394207328</v>
      </c>
      <c r="X6535" s="2">
        <f ca="1"/>
        <v>42.277185634384473</v>
      </c>
      <c r="AG6535" s="2">
        <f ca="1"/>
        <v>0.64470299408436826</v>
      </c>
      <c r="AH6535" s="2" t="str">
        <f ca="1"/>
        <v>Bad</v>
      </c>
    </row>
    <row r="6536" spans="2:34">
      <c r="B6536" s="2">
        <f ca="1"/>
        <v>0.75955608102584882</v>
      </c>
      <c r="O6536" s="2">
        <f ca="1"/>
        <v>-0.44601086032516152</v>
      </c>
      <c r="X6536" s="2">
        <f ca="1"/>
        <v>46.176349434628065</v>
      </c>
      <c r="AG6536" s="2">
        <f ca="1"/>
        <v>4.8953698953239311E-2</v>
      </c>
      <c r="AH6536" s="2" t="str">
        <f ca="1"/>
        <v>Good</v>
      </c>
    </row>
    <row r="6537" spans="2:34">
      <c r="B6537" s="2">
        <f ca="1"/>
        <v>0.43051115215896618</v>
      </c>
      <c r="O6537" s="2">
        <f ca="1"/>
        <v>-2.602457399752347</v>
      </c>
      <c r="X6537" s="2">
        <f ca="1"/>
        <v>42.466479222459355</v>
      </c>
      <c r="AG6537" s="2">
        <f ca="1"/>
        <v>0.88697360645713985</v>
      </c>
      <c r="AH6537" s="2" t="str">
        <f ca="1"/>
        <v>Bad</v>
      </c>
    </row>
    <row r="6538" spans="2:34">
      <c r="B6538" s="2">
        <f ca="1"/>
        <v>0.81915124665450034</v>
      </c>
      <c r="O6538" s="2">
        <f ca="1"/>
        <v>1.1074499162201115</v>
      </c>
      <c r="X6538" s="2">
        <f ca="1"/>
        <v>44.511809909751008</v>
      </c>
      <c r="AG6538" s="2">
        <f ca="1"/>
        <v>0.28327757750930593</v>
      </c>
      <c r="AH6538" s="2" t="str">
        <f ca="1"/>
        <v>OK</v>
      </c>
    </row>
    <row r="6539" spans="2:34">
      <c r="B6539" s="2">
        <f ca="1"/>
        <v>0.86305773411228626</v>
      </c>
      <c r="O6539" s="2">
        <f ca="1"/>
        <v>0.75729425058481981</v>
      </c>
      <c r="X6539" s="2">
        <f ca="1"/>
        <v>45.788992733637137</v>
      </c>
      <c r="AG6539" s="2">
        <f ca="1"/>
        <v>0.76542028625673453</v>
      </c>
      <c r="AH6539" s="2" t="str">
        <f ca="1"/>
        <v>Bad</v>
      </c>
    </row>
    <row r="6540" spans="2:34">
      <c r="B6540" s="2">
        <f ca="1"/>
        <v>0.26889137332421464</v>
      </c>
      <c r="O6540" s="2">
        <f ca="1"/>
        <v>1.1769477895024505</v>
      </c>
      <c r="X6540" s="2">
        <f ca="1"/>
        <v>35.425060669234114</v>
      </c>
      <c r="AG6540" s="2">
        <f ca="1"/>
        <v>0.58300265512770677</v>
      </c>
      <c r="AH6540" s="2" t="str">
        <f ca="1"/>
        <v>Bad</v>
      </c>
    </row>
    <row r="6541" spans="2:34">
      <c r="B6541" s="2">
        <f ca="1"/>
        <v>0.72595405910040922</v>
      </c>
      <c r="O6541" s="2">
        <f ca="1"/>
        <v>-0.70199693141435471</v>
      </c>
      <c r="X6541" s="2">
        <f ca="1"/>
        <v>49.214981258394495</v>
      </c>
      <c r="AG6541" s="2">
        <f ca="1"/>
        <v>0.2517473485659667</v>
      </c>
      <c r="AH6541" s="2" t="str">
        <f ca="1"/>
        <v>OK</v>
      </c>
    </row>
    <row r="6542" spans="2:34">
      <c r="B6542" s="2">
        <f ca="1"/>
        <v>0.13248770170366586</v>
      </c>
      <c r="O6542" s="2">
        <f ca="1"/>
        <v>0.12983172694396139</v>
      </c>
      <c r="X6542" s="2">
        <f ca="1"/>
        <v>44.085783236841316</v>
      </c>
      <c r="AG6542" s="2">
        <f ca="1"/>
        <v>0.28825199273969715</v>
      </c>
      <c r="AH6542" s="2" t="str">
        <f ca="1"/>
        <v>OK</v>
      </c>
    </row>
    <row r="6543" spans="2:34">
      <c r="B6543" s="2">
        <f ca="1"/>
        <v>0.85117329387632834</v>
      </c>
      <c r="O6543" s="2">
        <f ca="1"/>
        <v>1.7285449153340176</v>
      </c>
      <c r="X6543" s="2">
        <f ca="1"/>
        <v>55.211821054333576</v>
      </c>
      <c r="AG6543" s="2">
        <f ca="1"/>
        <v>0.45983044707402776</v>
      </c>
      <c r="AH6543" s="2" t="str">
        <f ca="1"/>
        <v>Bad</v>
      </c>
    </row>
    <row r="6544" spans="2:34">
      <c r="B6544" s="2">
        <f ca="1"/>
        <v>0.71330790080983908</v>
      </c>
      <c r="O6544" s="2">
        <f ca="1"/>
        <v>0.8103876806109086</v>
      </c>
      <c r="X6544" s="2">
        <f ca="1"/>
        <v>52.459502749232854</v>
      </c>
      <c r="AG6544" s="2">
        <f ca="1"/>
        <v>0.62042408208951416</v>
      </c>
      <c r="AH6544" s="2" t="str">
        <f ca="1"/>
        <v>Bad</v>
      </c>
    </row>
    <row r="6545" spans="2:34">
      <c r="B6545" s="2">
        <f ca="1"/>
        <v>0.76684652819141097</v>
      </c>
      <c r="O6545" s="2">
        <f ca="1"/>
        <v>-1.2293120799139692</v>
      </c>
      <c r="X6545" s="2">
        <f ca="1"/>
        <v>39.110517739325381</v>
      </c>
      <c r="AG6545" s="2">
        <f ca="1"/>
        <v>0.26034125422535492</v>
      </c>
      <c r="AH6545" s="2" t="str">
        <f ca="1"/>
        <v>OK</v>
      </c>
    </row>
    <row r="6546" spans="2:34">
      <c r="B6546" s="2">
        <f ca="1"/>
        <v>0.36443773837881133</v>
      </c>
      <c r="O6546" s="2">
        <f ca="1"/>
        <v>6.0265210391052093E-2</v>
      </c>
      <c r="X6546" s="2">
        <f ca="1"/>
        <v>43.251452392073148</v>
      </c>
      <c r="AG6546" s="2">
        <f ca="1"/>
        <v>0.94644320254459902</v>
      </c>
      <c r="AH6546" s="2" t="str">
        <f ca="1"/>
        <v>Bad</v>
      </c>
    </row>
    <row r="6547" spans="2:34">
      <c r="B6547" s="2">
        <f ca="1"/>
        <v>0.1421139169715</v>
      </c>
      <c r="O6547" s="2">
        <f ca="1"/>
        <v>0.13364836380125641</v>
      </c>
      <c r="X6547" s="2">
        <f ca="1"/>
        <v>39.046545281718934</v>
      </c>
      <c r="AG6547" s="2">
        <f ca="1"/>
        <v>0.28297232398819161</v>
      </c>
      <c r="AH6547" s="2" t="str">
        <f ca="1"/>
        <v>OK</v>
      </c>
    </row>
    <row r="6548" spans="2:34">
      <c r="B6548" s="2">
        <f ca="1"/>
        <v>1.8598221423355543E-2</v>
      </c>
      <c r="O6548" s="2">
        <f ca="1"/>
        <v>1.0892988769257252</v>
      </c>
      <c r="X6548" s="2">
        <f ca="1"/>
        <v>52.255849672159336</v>
      </c>
      <c r="AG6548" s="2">
        <f ca="1"/>
        <v>0.60703594071483225</v>
      </c>
      <c r="AH6548" s="2" t="str">
        <f ca="1"/>
        <v>Bad</v>
      </c>
    </row>
    <row r="6549" spans="2:34">
      <c r="B6549" s="2">
        <f ca="1"/>
        <v>0.29007312250500328</v>
      </c>
      <c r="O6549" s="2">
        <f ca="1"/>
        <v>-0.2722141608381714</v>
      </c>
      <c r="X6549" s="2">
        <f ca="1"/>
        <v>69.346770764428811</v>
      </c>
      <c r="AG6549" s="2">
        <f ca="1"/>
        <v>0.32304302759346748</v>
      </c>
      <c r="AH6549" s="2" t="str">
        <f ca="1"/>
        <v>OK</v>
      </c>
    </row>
    <row r="6550" spans="2:34">
      <c r="B6550" s="2">
        <f ca="1"/>
        <v>0.69720305515982783</v>
      </c>
      <c r="O6550" s="2">
        <f ca="1"/>
        <v>-0.58888746529682701</v>
      </c>
      <c r="X6550" s="2">
        <f ca="1"/>
        <v>41.662568311405224</v>
      </c>
      <c r="AG6550" s="2">
        <f ca="1"/>
        <v>0.84486208874837954</v>
      </c>
      <c r="AH6550" s="2" t="str">
        <f ca="1"/>
        <v>Bad</v>
      </c>
    </row>
    <row r="6551" spans="2:34">
      <c r="B6551" s="2">
        <f ca="1"/>
        <v>8.2734942611955686E-2</v>
      </c>
      <c r="O6551" s="2">
        <f ca="1"/>
        <v>1.074130866646688</v>
      </c>
      <c r="X6551" s="2">
        <f ca="1"/>
        <v>34.770959473607739</v>
      </c>
      <c r="AG6551" s="2">
        <f ca="1"/>
        <v>0.14454776623078347</v>
      </c>
      <c r="AH6551" s="2" t="str">
        <f ca="1"/>
        <v>OK</v>
      </c>
    </row>
    <row r="6552" spans="2:34">
      <c r="B6552" s="2">
        <f ca="1"/>
        <v>0.98381908288387687</v>
      </c>
      <c r="O6552" s="2">
        <f ca="1"/>
        <v>-0.28590832800579269</v>
      </c>
      <c r="X6552" s="2">
        <f ca="1"/>
        <v>74.690070127927228</v>
      </c>
      <c r="AG6552" s="2">
        <f ca="1"/>
        <v>0.88881812945235694</v>
      </c>
      <c r="AH6552" s="2" t="str">
        <f ca="1"/>
        <v>Bad</v>
      </c>
    </row>
    <row r="6553" spans="2:34">
      <c r="B6553" s="2">
        <f ca="1"/>
        <v>0.61178361189516761</v>
      </c>
      <c r="O6553" s="2">
        <f ca="1"/>
        <v>0.24569373074017231</v>
      </c>
      <c r="X6553" s="2">
        <f ca="1"/>
        <v>47.090467855384446</v>
      </c>
      <c r="AG6553" s="2">
        <f ca="1"/>
        <v>0.96213674444993003</v>
      </c>
      <c r="AH6553" s="2" t="str">
        <f ca="1"/>
        <v>Bad</v>
      </c>
    </row>
    <row r="6554" spans="2:34">
      <c r="B6554" s="2">
        <f ca="1"/>
        <v>0.65752884585075955</v>
      </c>
      <c r="O6554" s="2">
        <f ca="1"/>
        <v>0.60166207461461996</v>
      </c>
      <c r="X6554" s="2">
        <f ca="1"/>
        <v>57.596618819096754</v>
      </c>
      <c r="AG6554" s="2">
        <f ca="1"/>
        <v>4.4881481020215164E-2</v>
      </c>
      <c r="AH6554" s="2" t="str">
        <f ca="1"/>
        <v>Good</v>
      </c>
    </row>
    <row r="6555" spans="2:34">
      <c r="B6555" s="2">
        <f ca="1"/>
        <v>0.92920217279356798</v>
      </c>
      <c r="O6555" s="2">
        <f ca="1"/>
        <v>1.8161795607391222</v>
      </c>
      <c r="X6555" s="2">
        <f ca="1"/>
        <v>62.206390451993194</v>
      </c>
      <c r="AG6555" s="2">
        <f ca="1"/>
        <v>0.96894444356589293</v>
      </c>
      <c r="AH6555" s="2" t="str">
        <f ca="1"/>
        <v>Bad</v>
      </c>
    </row>
    <row r="6556" spans="2:34">
      <c r="B6556" s="2">
        <f ca="1"/>
        <v>0.32690368477115195</v>
      </c>
      <c r="O6556" s="2">
        <f ca="1"/>
        <v>-0.18418197452910121</v>
      </c>
      <c r="X6556" s="2">
        <f ca="1"/>
        <v>51.497365025724378</v>
      </c>
      <c r="AG6556" s="2">
        <f ca="1"/>
        <v>5.2362321740292206E-2</v>
      </c>
      <c r="AH6556" s="2" t="str">
        <f ca="1"/>
        <v>OK</v>
      </c>
    </row>
    <row r="6557" spans="2:34">
      <c r="B6557" s="2">
        <f ca="1"/>
        <v>0.30237979989102315</v>
      </c>
      <c r="O6557" s="2">
        <f ca="1"/>
        <v>2.8812112120534827</v>
      </c>
      <c r="X6557" s="2">
        <f ca="1"/>
        <v>60.198576990484661</v>
      </c>
      <c r="AG6557" s="2">
        <f ca="1"/>
        <v>0.62061263819634416</v>
      </c>
      <c r="AH6557" s="2" t="str">
        <f ca="1"/>
        <v>Bad</v>
      </c>
    </row>
    <row r="6558" spans="2:34">
      <c r="B6558" s="2">
        <f ca="1"/>
        <v>5.0146399579177547E-2</v>
      </c>
      <c r="O6558" s="2">
        <f ca="1"/>
        <v>-0.81879514902855155</v>
      </c>
      <c r="X6558" s="2">
        <f ca="1"/>
        <v>57.169563776405624</v>
      </c>
      <c r="AG6558" s="2">
        <f ca="1"/>
        <v>0.12312456170783892</v>
      </c>
      <c r="AH6558" s="2" t="str">
        <f ca="1"/>
        <v>OK</v>
      </c>
    </row>
    <row r="6559" spans="2:34">
      <c r="B6559" s="2">
        <f ca="1"/>
        <v>0.13019338217197984</v>
      </c>
      <c r="O6559" s="2">
        <f ca="1"/>
        <v>0.10182838603604553</v>
      </c>
      <c r="X6559" s="2">
        <f ca="1"/>
        <v>41.068009986823661</v>
      </c>
      <c r="AG6559" s="2">
        <f ca="1"/>
        <v>0.35384803023331823</v>
      </c>
      <c r="AH6559" s="2" t="str">
        <f ca="1"/>
        <v>OK</v>
      </c>
    </row>
    <row r="6560" spans="2:34">
      <c r="B6560" s="2">
        <f ca="1"/>
        <v>0.99422460954457215</v>
      </c>
      <c r="O6560" s="2">
        <f ca="1"/>
        <v>-0.44828193052912541</v>
      </c>
      <c r="X6560" s="2">
        <f ca="1"/>
        <v>56.532850595099255</v>
      </c>
      <c r="AG6560" s="2">
        <f ca="1"/>
        <v>0.30154246361444503</v>
      </c>
      <c r="AH6560" s="2" t="str">
        <f ca="1"/>
        <v>OK</v>
      </c>
    </row>
    <row r="6561" spans="2:34">
      <c r="B6561" s="2">
        <f ca="1"/>
        <v>0.54233018886718076</v>
      </c>
      <c r="O6561" s="2">
        <f ca="1"/>
        <v>0.31812875424495302</v>
      </c>
      <c r="X6561" s="2">
        <f ca="1"/>
        <v>43.135229995089297</v>
      </c>
      <c r="AG6561" s="2">
        <f ca="1"/>
        <v>0.2961535921274614</v>
      </c>
      <c r="AH6561" s="2" t="str">
        <f ca="1"/>
        <v>OK</v>
      </c>
    </row>
    <row r="6562" spans="2:34">
      <c r="B6562" s="2">
        <f ca="1"/>
        <v>0.88080837872655127</v>
      </c>
      <c r="O6562" s="2">
        <f ca="1"/>
        <v>-1.9485204369424258</v>
      </c>
      <c r="X6562" s="2">
        <f ca="1"/>
        <v>47.772822806382166</v>
      </c>
      <c r="AG6562" s="2">
        <f ca="1"/>
        <v>3.2826299796968827E-2</v>
      </c>
      <c r="AH6562" s="2" t="str">
        <f ca="1"/>
        <v>Good</v>
      </c>
    </row>
    <row r="6563" spans="2:34">
      <c r="B6563" s="2">
        <f ca="1"/>
        <v>0.31943294557865864</v>
      </c>
      <c r="O6563" s="2">
        <f ca="1"/>
        <v>1.4904423258374999</v>
      </c>
      <c r="X6563" s="2">
        <f ca="1"/>
        <v>76.709605824619544</v>
      </c>
      <c r="AG6563" s="2">
        <f ca="1"/>
        <v>0.3101728347635091</v>
      </c>
      <c r="AH6563" s="2" t="str">
        <f ca="1"/>
        <v>OK</v>
      </c>
    </row>
    <row r="6564" spans="2:34">
      <c r="B6564" s="2">
        <f ca="1"/>
        <v>0.63722172896370077</v>
      </c>
      <c r="O6564" s="2">
        <f ca="1"/>
        <v>-0.74046670230804856</v>
      </c>
      <c r="X6564" s="2">
        <f ca="1"/>
        <v>29.593910799507668</v>
      </c>
      <c r="AG6564" s="2">
        <f ca="1"/>
        <v>0.66567288857579876</v>
      </c>
      <c r="AH6564" s="2" t="str">
        <f ca="1"/>
        <v>Bad</v>
      </c>
    </row>
    <row r="6565" spans="2:34">
      <c r="B6565" s="2">
        <f ca="1"/>
        <v>0.33565845662371685</v>
      </c>
      <c r="O6565" s="2">
        <f ca="1"/>
        <v>-0.59373327948318477</v>
      </c>
      <c r="X6565" s="2">
        <f ca="1"/>
        <v>73.57400745336146</v>
      </c>
      <c r="AG6565" s="2">
        <f ca="1"/>
        <v>0.97464473011718455</v>
      </c>
      <c r="AH6565" s="2" t="str">
        <f ca="1"/>
        <v>Bad</v>
      </c>
    </row>
    <row r="6566" spans="2:34">
      <c r="B6566" s="2">
        <f ca="1"/>
        <v>0.9889623017634257</v>
      </c>
      <c r="O6566" s="2">
        <f ca="1"/>
        <v>-0.78856998355659014</v>
      </c>
      <c r="X6566" s="2">
        <f ca="1"/>
        <v>46.42101608638675</v>
      </c>
      <c r="AG6566" s="2">
        <f ca="1"/>
        <v>0.16829258957061999</v>
      </c>
      <c r="AH6566" s="2" t="str">
        <f ca="1"/>
        <v>OK</v>
      </c>
    </row>
    <row r="6567" spans="2:34">
      <c r="B6567" s="2">
        <f ca="1"/>
        <v>0.95592950708355451</v>
      </c>
      <c r="O6567" s="2">
        <f ca="1"/>
        <v>1.1013556718151416</v>
      </c>
      <c r="X6567" s="2">
        <f ca="1"/>
        <v>44.559748683991288</v>
      </c>
      <c r="AG6567" s="2">
        <f ca="1"/>
        <v>4.5685083693771222E-2</v>
      </c>
      <c r="AH6567" s="2" t="str">
        <f ca="1"/>
        <v>Good</v>
      </c>
    </row>
    <row r="6568" spans="2:34">
      <c r="B6568" s="2">
        <f ca="1"/>
        <v>0.23113072090994313</v>
      </c>
      <c r="O6568" s="2">
        <f ca="1"/>
        <v>-0.26661369831232534</v>
      </c>
      <c r="X6568" s="2">
        <f ca="1"/>
        <v>67.681371386007442</v>
      </c>
      <c r="AG6568" s="2">
        <f ca="1"/>
        <v>0.32784091736227672</v>
      </c>
      <c r="AH6568" s="2" t="str">
        <f ca="1"/>
        <v>OK</v>
      </c>
    </row>
    <row r="6569" spans="2:34">
      <c r="B6569" s="2">
        <f ca="1"/>
        <v>0.26512493030120865</v>
      </c>
      <c r="O6569" s="2">
        <f ca="1"/>
        <v>-0.81784621599911234</v>
      </c>
      <c r="X6569" s="2">
        <f ca="1"/>
        <v>60.823783404112561</v>
      </c>
      <c r="AG6569" s="2">
        <f ca="1"/>
        <v>0.54335612974871106</v>
      </c>
      <c r="AH6569" s="2" t="str">
        <f ca="1"/>
        <v>Bad</v>
      </c>
    </row>
    <row r="6570" spans="2:34">
      <c r="B6570" s="2">
        <f ca="1"/>
        <v>0.91984469919097611</v>
      </c>
      <c r="O6570" s="2">
        <f ca="1"/>
        <v>0.11677675243843881</v>
      </c>
      <c r="X6570" s="2">
        <f ca="1"/>
        <v>68.965221151759522</v>
      </c>
      <c r="AG6570" s="2">
        <f ca="1"/>
        <v>0.90641107297805479</v>
      </c>
      <c r="AH6570" s="2" t="str">
        <f ca="1"/>
        <v>Bad</v>
      </c>
    </row>
    <row r="6571" spans="2:34">
      <c r="B6571" s="2">
        <f ca="1"/>
        <v>0.79787701086579021</v>
      </c>
      <c r="O6571" s="2">
        <f ca="1"/>
        <v>-0.98541443442495746</v>
      </c>
      <c r="X6571" s="2">
        <f ca="1"/>
        <v>71.786843564438414</v>
      </c>
      <c r="AG6571" s="2">
        <f ca="1"/>
        <v>8.0929112280925253E-3</v>
      </c>
      <c r="AH6571" s="2" t="str">
        <f ca="1"/>
        <v>Good</v>
      </c>
    </row>
    <row r="6572" spans="2:34">
      <c r="B6572" s="2">
        <f ca="1"/>
        <v>0.52911330732988415</v>
      </c>
      <c r="O6572" s="2">
        <f ca="1"/>
        <v>0.22717502542413645</v>
      </c>
      <c r="X6572" s="2">
        <f ca="1"/>
        <v>24.588034942934346</v>
      </c>
      <c r="AG6572" s="2">
        <f ca="1"/>
        <v>0.68770143941418405</v>
      </c>
      <c r="AH6572" s="2" t="str">
        <f ca="1"/>
        <v>Bad</v>
      </c>
    </row>
    <row r="6573" spans="2:34">
      <c r="B6573" s="2">
        <f ca="1"/>
        <v>0.63476447199454111</v>
      </c>
      <c r="O6573" s="2">
        <f ca="1"/>
        <v>-1.2973692839571926</v>
      </c>
      <c r="X6573" s="2">
        <f ca="1"/>
        <v>44.919033317697902</v>
      </c>
      <c r="AG6573" s="2">
        <f ca="1"/>
        <v>0.21584177669950622</v>
      </c>
      <c r="AH6573" s="2" t="str">
        <f ca="1"/>
        <v>OK</v>
      </c>
    </row>
    <row r="6574" spans="2:34">
      <c r="B6574" s="2">
        <f ca="1"/>
        <v>0.18542274952048343</v>
      </c>
      <c r="O6574" s="2">
        <f ca="1"/>
        <v>0.66883625760981613</v>
      </c>
      <c r="X6574" s="2">
        <f ca="1"/>
        <v>47.605250212786203</v>
      </c>
      <c r="AG6574" s="2">
        <f ca="1"/>
        <v>0.17119277959962687</v>
      </c>
      <c r="AH6574" s="2" t="str">
        <f ca="1"/>
        <v>OK</v>
      </c>
    </row>
    <row r="6575" spans="2:34">
      <c r="B6575" s="2">
        <f ca="1"/>
        <v>0.36756279974396189</v>
      </c>
      <c r="O6575" s="2">
        <f ca="1"/>
        <v>-0.96757238298538328</v>
      </c>
      <c r="X6575" s="2">
        <f ca="1"/>
        <v>40.748455188657616</v>
      </c>
      <c r="AG6575" s="2">
        <f ca="1"/>
        <v>0.49771894996396404</v>
      </c>
      <c r="AH6575" s="2" t="str">
        <f ca="1"/>
        <v>Bad</v>
      </c>
    </row>
    <row r="6576" spans="2:34">
      <c r="B6576" s="2">
        <f ca="1"/>
        <v>0.42909370047257411</v>
      </c>
      <c r="O6576" s="2">
        <f ca="1"/>
        <v>0.53470943683399041</v>
      </c>
      <c r="X6576" s="2">
        <f ca="1"/>
        <v>49.42234198270603</v>
      </c>
      <c r="AG6576" s="2">
        <f ca="1"/>
        <v>5.5207929752294493E-3</v>
      </c>
      <c r="AH6576" s="2" t="str">
        <f ca="1"/>
        <v>Good</v>
      </c>
    </row>
    <row r="6577" spans="2:34">
      <c r="B6577" s="2">
        <f ca="1"/>
        <v>0.82199856946653793</v>
      </c>
      <c r="O6577" s="2">
        <f ca="1"/>
        <v>0.69776123751790864</v>
      </c>
      <c r="X6577" s="2">
        <f ca="1"/>
        <v>22.921152213412277</v>
      </c>
      <c r="AG6577" s="2">
        <f ca="1"/>
        <v>0.94280508972680299</v>
      </c>
      <c r="AH6577" s="2" t="str">
        <f ca="1"/>
        <v>Bad</v>
      </c>
    </row>
    <row r="6578" spans="2:34">
      <c r="B6578" s="2">
        <f ca="1"/>
        <v>0.67566676231788536</v>
      </c>
      <c r="O6578" s="2">
        <f ca="1"/>
        <v>-1.0596281469179132</v>
      </c>
      <c r="X6578" s="2">
        <f ca="1"/>
        <v>24.489615389959063</v>
      </c>
      <c r="AG6578" s="2">
        <f ca="1"/>
        <v>0.77958079920403067</v>
      </c>
      <c r="AH6578" s="2" t="str">
        <f ca="1"/>
        <v>Bad</v>
      </c>
    </row>
    <row r="6579" spans="2:34">
      <c r="B6579" s="2">
        <f ca="1"/>
        <v>0.9571784500108298</v>
      </c>
      <c r="O6579" s="2">
        <f ca="1"/>
        <v>-0.35112045332649422</v>
      </c>
      <c r="X6579" s="2">
        <f ca="1"/>
        <v>43.779779643939627</v>
      </c>
      <c r="AG6579" s="2">
        <f ca="1"/>
        <v>0.33254166067780933</v>
      </c>
      <c r="AH6579" s="2" t="str">
        <f ca="1"/>
        <v>OK</v>
      </c>
    </row>
    <row r="6580" spans="2:34">
      <c r="B6580" s="2">
        <f ca="1"/>
        <v>0.20794038376118729</v>
      </c>
      <c r="O6580" s="2">
        <f ca="1"/>
        <v>1.2284374364829285</v>
      </c>
      <c r="X6580" s="2">
        <f ca="1"/>
        <v>46.192800342162343</v>
      </c>
      <c r="AG6580" s="2">
        <f ca="1"/>
        <v>0.27160190238242232</v>
      </c>
      <c r="AH6580" s="2" t="str">
        <f ca="1"/>
        <v>OK</v>
      </c>
    </row>
    <row r="6581" spans="2:34">
      <c r="B6581" s="2">
        <f ca="1"/>
        <v>0.17019350211058781</v>
      </c>
      <c r="O6581" s="2">
        <f ca="1"/>
        <v>1.1914609357305923</v>
      </c>
      <c r="X6581" s="2">
        <f ca="1"/>
        <v>40.27086529374003</v>
      </c>
      <c r="AG6581" s="2">
        <f ca="1"/>
        <v>0.6610224303411516</v>
      </c>
      <c r="AH6581" s="2" t="str">
        <f ca="1"/>
        <v>Bad</v>
      </c>
    </row>
    <row r="6582" spans="2:34">
      <c r="B6582" s="2">
        <f ca="1"/>
        <v>0.34866568043073753</v>
      </c>
      <c r="O6582" s="2">
        <f ca="1"/>
        <v>0.1335146433997759</v>
      </c>
      <c r="X6582" s="2">
        <f ca="1"/>
        <v>22.337116640326972</v>
      </c>
      <c r="AG6582" s="2">
        <f ca="1"/>
        <v>0.31487055412179443</v>
      </c>
      <c r="AH6582" s="2" t="str">
        <f ca="1"/>
        <v>OK</v>
      </c>
    </row>
    <row r="6583" spans="2:34">
      <c r="B6583" s="2">
        <f ca="1"/>
        <v>0.66062264385136249</v>
      </c>
      <c r="O6583" s="2">
        <f ca="1"/>
        <v>0.7617948219581685</v>
      </c>
      <c r="X6583" s="2">
        <f ca="1"/>
        <v>45.096193062812858</v>
      </c>
      <c r="AG6583" s="2">
        <f ca="1"/>
        <v>0.76538183719831299</v>
      </c>
      <c r="AH6583" s="2" t="str">
        <f ca="1"/>
        <v>Bad</v>
      </c>
    </row>
    <row r="6584" spans="2:34">
      <c r="B6584" s="2">
        <f ca="1"/>
        <v>0.83727758159504684</v>
      </c>
      <c r="O6584" s="2">
        <f ca="1"/>
        <v>-9.6948941298498889E-2</v>
      </c>
      <c r="X6584" s="2">
        <f ca="1"/>
        <v>64.571507456201772</v>
      </c>
      <c r="AG6584" s="2">
        <f ca="1"/>
        <v>0.96362066508362521</v>
      </c>
      <c r="AH6584" s="2" t="str">
        <f ca="1"/>
        <v>Bad</v>
      </c>
    </row>
    <row r="6585" spans="2:34">
      <c r="B6585" s="2">
        <f ca="1"/>
        <v>0.11947123681552796</v>
      </c>
      <c r="O6585" s="2">
        <f ca="1"/>
        <v>0.12819147915551612</v>
      </c>
      <c r="X6585" s="2">
        <f ca="1"/>
        <v>52.757963453006781</v>
      </c>
      <c r="AG6585" s="2">
        <f ca="1"/>
        <v>7.6032037792701734E-2</v>
      </c>
      <c r="AH6585" s="2" t="str">
        <f ca="1"/>
        <v>OK</v>
      </c>
    </row>
    <row r="6586" spans="2:34">
      <c r="B6586" s="2">
        <f ca="1"/>
        <v>0.33693006913574197</v>
      </c>
      <c r="O6586" s="2">
        <f ca="1"/>
        <v>-1.2956204990545337</v>
      </c>
      <c r="X6586" s="2">
        <f ca="1"/>
        <v>69.731343270723286</v>
      </c>
      <c r="AG6586" s="2">
        <f ca="1"/>
        <v>0.9101538936171214</v>
      </c>
      <c r="AH6586" s="2" t="str">
        <f ca="1"/>
        <v>Bad</v>
      </c>
    </row>
    <row r="6587" spans="2:34">
      <c r="B6587" s="2">
        <f ca="1"/>
        <v>0.47668865808595351</v>
      </c>
      <c r="O6587" s="2">
        <f ca="1"/>
        <v>-0.86326619400793092</v>
      </c>
      <c r="X6587" s="2">
        <f ca="1"/>
        <v>76.750456800674144</v>
      </c>
      <c r="AG6587" s="2">
        <f ca="1"/>
        <v>0.40748644358317643</v>
      </c>
      <c r="AH6587" s="2" t="str">
        <f ca="1"/>
        <v>Bad</v>
      </c>
    </row>
    <row r="6588" spans="2:34">
      <c r="B6588" s="2">
        <f ca="1"/>
        <v>0.33795405759360841</v>
      </c>
      <c r="O6588" s="2">
        <f ca="1"/>
        <v>-1.1816378565845034</v>
      </c>
      <c r="X6588" s="2">
        <f ca="1"/>
        <v>49.149174604486092</v>
      </c>
      <c r="AG6588" s="2">
        <f ca="1"/>
        <v>0.81321882135365176</v>
      </c>
      <c r="AH6588" s="2" t="str">
        <f ca="1"/>
        <v>Bad</v>
      </c>
    </row>
    <row r="6589" spans="2:34">
      <c r="B6589" s="2">
        <f ca="1"/>
        <v>0.71220168696782138</v>
      </c>
      <c r="O6589" s="2">
        <f ca="1"/>
        <v>-0.76041956274665556</v>
      </c>
      <c r="X6589" s="2">
        <f ca="1"/>
        <v>48.465840288035594</v>
      </c>
      <c r="AG6589" s="2">
        <f ca="1"/>
        <v>0.22235627674627545</v>
      </c>
      <c r="AH6589" s="2" t="str">
        <f ca="1"/>
        <v>OK</v>
      </c>
    </row>
    <row r="6590" spans="2:34">
      <c r="B6590" s="2">
        <f ca="1"/>
        <v>0.3451358750767346</v>
      </c>
      <c r="O6590" s="2">
        <f ca="1"/>
        <v>0.87940879192414245</v>
      </c>
      <c r="X6590" s="2">
        <f ca="1"/>
        <v>59.633662665569062</v>
      </c>
      <c r="AG6590" s="2">
        <f ca="1"/>
        <v>4.8977612697533424E-2</v>
      </c>
      <c r="AH6590" s="2" t="str">
        <f ca="1"/>
        <v>Good</v>
      </c>
    </row>
    <row r="6591" spans="2:34">
      <c r="B6591" s="2">
        <f ca="1"/>
        <v>0.91504064282694264</v>
      </c>
      <c r="O6591" s="2">
        <f ca="1"/>
        <v>0.80785509785777199</v>
      </c>
      <c r="X6591" s="2">
        <f ca="1"/>
        <v>45.681800450373586</v>
      </c>
      <c r="AG6591" s="2">
        <f ca="1"/>
        <v>0.37924102146622896</v>
      </c>
      <c r="AH6591" s="2" t="str">
        <f ca="1"/>
        <v>OK</v>
      </c>
    </row>
    <row r="6592" spans="2:34">
      <c r="B6592" s="2">
        <f ca="1"/>
        <v>0.10410015505371129</v>
      </c>
      <c r="O6592" s="2">
        <f ca="1"/>
        <v>0.8170704058182312</v>
      </c>
      <c r="X6592" s="2">
        <f ca="1"/>
        <v>67.574438352945208</v>
      </c>
      <c r="AG6592" s="2">
        <f ca="1"/>
        <v>9.4642779069317617E-2</v>
      </c>
      <c r="AH6592" s="2" t="str">
        <f ca="1"/>
        <v>OK</v>
      </c>
    </row>
    <row r="6593" spans="2:34">
      <c r="B6593" s="2">
        <f ca="1"/>
        <v>0.97244800126142317</v>
      </c>
      <c r="O6593" s="2">
        <f ca="1"/>
        <v>0.6083150272294503</v>
      </c>
      <c r="X6593" s="2">
        <f ca="1"/>
        <v>76.564627014180587</v>
      </c>
      <c r="AG6593" s="2">
        <f ca="1"/>
        <v>0.93256283612577207</v>
      </c>
      <c r="AH6593" s="2" t="str">
        <f ca="1"/>
        <v>Bad</v>
      </c>
    </row>
    <row r="6594" spans="2:34">
      <c r="B6594" s="2">
        <f ca="1"/>
        <v>0.68699085976550145</v>
      </c>
      <c r="O6594" s="2">
        <f ca="1"/>
        <v>-0.7540872379043484</v>
      </c>
      <c r="X6594" s="2">
        <f ca="1"/>
        <v>55.501766816120863</v>
      </c>
      <c r="AG6594" s="2">
        <f ca="1"/>
        <v>0.3196297749469188</v>
      </c>
      <c r="AH6594" s="2" t="str">
        <f ca="1"/>
        <v>OK</v>
      </c>
    </row>
    <row r="6595" spans="2:34">
      <c r="B6595" s="2">
        <f ca="1"/>
        <v>0.52817676910177647</v>
      </c>
      <c r="O6595" s="2">
        <f ca="1"/>
        <v>0.67375610692067478</v>
      </c>
      <c r="X6595" s="2">
        <f ca="1"/>
        <v>70.547006964539676</v>
      </c>
      <c r="AG6595" s="2">
        <f ca="1"/>
        <v>0.4655144427356519</v>
      </c>
      <c r="AH6595" s="2" t="str">
        <f ca="1"/>
        <v>Bad</v>
      </c>
    </row>
    <row r="6596" spans="2:34">
      <c r="B6596" s="2">
        <f ca="1"/>
        <v>0.47187838299587925</v>
      </c>
      <c r="O6596" s="2">
        <f ca="1"/>
        <v>8.4510570281805572E-2</v>
      </c>
      <c r="X6596" s="2">
        <f ca="1"/>
        <v>47.349962761312682</v>
      </c>
      <c r="AG6596" s="2">
        <f ca="1"/>
        <v>0.87774192066072398</v>
      </c>
      <c r="AH6596" s="2" t="str">
        <f ca="1"/>
        <v>Bad</v>
      </c>
    </row>
    <row r="6597" spans="2:34">
      <c r="B6597" s="2">
        <f ca="1"/>
        <v>0.56585263560810728</v>
      </c>
      <c r="O6597" s="2">
        <f ca="1"/>
        <v>-5.4446653282897918E-2</v>
      </c>
      <c r="X6597" s="2">
        <f ca="1"/>
        <v>42.665481204103045</v>
      </c>
      <c r="AG6597" s="2">
        <f ca="1"/>
        <v>0.52507165971974334</v>
      </c>
      <c r="AH6597" s="2" t="str">
        <f ca="1"/>
        <v>Bad</v>
      </c>
    </row>
    <row r="6598" spans="2:34">
      <c r="B6598" s="2">
        <f ca="1"/>
        <v>0.58647688800174569</v>
      </c>
      <c r="O6598" s="2">
        <f ca="1"/>
        <v>0.46112987884576795</v>
      </c>
      <c r="X6598" s="2">
        <f ca="1"/>
        <v>47.272999786222599</v>
      </c>
      <c r="AG6598" s="2">
        <f ca="1"/>
        <v>0.22080025189265484</v>
      </c>
      <c r="AH6598" s="2" t="str">
        <f ca="1"/>
        <v>OK</v>
      </c>
    </row>
    <row r="6599" spans="2:34">
      <c r="B6599" s="2">
        <f ca="1"/>
        <v>0.96675768155523167</v>
      </c>
      <c r="O6599" s="2">
        <f ca="1"/>
        <v>-0.55787158752528598</v>
      </c>
      <c r="X6599" s="2">
        <f ca="1"/>
        <v>45.844225166540078</v>
      </c>
      <c r="AG6599" s="2">
        <f ca="1"/>
        <v>0.97180043109304659</v>
      </c>
      <c r="AH6599" s="2" t="str">
        <f ca="1"/>
        <v>Bad</v>
      </c>
    </row>
    <row r="6600" spans="2:34">
      <c r="B6600" s="2">
        <f ca="1"/>
        <v>5.0825893150695745E-2</v>
      </c>
      <c r="O6600" s="2">
        <f ca="1"/>
        <v>0.65898592627562935</v>
      </c>
      <c r="X6600" s="2">
        <f ca="1"/>
        <v>48.932867391107457</v>
      </c>
      <c r="AG6600" s="2">
        <f ca="1"/>
        <v>0.19166613182255987</v>
      </c>
      <c r="AH6600" s="2" t="str">
        <f ca="1"/>
        <v>OK</v>
      </c>
    </row>
    <row r="6601" spans="2:34">
      <c r="B6601" s="2">
        <f ca="1"/>
        <v>0.88873626262868832</v>
      </c>
      <c r="O6601" s="2">
        <f ca="1"/>
        <v>0.21810577294387093</v>
      </c>
      <c r="X6601" s="2">
        <f ca="1"/>
        <v>36.747590549449342</v>
      </c>
      <c r="AG6601" s="2">
        <f ca="1"/>
        <v>0.63788185724289859</v>
      </c>
      <c r="AH6601" s="2" t="str">
        <f ca="1"/>
        <v>Bad</v>
      </c>
    </row>
    <row r="6602" spans="2:34">
      <c r="B6602" s="2">
        <f ca="1"/>
        <v>0.4187915417783854</v>
      </c>
      <c r="O6602" s="2">
        <f ca="1"/>
        <v>0.82666197669774855</v>
      </c>
      <c r="X6602" s="2">
        <f ca="1"/>
        <v>49.950594160296482</v>
      </c>
      <c r="AG6602" s="2">
        <f ca="1"/>
        <v>0.96651565107350357</v>
      </c>
      <c r="AH6602" s="2" t="str">
        <f ca="1"/>
        <v>Bad</v>
      </c>
    </row>
    <row r="6603" spans="2:34">
      <c r="B6603" s="2">
        <f ca="1"/>
        <v>0.32876393503083268</v>
      </c>
      <c r="O6603" s="2">
        <f ca="1"/>
        <v>-0.11783953535012118</v>
      </c>
      <c r="X6603" s="2">
        <f ca="1"/>
        <v>72.148849697616001</v>
      </c>
      <c r="AG6603" s="2">
        <f ca="1"/>
        <v>0.14991576308031185</v>
      </c>
      <c r="AH6603" s="2" t="str">
        <f ca="1"/>
        <v>OK</v>
      </c>
    </row>
    <row r="6604" spans="2:34">
      <c r="B6604" s="2">
        <f ca="1"/>
        <v>0.27284036772531794</v>
      </c>
      <c r="O6604" s="2">
        <f ca="1"/>
        <v>0.56239656338415567</v>
      </c>
      <c r="X6604" s="2">
        <f ca="1"/>
        <v>36.727015262157899</v>
      </c>
      <c r="AG6604" s="2">
        <f ca="1"/>
        <v>0.47261004224640191</v>
      </c>
      <c r="AH6604" s="2" t="str">
        <f ca="1"/>
        <v>Bad</v>
      </c>
    </row>
    <row r="6605" spans="2:34">
      <c r="B6605" s="2">
        <f ca="1"/>
        <v>0.29173060409430729</v>
      </c>
      <c r="O6605" s="2">
        <f ca="1"/>
        <v>-0.50747088519755001</v>
      </c>
      <c r="X6605" s="2">
        <f ca="1"/>
        <v>41.786531474851017</v>
      </c>
      <c r="AG6605" s="2">
        <f ca="1"/>
        <v>3.3777482997030317E-2</v>
      </c>
      <c r="AH6605" s="2" t="str">
        <f ca="1"/>
        <v>Good</v>
      </c>
    </row>
    <row r="6606" spans="2:34">
      <c r="B6606" s="2">
        <f ca="1"/>
        <v>0.7446548599067504</v>
      </c>
      <c r="O6606" s="2">
        <f ca="1"/>
        <v>1.8617812637102717</v>
      </c>
      <c r="X6606" s="2">
        <f ca="1"/>
        <v>57.885077693046682</v>
      </c>
      <c r="AG6606" s="2">
        <f ca="1"/>
        <v>0.77566742603880523</v>
      </c>
      <c r="AH6606" s="2" t="str">
        <f ca="1"/>
        <v>Bad</v>
      </c>
    </row>
    <row r="6607" spans="2:34">
      <c r="B6607" s="2">
        <f ca="1"/>
        <v>8.8340037405913785E-2</v>
      </c>
      <c r="O6607" s="2">
        <f ca="1"/>
        <v>1.627590861096825</v>
      </c>
      <c r="X6607" s="2">
        <f ca="1"/>
        <v>47.790741506937252</v>
      </c>
      <c r="AG6607" s="2">
        <f ca="1"/>
        <v>0.37819448898320007</v>
      </c>
      <c r="AH6607" s="2" t="str">
        <f ca="1"/>
        <v>OK</v>
      </c>
    </row>
    <row r="6608" spans="2:34">
      <c r="B6608" s="2">
        <f ca="1"/>
        <v>0.21974198158444302</v>
      </c>
      <c r="O6608" s="2">
        <f ca="1"/>
        <v>-0.68434462074463231</v>
      </c>
      <c r="X6608" s="2">
        <f ca="1"/>
        <v>46.62219071514027</v>
      </c>
      <c r="AG6608" s="2">
        <f ca="1"/>
        <v>0.61900341093920597</v>
      </c>
      <c r="AH6608" s="2" t="str">
        <f ca="1"/>
        <v>Bad</v>
      </c>
    </row>
    <row r="6609" spans="2:34">
      <c r="B6609" s="2">
        <f ca="1"/>
        <v>0.33149814707659098</v>
      </c>
      <c r="O6609" s="2">
        <f ca="1"/>
        <v>-1.5360029552491783</v>
      </c>
      <c r="X6609" s="2">
        <f ca="1"/>
        <v>47.910227356652783</v>
      </c>
      <c r="AG6609" s="2">
        <f ca="1"/>
        <v>0.91805212664742064</v>
      </c>
      <c r="AH6609" s="2" t="str">
        <f ca="1"/>
        <v>Bad</v>
      </c>
    </row>
    <row r="6610" spans="2:34">
      <c r="B6610" s="2">
        <f ca="1"/>
        <v>0.9365659833091371</v>
      </c>
      <c r="O6610" s="2">
        <f ca="1"/>
        <v>4.1331491140703412E-2</v>
      </c>
      <c r="X6610" s="2">
        <f ca="1"/>
        <v>20.650960650348182</v>
      </c>
      <c r="AG6610" s="2">
        <f ca="1"/>
        <v>0.52012551923789974</v>
      </c>
      <c r="AH6610" s="2" t="str">
        <f ca="1"/>
        <v>Bad</v>
      </c>
    </row>
    <row r="6611" spans="2:34">
      <c r="B6611" s="2">
        <f ca="1"/>
        <v>0.29392729391555461</v>
      </c>
      <c r="O6611" s="2">
        <f ca="1"/>
        <v>-2.3219663932077235</v>
      </c>
      <c r="X6611" s="2">
        <f ca="1"/>
        <v>47.040229971119025</v>
      </c>
      <c r="AG6611" s="2">
        <f ca="1"/>
        <v>0.69073520575313996</v>
      </c>
      <c r="AH6611" s="2" t="str">
        <f ca="1"/>
        <v>Bad</v>
      </c>
    </row>
    <row r="6612" spans="2:34">
      <c r="B6612" s="2">
        <f ca="1"/>
        <v>0.68292756627554918</v>
      </c>
      <c r="O6612" s="2">
        <f ca="1"/>
        <v>0.47290397555043329</v>
      </c>
      <c r="X6612" s="2">
        <f ca="1"/>
        <v>56.348710720476191</v>
      </c>
      <c r="AG6612" s="2">
        <f ca="1"/>
        <v>0.84196615828915933</v>
      </c>
      <c r="AH6612" s="2" t="str">
        <f ca="1"/>
        <v>Bad</v>
      </c>
    </row>
    <row r="6613" spans="2:34">
      <c r="B6613" s="2">
        <f ca="1"/>
        <v>0.17144648173062116</v>
      </c>
      <c r="O6613" s="2">
        <f ca="1"/>
        <v>-0.35453518605093559</v>
      </c>
      <c r="X6613" s="2">
        <f ca="1"/>
        <v>58.600685378147858</v>
      </c>
      <c r="AG6613" s="2">
        <f ca="1"/>
        <v>0.29716247154539177</v>
      </c>
      <c r="AH6613" s="2" t="str">
        <f ca="1"/>
        <v>OK</v>
      </c>
    </row>
    <row r="6614" spans="2:34">
      <c r="B6614" s="2">
        <f ca="1"/>
        <v>0.32905518074139639</v>
      </c>
      <c r="O6614" s="2">
        <f ca="1"/>
        <v>1.6526709242589903</v>
      </c>
      <c r="X6614" s="2">
        <f ca="1"/>
        <v>73.833489141266512</v>
      </c>
      <c r="AG6614" s="2">
        <f ca="1"/>
        <v>0.71875644165840891</v>
      </c>
      <c r="AH6614" s="2" t="str">
        <f ca="1"/>
        <v>Bad</v>
      </c>
    </row>
    <row r="6615" spans="2:34">
      <c r="B6615" s="2">
        <f ca="1"/>
        <v>0.48265863330838021</v>
      </c>
      <c r="O6615" s="2">
        <f ca="1"/>
        <v>-0.44875612562970435</v>
      </c>
      <c r="X6615" s="2">
        <f ca="1"/>
        <v>34.844268294337205</v>
      </c>
      <c r="AG6615" s="2">
        <f ca="1"/>
        <v>7.783533871609416E-2</v>
      </c>
      <c r="AH6615" s="2" t="str">
        <f ca="1"/>
        <v>OK</v>
      </c>
    </row>
    <row r="6616" spans="2:34">
      <c r="B6616" s="2">
        <f ca="1"/>
        <v>0.68410977090955671</v>
      </c>
      <c r="O6616" s="2">
        <f ca="1"/>
        <v>-0.98949337118369274</v>
      </c>
      <c r="X6616" s="2">
        <f ca="1"/>
        <v>52.773253778735203</v>
      </c>
      <c r="AG6616" s="2">
        <f ca="1"/>
        <v>0.89251926847164631</v>
      </c>
      <c r="AH6616" s="2" t="str">
        <f ca="1"/>
        <v>Bad</v>
      </c>
    </row>
    <row r="6617" spans="2:34">
      <c r="B6617" s="2">
        <f ca="1"/>
        <v>0.60194509486772563</v>
      </c>
      <c r="O6617" s="2">
        <f ca="1"/>
        <v>-0.30922134612340757</v>
      </c>
      <c r="X6617" s="2">
        <f ca="1"/>
        <v>34.509991143076192</v>
      </c>
      <c r="AG6617" s="2">
        <f ca="1"/>
        <v>3.5182074607689184E-3</v>
      </c>
      <c r="AH6617" s="2" t="str">
        <f ca="1"/>
        <v>Good</v>
      </c>
    </row>
    <row r="6618" spans="2:34">
      <c r="B6618" s="2">
        <f ca="1"/>
        <v>0.74764501715723042</v>
      </c>
      <c r="O6618" s="2">
        <f ca="1"/>
        <v>0.53475177376913974</v>
      </c>
      <c r="X6618" s="2">
        <f ca="1"/>
        <v>39.624912278131987</v>
      </c>
      <c r="AG6618" s="2">
        <f ca="1"/>
        <v>4.8202417814606546E-2</v>
      </c>
      <c r="AH6618" s="2" t="str">
        <f ca="1"/>
        <v>Good</v>
      </c>
    </row>
    <row r="6619" spans="2:34">
      <c r="B6619" s="2">
        <f ca="1"/>
        <v>0.54851609764715681</v>
      </c>
      <c r="O6619" s="2">
        <f ca="1"/>
        <v>-0.6409114720149216</v>
      </c>
      <c r="X6619" s="2">
        <f ca="1"/>
        <v>119.00711098577122</v>
      </c>
      <c r="AG6619" s="2">
        <f ca="1"/>
        <v>0.56234681018274446</v>
      </c>
      <c r="AH6619" s="2" t="str">
        <f ca="1"/>
        <v>Bad</v>
      </c>
    </row>
    <row r="6620" spans="2:34">
      <c r="B6620" s="2">
        <f ca="1"/>
        <v>0.86770623258656876</v>
      </c>
      <c r="O6620" s="2">
        <f ca="1"/>
        <v>-1.2309521472020373</v>
      </c>
      <c r="X6620" s="2">
        <f ca="1"/>
        <v>33.19759143944308</v>
      </c>
      <c r="AG6620" s="2">
        <f ca="1"/>
        <v>0.29006281006690893</v>
      </c>
      <c r="AH6620" s="2" t="str">
        <f ca="1"/>
        <v>OK</v>
      </c>
    </row>
    <row r="6621" spans="2:34">
      <c r="B6621" s="2">
        <f ca="1"/>
        <v>0.78149188573689643</v>
      </c>
      <c r="O6621" s="2">
        <f ca="1"/>
        <v>-1.994418815138858</v>
      </c>
      <c r="X6621" s="2">
        <f ca="1"/>
        <v>37.255599206682525</v>
      </c>
      <c r="AG6621" s="2">
        <f ca="1"/>
        <v>0.82894775224704698</v>
      </c>
      <c r="AH6621" s="2" t="str">
        <f ca="1"/>
        <v>Bad</v>
      </c>
    </row>
    <row r="6622" spans="2:34">
      <c r="B6622" s="2">
        <f ca="1"/>
        <v>0.55740783484005196</v>
      </c>
      <c r="O6622" s="2">
        <f ca="1"/>
        <v>2.1936150223489039</v>
      </c>
      <c r="X6622" s="2">
        <f ca="1"/>
        <v>40.682699877076601</v>
      </c>
      <c r="AG6622" s="2">
        <f ca="1"/>
        <v>0.86160160185300438</v>
      </c>
      <c r="AH6622" s="2" t="str">
        <f ca="1"/>
        <v>Bad</v>
      </c>
    </row>
    <row r="6623" spans="2:34">
      <c r="B6623" s="2">
        <f ca="1"/>
        <v>0.77712855566155725</v>
      </c>
      <c r="O6623" s="2">
        <f ca="1"/>
        <v>0.22366978629606213</v>
      </c>
      <c r="X6623" s="2">
        <f ca="1"/>
        <v>53.132212565093404</v>
      </c>
      <c r="AG6623" s="2">
        <f ca="1"/>
        <v>0.84047520107798301</v>
      </c>
      <c r="AH6623" s="2" t="str">
        <f ca="1"/>
        <v>Bad</v>
      </c>
    </row>
    <row r="6624" spans="2:34">
      <c r="B6624" s="2">
        <f ca="1"/>
        <v>0.69376022086186651</v>
      </c>
      <c r="O6624" s="2">
        <f ca="1"/>
        <v>0.52983440096509826</v>
      </c>
      <c r="X6624" s="2">
        <f ca="1"/>
        <v>28.508758431431215</v>
      </c>
      <c r="AG6624" s="2">
        <f ca="1"/>
        <v>0.15330136615648282</v>
      </c>
      <c r="AH6624" s="2" t="str">
        <f ca="1"/>
        <v>OK</v>
      </c>
    </row>
    <row r="6625" spans="2:34">
      <c r="B6625" s="2">
        <f ca="1"/>
        <v>0.70182650129923063</v>
      </c>
      <c r="O6625" s="2">
        <f ca="1"/>
        <v>0.26649688671629918</v>
      </c>
      <c r="X6625" s="2">
        <f ca="1"/>
        <v>47.681003063359441</v>
      </c>
      <c r="AG6625" s="2">
        <f ca="1"/>
        <v>0.27620739019411111</v>
      </c>
      <c r="AH6625" s="2" t="str">
        <f ca="1"/>
        <v>OK</v>
      </c>
    </row>
    <row r="6626" spans="2:34">
      <c r="B6626" s="2">
        <f ca="1"/>
        <v>0.39441944788282957</v>
      </c>
      <c r="O6626" s="2">
        <f ca="1"/>
        <v>0.10541556042686366</v>
      </c>
      <c r="X6626" s="2">
        <f ca="1"/>
        <v>42.667392458949081</v>
      </c>
      <c r="AG6626" s="2">
        <f ca="1"/>
        <v>0.87126168657515835</v>
      </c>
      <c r="AH6626" s="2" t="str">
        <f ca="1"/>
        <v>Bad</v>
      </c>
    </row>
    <row r="6627" spans="2:34">
      <c r="B6627" s="2">
        <f ca="1"/>
        <v>0.45508943629164378</v>
      </c>
      <c r="O6627" s="2">
        <f ca="1"/>
        <v>-1.7616951786147867</v>
      </c>
      <c r="X6627" s="2">
        <f ca="1"/>
        <v>56.551541822698148</v>
      </c>
      <c r="AG6627" s="2">
        <f ca="1"/>
        <v>8.9417865819619413E-2</v>
      </c>
      <c r="AH6627" s="2" t="str">
        <f ca="1"/>
        <v>OK</v>
      </c>
    </row>
    <row r="6628" spans="2:34">
      <c r="B6628" s="2">
        <f ca="1"/>
        <v>0.42839484763581348</v>
      </c>
      <c r="O6628" s="2">
        <f ca="1"/>
        <v>0.27521864350531122</v>
      </c>
      <c r="X6628" s="2">
        <f ca="1"/>
        <v>20.017727981779224</v>
      </c>
      <c r="AG6628" s="2">
        <f ca="1"/>
        <v>0.91064017356273341</v>
      </c>
      <c r="AH6628" s="2" t="str">
        <f ca="1"/>
        <v>Bad</v>
      </c>
    </row>
    <row r="6629" spans="2:34">
      <c r="B6629" s="2">
        <f ca="1"/>
        <v>0.62450167269343937</v>
      </c>
      <c r="O6629" s="2">
        <f ca="1"/>
        <v>0.45188417590447033</v>
      </c>
      <c r="X6629" s="2">
        <f ca="1"/>
        <v>45.756719530391585</v>
      </c>
      <c r="AG6629" s="2">
        <f ca="1"/>
        <v>6.124291474028043E-2</v>
      </c>
      <c r="AH6629" s="2" t="str">
        <f ca="1"/>
        <v>OK</v>
      </c>
    </row>
    <row r="6630" spans="2:34">
      <c r="B6630" s="2">
        <f ca="1"/>
        <v>0.36859337759499344</v>
      </c>
      <c r="O6630" s="2">
        <f ca="1"/>
        <v>-0.49460750374171697</v>
      </c>
      <c r="X6630" s="2">
        <f ca="1"/>
        <v>49.171076296858899</v>
      </c>
      <c r="AG6630" s="2">
        <f ca="1"/>
        <v>0.64849677252377469</v>
      </c>
      <c r="AH6630" s="2" t="str">
        <f ca="1"/>
        <v>Bad</v>
      </c>
    </row>
    <row r="6631" spans="2:34">
      <c r="B6631" s="2">
        <f ca="1"/>
        <v>0.38031314185286247</v>
      </c>
      <c r="O6631" s="2">
        <f ca="1"/>
        <v>0.14227676180030602</v>
      </c>
      <c r="X6631" s="2">
        <f ca="1"/>
        <v>35.693301324836689</v>
      </c>
      <c r="AG6631" s="2">
        <f ca="1"/>
        <v>0.67345597397965573</v>
      </c>
      <c r="AH6631" s="2" t="str">
        <f ca="1"/>
        <v>Bad</v>
      </c>
    </row>
    <row r="6632" spans="2:34">
      <c r="B6632" s="2">
        <f ca="1"/>
        <v>0.8114310988104434</v>
      </c>
      <c r="O6632" s="2">
        <f ca="1"/>
        <v>0.56636821385641267</v>
      </c>
      <c r="X6632" s="2">
        <f ca="1"/>
        <v>39.538135761158337</v>
      </c>
      <c r="AG6632" s="2">
        <f ca="1"/>
        <v>0.11314938878553549</v>
      </c>
      <c r="AH6632" s="2" t="str">
        <f ca="1"/>
        <v>OK</v>
      </c>
    </row>
    <row r="6633" spans="2:34">
      <c r="B6633" s="2">
        <f ca="1"/>
        <v>0.49906528775762182</v>
      </c>
      <c r="O6633" s="2">
        <f ca="1"/>
        <v>3.4636781046815071E-2</v>
      </c>
      <c r="X6633" s="2">
        <f ca="1"/>
        <v>82.872645890040133</v>
      </c>
      <c r="AG6633" s="2">
        <f ca="1"/>
        <v>0.85357437241875767</v>
      </c>
      <c r="AH6633" s="2" t="str">
        <f ca="1"/>
        <v>Bad</v>
      </c>
    </row>
    <row r="6634" spans="2:34">
      <c r="B6634" s="2">
        <f ca="1"/>
        <v>0.25341842496524292</v>
      </c>
      <c r="O6634" s="2">
        <f ca="1"/>
        <v>-1.5097122574124633</v>
      </c>
      <c r="X6634" s="2">
        <f ca="1"/>
        <v>44.644663927133969</v>
      </c>
      <c r="AG6634" s="2">
        <f ca="1"/>
        <v>0.17488424260715019</v>
      </c>
      <c r="AH6634" s="2" t="str">
        <f ca="1"/>
        <v>OK</v>
      </c>
    </row>
    <row r="6635" spans="2:34">
      <c r="B6635" s="2">
        <f ca="1"/>
        <v>2.5555837525986558E-2</v>
      </c>
      <c r="O6635" s="2">
        <f ca="1"/>
        <v>-0.20412542461316238</v>
      </c>
      <c r="X6635" s="2">
        <f ca="1"/>
        <v>37.033367894946366</v>
      </c>
      <c r="AG6635" s="2">
        <f ca="1"/>
        <v>0.72079601751079858</v>
      </c>
      <c r="AH6635" s="2" t="str">
        <f ca="1"/>
        <v>Bad</v>
      </c>
    </row>
    <row r="6636" spans="2:34">
      <c r="B6636" s="2">
        <f ca="1"/>
        <v>0.49056283241169929</v>
      </c>
      <c r="O6636" s="2">
        <f ca="1"/>
        <v>1.8812040771839895</v>
      </c>
      <c r="X6636" s="2">
        <f ca="1"/>
        <v>51.356265721215458</v>
      </c>
      <c r="AG6636" s="2">
        <f ca="1"/>
        <v>0.42518585456827407</v>
      </c>
      <c r="AH6636" s="2" t="str">
        <f ca="1"/>
        <v>Bad</v>
      </c>
    </row>
    <row r="6637" spans="2:34">
      <c r="B6637" s="2">
        <f ca="1"/>
        <v>0.81661218595303287</v>
      </c>
      <c r="O6637" s="2">
        <f ca="1"/>
        <v>-0.8416992036003722</v>
      </c>
      <c r="X6637" s="2">
        <f ca="1"/>
        <v>60.16310028679154</v>
      </c>
      <c r="AG6637" s="2">
        <f ca="1"/>
        <v>0.65748543873065013</v>
      </c>
      <c r="AH6637" s="2" t="str">
        <f ca="1"/>
        <v>Bad</v>
      </c>
    </row>
    <row r="6638" spans="2:34">
      <c r="B6638" s="2">
        <f ca="1"/>
        <v>0.58142345706416054</v>
      </c>
      <c r="O6638" s="2">
        <f ca="1"/>
        <v>1.1536311627741356</v>
      </c>
      <c r="X6638" s="2">
        <f ca="1"/>
        <v>56.262354584478054</v>
      </c>
      <c r="AG6638" s="2">
        <f ca="1"/>
        <v>0.32629427456089055</v>
      </c>
      <c r="AH6638" s="2" t="str">
        <f ca="1"/>
        <v>OK</v>
      </c>
    </row>
    <row r="6639" spans="2:34">
      <c r="B6639" s="2">
        <f ca="1"/>
        <v>0.9799481078369694</v>
      </c>
      <c r="O6639" s="2">
        <f ca="1"/>
        <v>-0.21030621733803878</v>
      </c>
      <c r="X6639" s="2">
        <f ca="1"/>
        <v>56.879511765524967</v>
      </c>
      <c r="AG6639" s="2">
        <f ca="1"/>
        <v>0.529139474360939</v>
      </c>
      <c r="AH6639" s="2" t="str">
        <f ca="1"/>
        <v>Bad</v>
      </c>
    </row>
    <row r="6640" spans="2:34">
      <c r="B6640" s="2">
        <f ca="1"/>
        <v>0.54632587459769066</v>
      </c>
      <c r="O6640" s="2">
        <f ca="1"/>
        <v>0.46167061118178826</v>
      </c>
      <c r="X6640" s="2">
        <f ca="1"/>
        <v>44.404217928651903</v>
      </c>
      <c r="AG6640" s="2">
        <f ca="1"/>
        <v>0.38567695792993528</v>
      </c>
      <c r="AH6640" s="2" t="str">
        <f ca="1"/>
        <v>OK</v>
      </c>
    </row>
    <row r="6641" spans="2:34">
      <c r="B6641" s="2">
        <f ca="1"/>
        <v>0.8237744947851009</v>
      </c>
      <c r="O6641" s="2">
        <f ca="1"/>
        <v>-0.61435336173660837</v>
      </c>
      <c r="X6641" s="2">
        <f ca="1"/>
        <v>52.918861786886438</v>
      </c>
      <c r="AG6641" s="2">
        <f ca="1"/>
        <v>0.99947638653732374</v>
      </c>
      <c r="AH6641" s="2" t="str">
        <f ca="1"/>
        <v>Bad</v>
      </c>
    </row>
    <row r="6642" spans="2:34">
      <c r="B6642" s="2">
        <f ca="1"/>
        <v>0.42847482879637488</v>
      </c>
      <c r="O6642" s="2">
        <f ca="1"/>
        <v>0.22668494867379188</v>
      </c>
      <c r="X6642" s="2">
        <f ca="1"/>
        <v>57.815255860658048</v>
      </c>
      <c r="AG6642" s="2">
        <f ca="1"/>
        <v>0.20655378446788308</v>
      </c>
      <c r="AH6642" s="2" t="str">
        <f ca="1"/>
        <v>OK</v>
      </c>
    </row>
    <row r="6643" spans="2:34">
      <c r="B6643" s="2">
        <f ca="1"/>
        <v>0.77987393002321936</v>
      </c>
      <c r="O6643" s="2">
        <f ca="1"/>
        <v>2.149595063101795</v>
      </c>
      <c r="X6643" s="2">
        <f ca="1"/>
        <v>56.682702410076061</v>
      </c>
      <c r="AG6643" s="2">
        <f ca="1"/>
        <v>7.125345438825037E-2</v>
      </c>
      <c r="AH6643" s="2" t="str">
        <f ca="1"/>
        <v>OK</v>
      </c>
    </row>
    <row r="6644" spans="2:34">
      <c r="B6644" s="2">
        <f ca="1"/>
        <v>0.39811888413557983</v>
      </c>
      <c r="O6644" s="2">
        <f ca="1"/>
        <v>0.23566821284260711</v>
      </c>
      <c r="X6644" s="2">
        <f ca="1"/>
        <v>39.040344491952432</v>
      </c>
      <c r="AG6644" s="2">
        <f ca="1"/>
        <v>0.62469269046116427</v>
      </c>
      <c r="AH6644" s="2" t="str">
        <f ca="1"/>
        <v>Bad</v>
      </c>
    </row>
    <row r="6645" spans="2:34">
      <c r="B6645" s="2">
        <f ca="1"/>
        <v>0.57157126520113377</v>
      </c>
      <c r="O6645" s="2">
        <f ca="1"/>
        <v>0.54248984895370655</v>
      </c>
      <c r="X6645" s="2">
        <f ca="1"/>
        <v>59.659624288769365</v>
      </c>
      <c r="AG6645" s="2">
        <f ca="1"/>
        <v>0.71642917702908315</v>
      </c>
      <c r="AH6645" s="2" t="str">
        <f ca="1"/>
        <v>Bad</v>
      </c>
    </row>
    <row r="6646" spans="2:34">
      <c r="B6646" s="2">
        <f ca="1"/>
        <v>0.28126810893165</v>
      </c>
      <c r="O6646" s="2">
        <f ca="1"/>
        <v>-1.9055932019335049</v>
      </c>
      <c r="X6646" s="2">
        <f ca="1"/>
        <v>36.495403931600151</v>
      </c>
      <c r="AG6646" s="2">
        <f ca="1"/>
        <v>0.57536867691281857</v>
      </c>
      <c r="AH6646" s="2" t="str">
        <f ca="1"/>
        <v>Bad</v>
      </c>
    </row>
    <row r="6647" spans="2:34">
      <c r="B6647" s="2">
        <f ca="1"/>
        <v>0.75778274367284193</v>
      </c>
      <c r="O6647" s="2">
        <f ca="1"/>
        <v>-0.44739669203678439</v>
      </c>
      <c r="X6647" s="2">
        <f ca="1"/>
        <v>72.967541622994489</v>
      </c>
      <c r="AG6647" s="2">
        <f ca="1"/>
        <v>0.26964520282822835</v>
      </c>
      <c r="AH6647" s="2" t="str">
        <f ca="1"/>
        <v>OK</v>
      </c>
    </row>
    <row r="6648" spans="2:34">
      <c r="B6648" s="2">
        <f ca="1"/>
        <v>0.80238092305505937</v>
      </c>
      <c r="O6648" s="2">
        <f ca="1"/>
        <v>-0.43225858823219132</v>
      </c>
      <c r="X6648" s="2">
        <f ca="1"/>
        <v>34.98077612621266</v>
      </c>
      <c r="AG6648" s="2">
        <f ca="1"/>
        <v>0.27741669679493852</v>
      </c>
      <c r="AH6648" s="2" t="str">
        <f ca="1"/>
        <v>OK</v>
      </c>
    </row>
    <row r="6649" spans="2:34">
      <c r="B6649" s="2">
        <f ca="1"/>
        <v>0.79492112876886956</v>
      </c>
      <c r="O6649" s="2">
        <f ca="1"/>
        <v>-1.2089280809475256</v>
      </c>
      <c r="X6649" s="2">
        <f ca="1"/>
        <v>49.83336266643586</v>
      </c>
      <c r="AG6649" s="2">
        <f ca="1"/>
        <v>0.48515687250245954</v>
      </c>
      <c r="AH6649" s="2" t="str">
        <f ca="1"/>
        <v>Bad</v>
      </c>
    </row>
    <row r="6650" spans="2:34">
      <c r="B6650" s="2">
        <f ca="1"/>
        <v>0.257193183238416</v>
      </c>
      <c r="O6650" s="2">
        <f ca="1"/>
        <v>-1.3943187770246466</v>
      </c>
      <c r="X6650" s="2">
        <f ca="1"/>
        <v>57.474731974278299</v>
      </c>
      <c r="AG6650" s="2">
        <f ca="1"/>
        <v>0.46805655261873924</v>
      </c>
      <c r="AH6650" s="2" t="str">
        <f ca="1"/>
        <v>Bad</v>
      </c>
    </row>
    <row r="6651" spans="2:34">
      <c r="B6651" s="2">
        <f ca="1"/>
        <v>0.37691990306145651</v>
      </c>
      <c r="O6651" s="2">
        <f ca="1"/>
        <v>1.1825696763886624</v>
      </c>
      <c r="X6651" s="2">
        <f ca="1"/>
        <v>30.583647073333911</v>
      </c>
      <c r="AG6651" s="2">
        <f ca="1"/>
        <v>0.50191732844966075</v>
      </c>
      <c r="AH6651" s="2" t="str">
        <f ca="1"/>
        <v>Bad</v>
      </c>
    </row>
    <row r="6652" spans="2:34">
      <c r="B6652" s="2">
        <f ca="1"/>
        <v>0.13787288959211019</v>
      </c>
      <c r="O6652" s="2">
        <f ca="1"/>
        <v>-1.5773409506047447</v>
      </c>
      <c r="X6652" s="2">
        <f ca="1"/>
        <v>52.43959659389968</v>
      </c>
      <c r="AG6652" s="2">
        <f ca="1"/>
        <v>0.23687830016472611</v>
      </c>
      <c r="AH6652" s="2" t="str">
        <f ca="1"/>
        <v>OK</v>
      </c>
    </row>
    <row r="6653" spans="2:34">
      <c r="B6653" s="2">
        <f ca="1"/>
        <v>0.15865490270266758</v>
      </c>
      <c r="O6653" s="2">
        <f ca="1"/>
        <v>0.38944571621925372</v>
      </c>
      <c r="X6653" s="2">
        <f ca="1"/>
        <v>45.61074206532637</v>
      </c>
      <c r="AG6653" s="2">
        <f ca="1"/>
        <v>4.3552297447228883E-2</v>
      </c>
      <c r="AH6653" s="2" t="str">
        <f ca="1"/>
        <v>Good</v>
      </c>
    </row>
    <row r="6654" spans="2:34">
      <c r="B6654" s="2">
        <f ca="1"/>
        <v>7.676380344104472E-2</v>
      </c>
      <c r="O6654" s="2">
        <f ca="1"/>
        <v>-1.7019963148144019</v>
      </c>
      <c r="X6654" s="2">
        <f ca="1"/>
        <v>70.010859399315635</v>
      </c>
      <c r="AG6654" s="2">
        <f ca="1"/>
        <v>0.24425659955103041</v>
      </c>
      <c r="AH6654" s="2" t="str">
        <f ca="1"/>
        <v>OK</v>
      </c>
    </row>
    <row r="6655" spans="2:34">
      <c r="B6655" s="2">
        <f ca="1"/>
        <v>0.18632649710055027</v>
      </c>
      <c r="O6655" s="2">
        <f ca="1"/>
        <v>-0.51123122229969464</v>
      </c>
      <c r="X6655" s="2">
        <f ca="1"/>
        <v>27.940600909119691</v>
      </c>
      <c r="AG6655" s="2">
        <f ca="1"/>
        <v>0.53112560048404034</v>
      </c>
      <c r="AH6655" s="2" t="str">
        <f ca="1"/>
        <v>Bad</v>
      </c>
    </row>
    <row r="6656" spans="2:34">
      <c r="B6656" s="2">
        <f ca="1"/>
        <v>0.54521768398191339</v>
      </c>
      <c r="O6656" s="2">
        <f ca="1"/>
        <v>0.99843765329128331</v>
      </c>
      <c r="X6656" s="2">
        <f ca="1"/>
        <v>69.616291762593903</v>
      </c>
      <c r="AG6656" s="2">
        <f ca="1"/>
        <v>0.70061195979104984</v>
      </c>
      <c r="AH6656" s="2" t="str">
        <f ca="1"/>
        <v>Bad</v>
      </c>
    </row>
    <row r="6657" spans="2:34">
      <c r="B6657" s="2">
        <f ca="1"/>
        <v>0.45520692273801777</v>
      </c>
      <c r="O6657" s="2">
        <f ca="1"/>
        <v>0.39673213556679215</v>
      </c>
      <c r="X6657" s="2">
        <f ca="1"/>
        <v>47.125467581196993</v>
      </c>
      <c r="AG6657" s="2">
        <f ca="1"/>
        <v>0.9663151600439166</v>
      </c>
      <c r="AH6657" s="2" t="str">
        <f ca="1"/>
        <v>Bad</v>
      </c>
    </row>
    <row r="6658" spans="2:34">
      <c r="B6658" s="2">
        <f ca="1"/>
        <v>0.30201241430844816</v>
      </c>
      <c r="O6658" s="2">
        <f ca="1"/>
        <v>0.84121236609584493</v>
      </c>
      <c r="X6658" s="2">
        <f ca="1"/>
        <v>52.327127770208499</v>
      </c>
      <c r="AG6658" s="2">
        <f ca="1"/>
        <v>7.9902888819390894E-2</v>
      </c>
      <c r="AH6658" s="2" t="str">
        <f ca="1"/>
        <v>OK</v>
      </c>
    </row>
    <row r="6659" spans="2:34">
      <c r="B6659" s="2">
        <f ca="1"/>
        <v>0.13875859068103136</v>
      </c>
      <c r="O6659" s="2">
        <f ca="1"/>
        <v>1.3101731191921475</v>
      </c>
      <c r="X6659" s="2">
        <f ca="1"/>
        <v>46.462876394221851</v>
      </c>
      <c r="AG6659" s="2">
        <f ca="1"/>
        <v>0.71282695569241028</v>
      </c>
      <c r="AH6659" s="2" t="str">
        <f ca="1"/>
        <v>Bad</v>
      </c>
    </row>
    <row r="6660" spans="2:34">
      <c r="B6660" s="2">
        <f ca="1"/>
        <v>0.84816276427508419</v>
      </c>
      <c r="O6660" s="2">
        <f ca="1"/>
        <v>-1.2563713899568696</v>
      </c>
      <c r="X6660" s="2">
        <f ca="1"/>
        <v>45.024259555147609</v>
      </c>
      <c r="AG6660" s="2">
        <f ca="1"/>
        <v>0.24906755779326262</v>
      </c>
      <c r="AH6660" s="2" t="str">
        <f ca="1"/>
        <v>OK</v>
      </c>
    </row>
    <row r="6661" spans="2:34">
      <c r="B6661" s="2">
        <f ca="1"/>
        <v>0.7729497876982272</v>
      </c>
      <c r="O6661" s="2">
        <f ca="1"/>
        <v>1.7856477593508708</v>
      </c>
      <c r="X6661" s="2">
        <f ca="1"/>
        <v>75.124298327507518</v>
      </c>
      <c r="AG6661" s="2">
        <f ca="1"/>
        <v>0.38873871065050025</v>
      </c>
      <c r="AH6661" s="2" t="str">
        <f ca="1"/>
        <v>OK</v>
      </c>
    </row>
    <row r="6662" spans="2:34">
      <c r="B6662" s="2">
        <f ca="1"/>
        <v>0.9738226241602066</v>
      </c>
      <c r="O6662" s="2">
        <f ca="1"/>
        <v>0.50994025790294095</v>
      </c>
      <c r="X6662" s="2">
        <f ca="1"/>
        <v>63.218401472531333</v>
      </c>
      <c r="AG6662" s="2">
        <f ca="1"/>
        <v>1.2637402907273332E-2</v>
      </c>
      <c r="AH6662" s="2" t="str">
        <f ca="1"/>
        <v>Good</v>
      </c>
    </row>
    <row r="6663" spans="2:34">
      <c r="B6663" s="2">
        <f ca="1"/>
        <v>0.52380045819911514</v>
      </c>
      <c r="O6663" s="2">
        <f ca="1"/>
        <v>-1.2036351931827824</v>
      </c>
      <c r="X6663" s="2">
        <f ca="1"/>
        <v>53.73263414052623</v>
      </c>
      <c r="AG6663" s="2">
        <f ca="1"/>
        <v>2.5809878457444535E-2</v>
      </c>
      <c r="AH6663" s="2" t="str">
        <f ca="1"/>
        <v>Good</v>
      </c>
    </row>
    <row r="6664" spans="2:34">
      <c r="B6664" s="2">
        <f ca="1"/>
        <v>0.3548209328271652</v>
      </c>
      <c r="O6664" s="2">
        <f ca="1"/>
        <v>0.84862706211276939</v>
      </c>
      <c r="X6664" s="2">
        <f ca="1"/>
        <v>52.01533042387684</v>
      </c>
      <c r="AG6664" s="2">
        <f ca="1"/>
        <v>0.95605304922093426</v>
      </c>
      <c r="AH6664" s="2" t="str">
        <f ca="1"/>
        <v>Bad</v>
      </c>
    </row>
    <row r="6665" spans="2:34">
      <c r="B6665" s="2">
        <f ca="1"/>
        <v>0.58663148099156581</v>
      </c>
      <c r="O6665" s="2">
        <f ca="1"/>
        <v>0.97185593730531694</v>
      </c>
      <c r="X6665" s="2">
        <f ca="1"/>
        <v>33.0557659037839</v>
      </c>
      <c r="AG6665" s="2">
        <f ca="1"/>
        <v>3.7680497036685967E-2</v>
      </c>
      <c r="AH6665" s="2" t="str">
        <f ca="1"/>
        <v>Good</v>
      </c>
    </row>
    <row r="6666" spans="2:34">
      <c r="B6666" s="2">
        <f ca="1"/>
        <v>0.70375982950669558</v>
      </c>
      <c r="O6666" s="2">
        <f ca="1"/>
        <v>1.406827494085495</v>
      </c>
      <c r="X6666" s="2">
        <f ca="1"/>
        <v>46.154992746967025</v>
      </c>
      <c r="AG6666" s="2">
        <f ca="1"/>
        <v>0.47685144715819749</v>
      </c>
      <c r="AH6666" s="2" t="str">
        <f ca="1"/>
        <v>Bad</v>
      </c>
    </row>
    <row r="6667" spans="2:34">
      <c r="B6667" s="2">
        <f ca="1"/>
        <v>0.8355563480177215</v>
      </c>
      <c r="O6667" s="2">
        <f ca="1"/>
        <v>-2.0823053434486987</v>
      </c>
      <c r="X6667" s="2">
        <f ca="1"/>
        <v>40.469133774775521</v>
      </c>
      <c r="AG6667" s="2">
        <f ca="1"/>
        <v>0.33318273311743951</v>
      </c>
      <c r="AH6667" s="2" t="str">
        <f ca="1"/>
        <v>OK</v>
      </c>
    </row>
    <row r="6668" spans="2:34">
      <c r="B6668" s="2">
        <f ca="1"/>
        <v>0.33495815294227871</v>
      </c>
      <c r="O6668" s="2">
        <f ca="1"/>
        <v>-0.16269452051756816</v>
      </c>
      <c r="X6668" s="2">
        <f ca="1"/>
        <v>37.549423888234926</v>
      </c>
      <c r="AG6668" s="2">
        <f ca="1"/>
        <v>0.28989491715693072</v>
      </c>
      <c r="AH6668" s="2" t="str">
        <f ca="1"/>
        <v>OK</v>
      </c>
    </row>
    <row r="6669" spans="2:34">
      <c r="B6669" s="2">
        <f ca="1"/>
        <v>0.98744698130945996</v>
      </c>
      <c r="O6669" s="2">
        <f ca="1"/>
        <v>-3.8228393731534048E-2</v>
      </c>
      <c r="X6669" s="2">
        <f ca="1"/>
        <v>41.865419724110808</v>
      </c>
      <c r="AG6669" s="2">
        <f ca="1"/>
        <v>0.78532820488374577</v>
      </c>
      <c r="AH6669" s="2" t="str">
        <f ca="1"/>
        <v>Bad</v>
      </c>
    </row>
    <row r="6670" spans="2:34">
      <c r="B6670" s="2">
        <f ca="1"/>
        <v>4.2853843561785343E-3</v>
      </c>
      <c r="O6670" s="2">
        <f ca="1"/>
        <v>0.85160561309729066</v>
      </c>
      <c r="X6670" s="2">
        <f ca="1"/>
        <v>38.342605333476868</v>
      </c>
      <c r="AG6670" s="2">
        <f ca="1"/>
        <v>0.62497935448768804</v>
      </c>
      <c r="AH6670" s="2" t="str">
        <f ca="1"/>
        <v>Bad</v>
      </c>
    </row>
    <row r="6671" spans="2:34">
      <c r="B6671" s="2">
        <f ca="1"/>
        <v>0.7506060015219187</v>
      </c>
      <c r="O6671" s="2">
        <f ca="1"/>
        <v>-0.48178757145765344</v>
      </c>
      <c r="X6671" s="2">
        <f ca="1"/>
        <v>78.121485648713943</v>
      </c>
      <c r="AG6671" s="2">
        <f ca="1"/>
        <v>0.56336003239028365</v>
      </c>
      <c r="AH6671" s="2" t="str">
        <f ca="1"/>
        <v>Bad</v>
      </c>
    </row>
    <row r="6672" spans="2:34">
      <c r="B6672" s="2">
        <f ca="1"/>
        <v>7.4301064131007566E-2</v>
      </c>
      <c r="O6672" s="2">
        <f ca="1"/>
        <v>-0.46462711120679695</v>
      </c>
      <c r="X6672" s="2">
        <f ca="1"/>
        <v>35.061229464728619</v>
      </c>
      <c r="AG6672" s="2">
        <f ca="1"/>
        <v>0.56746118724878403</v>
      </c>
      <c r="AH6672" s="2" t="str">
        <f ca="1"/>
        <v>Bad</v>
      </c>
    </row>
    <row r="6673" spans="2:34">
      <c r="B6673" s="2">
        <f ca="1"/>
        <v>0.78809688199436323</v>
      </c>
      <c r="O6673" s="2">
        <f ca="1"/>
        <v>0.51858482344949497</v>
      </c>
      <c r="X6673" s="2">
        <f ca="1"/>
        <v>35.507577251465932</v>
      </c>
      <c r="AG6673" s="2">
        <f ca="1"/>
        <v>0.71708246091361305</v>
      </c>
      <c r="AH6673" s="2" t="str">
        <f ca="1"/>
        <v>Bad</v>
      </c>
    </row>
    <row r="6674" spans="2:34">
      <c r="B6674" s="2">
        <f ca="1"/>
        <v>0.76285204012589025</v>
      </c>
      <c r="O6674" s="2">
        <f ca="1"/>
        <v>-0.43973484276273384</v>
      </c>
      <c r="X6674" s="2">
        <f ca="1"/>
        <v>58.926524543448224</v>
      </c>
      <c r="AG6674" s="2">
        <f ca="1"/>
        <v>0.19626976837070331</v>
      </c>
      <c r="AH6674" s="2" t="str">
        <f ca="1"/>
        <v>OK</v>
      </c>
    </row>
    <row r="6675" spans="2:34">
      <c r="B6675" s="2">
        <f ca="1"/>
        <v>0.6539701533465816</v>
      </c>
      <c r="O6675" s="2">
        <f ca="1"/>
        <v>-0.59545246013974151</v>
      </c>
      <c r="X6675" s="2">
        <f ca="1"/>
        <v>48.232228669861314</v>
      </c>
      <c r="AG6675" s="2">
        <f ca="1"/>
        <v>0.67177241799103316</v>
      </c>
      <c r="AH6675" s="2" t="str">
        <f ca="1"/>
        <v>Bad</v>
      </c>
    </row>
    <row r="6676" spans="2:34">
      <c r="B6676" s="2">
        <f ca="1"/>
        <v>0.54730583449003434</v>
      </c>
      <c r="O6676" s="2">
        <f ca="1"/>
        <v>-0.82065561828695022</v>
      </c>
      <c r="X6676" s="2">
        <f ca="1"/>
        <v>55.586554777864777</v>
      </c>
      <c r="AG6676" s="2">
        <f ca="1"/>
        <v>0.46691030592628757</v>
      </c>
      <c r="AH6676" s="2" t="str">
        <f ca="1"/>
        <v>Bad</v>
      </c>
    </row>
    <row r="6677" spans="2:34">
      <c r="B6677" s="2">
        <f ca="1"/>
        <v>0.87732422313670089</v>
      </c>
      <c r="O6677" s="2">
        <f ca="1"/>
        <v>0.27863637980600647</v>
      </c>
      <c r="X6677" s="2">
        <f ca="1"/>
        <v>74.887968300733249</v>
      </c>
      <c r="AG6677" s="2">
        <f ca="1"/>
        <v>0.63661152985525171</v>
      </c>
      <c r="AH6677" s="2" t="str">
        <f ca="1"/>
        <v>Bad</v>
      </c>
    </row>
    <row r="6678" spans="2:34">
      <c r="B6678" s="2">
        <f ca="1"/>
        <v>0.83630136938187527</v>
      </c>
      <c r="O6678" s="2">
        <f ca="1"/>
        <v>1.1896762207365414</v>
      </c>
      <c r="X6678" s="2">
        <f ca="1"/>
        <v>47.219308729816866</v>
      </c>
      <c r="AG6678" s="2">
        <f ca="1"/>
        <v>0.53982170872841562</v>
      </c>
      <c r="AH6678" s="2" t="str">
        <f ca="1"/>
        <v>Bad</v>
      </c>
    </row>
    <row r="6679" spans="2:34">
      <c r="B6679" s="2">
        <f ca="1"/>
        <v>0.6119877279342345</v>
      </c>
      <c r="O6679" s="2">
        <f ca="1"/>
        <v>1.3579069329226106E-2</v>
      </c>
      <c r="X6679" s="2">
        <f ca="1"/>
        <v>29.857891651933915</v>
      </c>
      <c r="AG6679" s="2">
        <f ca="1"/>
        <v>0.67679542496279255</v>
      </c>
      <c r="AH6679" s="2" t="str">
        <f ca="1"/>
        <v>Bad</v>
      </c>
    </row>
    <row r="6680" spans="2:34">
      <c r="B6680" s="2">
        <f ca="1"/>
        <v>0.28999316451459323</v>
      </c>
      <c r="O6680" s="2">
        <f ca="1"/>
        <v>1.2515083382970643E-2</v>
      </c>
      <c r="X6680" s="2">
        <f ca="1"/>
        <v>33.308203238051817</v>
      </c>
      <c r="AG6680" s="2">
        <f ca="1"/>
        <v>0.11956056659383907</v>
      </c>
      <c r="AH6680" s="2" t="str">
        <f ca="1"/>
        <v>OK</v>
      </c>
    </row>
    <row r="6681" spans="2:34">
      <c r="B6681" s="2">
        <f ca="1"/>
        <v>0.17657933820070681</v>
      </c>
      <c r="O6681" s="2">
        <f ca="1"/>
        <v>-1.4799870467621632</v>
      </c>
      <c r="X6681" s="2">
        <f ca="1"/>
        <v>60.605483163940185</v>
      </c>
      <c r="AG6681" s="2">
        <f ca="1"/>
        <v>0.74703112712539266</v>
      </c>
      <c r="AH6681" s="2" t="str">
        <f ca="1"/>
        <v>Bad</v>
      </c>
    </row>
    <row r="6682" spans="2:34">
      <c r="B6682" s="2">
        <f ca="1"/>
        <v>8.7729728733119128E-2</v>
      </c>
      <c r="O6682" s="2">
        <f ca="1"/>
        <v>-1.0972345258161638</v>
      </c>
      <c r="X6682" s="2">
        <f ca="1"/>
        <v>44.483411546406387</v>
      </c>
      <c r="AG6682" s="2">
        <f ca="1"/>
        <v>0.70991943598994434</v>
      </c>
      <c r="AH6682" s="2" t="str">
        <f ca="1"/>
        <v>Bad</v>
      </c>
    </row>
    <row r="6683" spans="2:34">
      <c r="B6683" s="2">
        <f ca="1"/>
        <v>0.66061257764091574</v>
      </c>
      <c r="O6683" s="2">
        <f ca="1"/>
        <v>2.5920024101478014</v>
      </c>
      <c r="X6683" s="2">
        <f ca="1"/>
        <v>43.498491943008219</v>
      </c>
      <c r="AG6683" s="2">
        <f ca="1"/>
        <v>0.13118325721927437</v>
      </c>
      <c r="AH6683" s="2" t="str">
        <f ca="1"/>
        <v>OK</v>
      </c>
    </row>
    <row r="6684" spans="2:34">
      <c r="B6684" s="2">
        <f ca="1"/>
        <v>0.61607817476109528</v>
      </c>
      <c r="O6684" s="2">
        <f ca="1"/>
        <v>-0.11817856957300849</v>
      </c>
      <c r="X6684" s="2">
        <f ca="1"/>
        <v>68.755922142945792</v>
      </c>
      <c r="AG6684" s="2">
        <f ca="1"/>
        <v>0.1833931832163691</v>
      </c>
      <c r="AH6684" s="2" t="str">
        <f ca="1"/>
        <v>OK</v>
      </c>
    </row>
    <row r="6685" spans="2:34">
      <c r="B6685" s="2">
        <f ca="1"/>
        <v>0.33039054089482356</v>
      </c>
      <c r="O6685" s="2">
        <f ca="1"/>
        <v>0.1536940724666975</v>
      </c>
      <c r="X6685" s="2">
        <f ca="1"/>
        <v>53.535475211679575</v>
      </c>
      <c r="AG6685" s="2">
        <f ca="1"/>
        <v>0.4752823631977896</v>
      </c>
      <c r="AH6685" s="2" t="str">
        <f ca="1"/>
        <v>Bad</v>
      </c>
    </row>
    <row r="6686" spans="2:34">
      <c r="B6686" s="2">
        <f ca="1"/>
        <v>0.16906408638359083</v>
      </c>
      <c r="O6686" s="2">
        <f ca="1"/>
        <v>-0.5843788356675278</v>
      </c>
      <c r="X6686" s="2">
        <f ca="1"/>
        <v>47.287984926952326</v>
      </c>
      <c r="AG6686" s="2">
        <f ca="1"/>
        <v>0.55851038051733504</v>
      </c>
      <c r="AH6686" s="2" t="str">
        <f ca="1"/>
        <v>Bad</v>
      </c>
    </row>
    <row r="6687" spans="2:34">
      <c r="B6687" s="2">
        <f ca="1"/>
        <v>8.8191516089694888E-2</v>
      </c>
      <c r="O6687" s="2">
        <f ca="1"/>
        <v>0.47859312954263455</v>
      </c>
      <c r="X6687" s="2">
        <f ca="1"/>
        <v>66.187307377660048</v>
      </c>
      <c r="AG6687" s="2">
        <f ca="1"/>
        <v>0.85337368037073302</v>
      </c>
      <c r="AH6687" s="2" t="str">
        <f ca="1"/>
        <v>Bad</v>
      </c>
    </row>
    <row r="6688" spans="2:34">
      <c r="B6688" s="2">
        <f ca="1"/>
        <v>6.8362961901838437E-2</v>
      </c>
      <c r="O6688" s="2">
        <f ca="1"/>
        <v>-0.13327421100040721</v>
      </c>
      <c r="X6688" s="2">
        <f ca="1"/>
        <v>67.942269224158593</v>
      </c>
      <c r="AG6688" s="2">
        <f ca="1"/>
        <v>0.1547990858588788</v>
      </c>
      <c r="AH6688" s="2" t="str">
        <f ca="1"/>
        <v>OK</v>
      </c>
    </row>
    <row r="6689" spans="2:34">
      <c r="B6689" s="2">
        <f ca="1"/>
        <v>2.6770418683470742E-2</v>
      </c>
      <c r="O6689" s="2">
        <f ca="1"/>
        <v>0.8505138393543229</v>
      </c>
      <c r="X6689" s="2">
        <f ca="1"/>
        <v>39.868642665397822</v>
      </c>
      <c r="AG6689" s="2">
        <f ca="1"/>
        <v>0.57413593783839745</v>
      </c>
      <c r="AH6689" s="2" t="str">
        <f ca="1"/>
        <v>Bad</v>
      </c>
    </row>
    <row r="6690" spans="2:34">
      <c r="B6690" s="2">
        <f ca="1"/>
        <v>5.2799587672251125E-2</v>
      </c>
      <c r="O6690" s="2">
        <f ca="1"/>
        <v>0.15998276550593818</v>
      </c>
      <c r="X6690" s="2">
        <f ca="1"/>
        <v>57.127970880855074</v>
      </c>
      <c r="AG6690" s="2">
        <f ca="1"/>
        <v>0.21555033232459908</v>
      </c>
      <c r="AH6690" s="2" t="str">
        <f ca="1"/>
        <v>OK</v>
      </c>
    </row>
    <row r="6691" spans="2:34">
      <c r="B6691" s="2">
        <f ca="1"/>
        <v>0.44980503385072512</v>
      </c>
      <c r="O6691" s="2">
        <f ca="1"/>
        <v>0.2369663613940802</v>
      </c>
      <c r="X6691" s="2">
        <f ca="1"/>
        <v>58.224355230403269</v>
      </c>
      <c r="AG6691" s="2">
        <f ca="1"/>
        <v>0.70697941213169679</v>
      </c>
      <c r="AH6691" s="2" t="str">
        <f ca="1"/>
        <v>Bad</v>
      </c>
    </row>
    <row r="6692" spans="2:34">
      <c r="B6692" s="2">
        <f ca="1"/>
        <v>0.88626193520397911</v>
      </c>
      <c r="O6692" s="2">
        <f ca="1"/>
        <v>0.16660287234003152</v>
      </c>
      <c r="X6692" s="2">
        <f ca="1"/>
        <v>58.938129255951068</v>
      </c>
      <c r="AG6692" s="2">
        <f ca="1"/>
        <v>0.90750997049001514</v>
      </c>
      <c r="AH6692" s="2" t="str">
        <f ca="1"/>
        <v>Bad</v>
      </c>
    </row>
    <row r="6693" spans="2:34">
      <c r="B6693" s="2">
        <f ca="1"/>
        <v>0.96535074123668196</v>
      </c>
      <c r="O6693" s="2">
        <f ca="1"/>
        <v>-0.43970719184156076</v>
      </c>
      <c r="X6693" s="2">
        <f ca="1"/>
        <v>67.496858356223839</v>
      </c>
      <c r="AG6693" s="2">
        <f ca="1"/>
        <v>0.49322503905642967</v>
      </c>
      <c r="AH6693" s="2" t="str">
        <f ca="1"/>
        <v>Bad</v>
      </c>
    </row>
    <row r="6694" spans="2:34">
      <c r="B6694" s="2">
        <f ca="1"/>
        <v>9.9479431904565541E-3</v>
      </c>
      <c r="O6694" s="2">
        <f ca="1"/>
        <v>-0.23710567092066484</v>
      </c>
      <c r="X6694" s="2">
        <f ca="1"/>
        <v>42.338627314677552</v>
      </c>
      <c r="AG6694" s="2">
        <f ca="1"/>
        <v>0.68013116363155102</v>
      </c>
      <c r="AH6694" s="2" t="str">
        <f ca="1"/>
        <v>Bad</v>
      </c>
    </row>
    <row r="6695" spans="2:34">
      <c r="B6695" s="2">
        <f ca="1"/>
        <v>0.39494798168446121</v>
      </c>
      <c r="O6695" s="2">
        <f ca="1"/>
        <v>-0.3579272137862865</v>
      </c>
      <c r="X6695" s="2">
        <f ca="1"/>
        <v>72.442973371050499</v>
      </c>
      <c r="AG6695" s="2">
        <f ca="1"/>
        <v>0.14188504752170261</v>
      </c>
      <c r="AH6695" s="2" t="str">
        <f ca="1"/>
        <v>OK</v>
      </c>
    </row>
    <row r="6696" spans="2:34">
      <c r="B6696" s="2">
        <f ca="1"/>
        <v>8.4140888254593316E-2</v>
      </c>
      <c r="O6696" s="2">
        <f ca="1"/>
        <v>0.99725691095275681</v>
      </c>
      <c r="X6696" s="2">
        <f ca="1"/>
        <v>56.572105564027467</v>
      </c>
      <c r="AG6696" s="2">
        <f ca="1"/>
        <v>0.6506653235500075</v>
      </c>
      <c r="AH6696" s="2" t="str">
        <f ca="1"/>
        <v>Bad</v>
      </c>
    </row>
    <row r="6697" spans="2:34">
      <c r="B6697" s="2">
        <f ca="1"/>
        <v>0.82418778216853683</v>
      </c>
      <c r="O6697" s="2">
        <f ca="1"/>
        <v>-0.13515565808863006</v>
      </c>
      <c r="X6697" s="2">
        <f ca="1"/>
        <v>54.249604024495</v>
      </c>
      <c r="AG6697" s="2">
        <f ca="1"/>
        <v>0.54155779874497534</v>
      </c>
      <c r="AH6697" s="2" t="str">
        <f ca="1"/>
        <v>Bad</v>
      </c>
    </row>
    <row r="6698" spans="2:34">
      <c r="B6698" s="2">
        <f ca="1"/>
        <v>0.93124861914188606</v>
      </c>
      <c r="O6698" s="2">
        <f ca="1"/>
        <v>-0.33573472838573709</v>
      </c>
      <c r="X6698" s="2">
        <f ca="1"/>
        <v>76.85320700492953</v>
      </c>
      <c r="AG6698" s="2">
        <f ca="1"/>
        <v>0.48460780839681505</v>
      </c>
      <c r="AH6698" s="2" t="str">
        <f ca="1"/>
        <v>Bad</v>
      </c>
    </row>
    <row r="6699" spans="2:34">
      <c r="B6699" s="2">
        <f ca="1"/>
        <v>0.78876131312807596</v>
      </c>
      <c r="O6699" s="2">
        <f ca="1"/>
        <v>-0.19220418988516583</v>
      </c>
      <c r="X6699" s="2">
        <f ca="1"/>
        <v>29.579523014254928</v>
      </c>
      <c r="AG6699" s="2">
        <f ca="1"/>
        <v>3.3374775102775089E-2</v>
      </c>
      <c r="AH6699" s="2" t="str">
        <f ca="1"/>
        <v>Good</v>
      </c>
    </row>
    <row r="6700" spans="2:34">
      <c r="B6700" s="2">
        <f ca="1"/>
        <v>0.27669437348705039</v>
      </c>
      <c r="O6700" s="2">
        <f ca="1"/>
        <v>2.1896568991545915</v>
      </c>
      <c r="X6700" s="2">
        <f ca="1"/>
        <v>16.144264418748868</v>
      </c>
      <c r="AG6700" s="2">
        <f ca="1"/>
        <v>0.50067528616008317</v>
      </c>
      <c r="AH6700" s="2" t="str">
        <f ca="1"/>
        <v>Bad</v>
      </c>
    </row>
    <row r="6701" spans="2:34">
      <c r="B6701" s="2">
        <f ca="1"/>
        <v>0.85559368919113288</v>
      </c>
      <c r="O6701" s="2">
        <f ca="1"/>
        <v>1.3530301793608925</v>
      </c>
      <c r="X6701" s="2">
        <f ca="1"/>
        <v>85.366054228864499</v>
      </c>
      <c r="AG6701" s="2">
        <f ca="1"/>
        <v>0.72482796478470157</v>
      </c>
      <c r="AH6701" s="2" t="str">
        <f ca="1"/>
        <v>Bad</v>
      </c>
    </row>
    <row r="6702" spans="2:34">
      <c r="B6702" s="2">
        <f ca="1"/>
        <v>0.52476014587027175</v>
      </c>
      <c r="O6702" s="2">
        <f ca="1"/>
        <v>0.10804283367833842</v>
      </c>
      <c r="X6702" s="2">
        <f ca="1"/>
        <v>66.640785753298601</v>
      </c>
      <c r="AG6702" s="2">
        <f ca="1"/>
        <v>0.45979999618969924</v>
      </c>
      <c r="AH6702" s="2" t="str">
        <f ca="1"/>
        <v>Bad</v>
      </c>
    </row>
    <row r="6703" spans="2:34">
      <c r="B6703" s="2">
        <f ca="1"/>
        <v>0.42898302138087829</v>
      </c>
      <c r="O6703" s="2">
        <f ca="1"/>
        <v>-0.11060015359942983</v>
      </c>
      <c r="X6703" s="2">
        <f ca="1"/>
        <v>43.647770079066213</v>
      </c>
      <c r="AG6703" s="2">
        <f ca="1"/>
        <v>0.61151277335480358</v>
      </c>
      <c r="AH6703" s="2" t="str">
        <f ca="1"/>
        <v>Bad</v>
      </c>
    </row>
    <row r="6704" spans="2:34">
      <c r="B6704" s="2">
        <f ca="1"/>
        <v>0.2590670169676148</v>
      </c>
      <c r="O6704" s="2">
        <f ca="1"/>
        <v>1.1139892864321936</v>
      </c>
      <c r="X6704" s="2">
        <f ca="1"/>
        <v>63.569079591484687</v>
      </c>
      <c r="AG6704" s="2">
        <f ca="1"/>
        <v>0.26916211101698773</v>
      </c>
      <c r="AH6704" s="2" t="str">
        <f ca="1"/>
        <v>OK</v>
      </c>
    </row>
    <row r="6705" spans="2:34">
      <c r="B6705" s="2">
        <f ca="1"/>
        <v>0.99418533565693945</v>
      </c>
      <c r="O6705" s="2">
        <f ca="1"/>
        <v>1.4350414700748544</v>
      </c>
      <c r="X6705" s="2">
        <f ca="1"/>
        <v>59.092306621472275</v>
      </c>
      <c r="AG6705" s="2">
        <f ca="1"/>
        <v>3.949126897592814E-2</v>
      </c>
      <c r="AH6705" s="2" t="str">
        <f ca="1"/>
        <v>Good</v>
      </c>
    </row>
    <row r="6706" spans="2:34">
      <c r="B6706" s="2">
        <f ca="1"/>
        <v>0.69490953092330043</v>
      </c>
      <c r="O6706" s="2">
        <f ca="1"/>
        <v>1.4890935419316398</v>
      </c>
      <c r="X6706" s="2">
        <f ca="1"/>
        <v>27.809528332112446</v>
      </c>
      <c r="AG6706" s="2">
        <f ca="1"/>
        <v>0.95292529936938042</v>
      </c>
      <c r="AH6706" s="2" t="str">
        <f ca="1"/>
        <v>Bad</v>
      </c>
    </row>
    <row r="6707" spans="2:34">
      <c r="B6707" s="2">
        <f ca="1"/>
        <v>9.479009981732478E-2</v>
      </c>
      <c r="O6707" s="2">
        <f ca="1"/>
        <v>-0.87980695173631385</v>
      </c>
      <c r="X6707" s="2">
        <f ca="1"/>
        <v>48.792922133122623</v>
      </c>
      <c r="AG6707" s="2">
        <f ca="1"/>
        <v>0.46971083486787113</v>
      </c>
      <c r="AH6707" s="2" t="str">
        <f ca="1"/>
        <v>Bad</v>
      </c>
    </row>
    <row r="6708" spans="2:34">
      <c r="B6708" s="2">
        <f ca="1"/>
        <v>0.94057390065886803</v>
      </c>
      <c r="O6708" s="2">
        <f ca="1"/>
        <v>-4.7279253186085592E-2</v>
      </c>
      <c r="X6708" s="2">
        <f ca="1"/>
        <v>55.569393167327632</v>
      </c>
      <c r="AG6708" s="2">
        <f ca="1"/>
        <v>0.79102090152686655</v>
      </c>
      <c r="AH6708" s="2" t="str">
        <f ca="1"/>
        <v>Bad</v>
      </c>
    </row>
    <row r="6709" spans="2:34">
      <c r="B6709" s="2">
        <f ca="1"/>
        <v>0.97295272480640738</v>
      </c>
      <c r="O6709" s="2">
        <f ca="1"/>
        <v>6.329281261026963E-3</v>
      </c>
      <c r="X6709" s="2">
        <f ca="1"/>
        <v>36.358266853148827</v>
      </c>
      <c r="AG6709" s="2">
        <f ca="1"/>
        <v>0.52279048131916106</v>
      </c>
      <c r="AH6709" s="2" t="str">
        <f ca="1"/>
        <v>Bad</v>
      </c>
    </row>
    <row r="6710" spans="2:34">
      <c r="B6710" s="2">
        <f ca="1"/>
        <v>0.29739585628692433</v>
      </c>
      <c r="O6710" s="2">
        <f ca="1"/>
        <v>0.60133131135186502</v>
      </c>
      <c r="X6710" s="2">
        <f ca="1"/>
        <v>35.73170880486898</v>
      </c>
      <c r="AG6710" s="2">
        <f ca="1"/>
        <v>0.99827449511087019</v>
      </c>
      <c r="AH6710" s="2" t="str">
        <f ca="1"/>
        <v>Bad</v>
      </c>
    </row>
    <row r="6711" spans="2:34">
      <c r="B6711" s="2">
        <f ca="1"/>
        <v>0.52880856772559759</v>
      </c>
      <c r="O6711" s="2">
        <f ca="1"/>
        <v>0.26515482938125551</v>
      </c>
      <c r="X6711" s="2">
        <f ca="1"/>
        <v>21.761674965114629</v>
      </c>
      <c r="AG6711" s="2">
        <f ca="1"/>
        <v>0.80803683324703135</v>
      </c>
      <c r="AH6711" s="2" t="str">
        <f ca="1"/>
        <v>Bad</v>
      </c>
    </row>
    <row r="6712" spans="2:34">
      <c r="B6712" s="2">
        <f ca="1"/>
        <v>0.74278831275912305</v>
      </c>
      <c r="O6712" s="2">
        <f ca="1"/>
        <v>-0.86786826449077581</v>
      </c>
      <c r="X6712" s="2">
        <f ca="1"/>
        <v>61.021237347006547</v>
      </c>
      <c r="AG6712" s="2">
        <f ca="1"/>
        <v>0.32417357440113737</v>
      </c>
      <c r="AH6712" s="2" t="str">
        <f ca="1"/>
        <v>OK</v>
      </c>
    </row>
    <row r="6713" spans="2:34">
      <c r="B6713" s="2">
        <f ca="1"/>
        <v>0.92666608138110296</v>
      </c>
      <c r="O6713" s="2">
        <f ca="1"/>
        <v>-0.13224010445094131</v>
      </c>
      <c r="X6713" s="2">
        <f ca="1"/>
        <v>53.236445015731178</v>
      </c>
      <c r="AG6713" s="2">
        <f ca="1"/>
        <v>0.44996619552065487</v>
      </c>
      <c r="AH6713" s="2" t="str">
        <f ca="1"/>
        <v>Bad</v>
      </c>
    </row>
    <row r="6714" spans="2:34">
      <c r="B6714" s="2">
        <f ca="1"/>
        <v>4.5165410600779721E-2</v>
      </c>
      <c r="O6714" s="2">
        <f ca="1"/>
        <v>-2.0026829890555038</v>
      </c>
      <c r="X6714" s="2">
        <f ca="1"/>
        <v>46.234182561193464</v>
      </c>
      <c r="AG6714" s="2">
        <f ca="1"/>
        <v>0.26048552827923976</v>
      </c>
      <c r="AH6714" s="2" t="str">
        <f ca="1"/>
        <v>OK</v>
      </c>
    </row>
    <row r="6715" spans="2:34">
      <c r="B6715" s="2">
        <f ca="1"/>
        <v>0.54856391061417709</v>
      </c>
      <c r="O6715" s="2">
        <f ca="1"/>
        <v>-0.32820241924962029</v>
      </c>
      <c r="X6715" s="2">
        <f ca="1"/>
        <v>43.966520144695657</v>
      </c>
      <c r="AG6715" s="2">
        <f ca="1"/>
        <v>0.65642052615132296</v>
      </c>
      <c r="AH6715" s="2" t="str">
        <f ca="1"/>
        <v>Bad</v>
      </c>
    </row>
    <row r="6716" spans="2:34">
      <c r="B6716" s="2">
        <f ca="1"/>
        <v>0.94271665428734108</v>
      </c>
      <c r="O6716" s="2">
        <f ca="1"/>
        <v>0.87302587298151857</v>
      </c>
      <c r="X6716" s="2">
        <f ca="1"/>
        <v>75.322098483667659</v>
      </c>
      <c r="AG6716" s="2">
        <f ca="1"/>
        <v>0.73958061370601413</v>
      </c>
      <c r="AH6716" s="2" t="str">
        <f ca="1"/>
        <v>Bad</v>
      </c>
    </row>
    <row r="6717" spans="2:34">
      <c r="B6717" s="2">
        <f ca="1"/>
        <v>0.2573344696287343</v>
      </c>
      <c r="O6717" s="2">
        <f ca="1"/>
        <v>-0.55674083139573372</v>
      </c>
      <c r="X6717" s="2">
        <f ca="1"/>
        <v>93.857431996298359</v>
      </c>
      <c r="AG6717" s="2">
        <f ca="1"/>
        <v>6.3598253749696632E-2</v>
      </c>
      <c r="AH6717" s="2" t="str">
        <f ca="1"/>
        <v>OK</v>
      </c>
    </row>
    <row r="6718" spans="2:34">
      <c r="B6718" s="2">
        <f ca="1"/>
        <v>0.53659389989014272</v>
      </c>
      <c r="O6718" s="2">
        <f ca="1"/>
        <v>-0.69297253116534829</v>
      </c>
      <c r="X6718" s="2">
        <f ca="1"/>
        <v>55.875639951645574</v>
      </c>
      <c r="AG6718" s="2">
        <f ca="1"/>
        <v>0.25975535431486274</v>
      </c>
      <c r="AH6718" s="2" t="str">
        <f ca="1"/>
        <v>OK</v>
      </c>
    </row>
    <row r="6719" spans="2:34">
      <c r="B6719" s="2">
        <f ca="1"/>
        <v>0.19274320752943308</v>
      </c>
      <c r="O6719" s="2">
        <f ca="1"/>
        <v>0.7287764648855094</v>
      </c>
      <c r="X6719" s="2">
        <f ca="1"/>
        <v>45.422289390040845</v>
      </c>
      <c r="AG6719" s="2">
        <f ca="1"/>
        <v>0.82213895703291606</v>
      </c>
      <c r="AH6719" s="2" t="str">
        <f ca="1"/>
        <v>Bad</v>
      </c>
    </row>
    <row r="6720" spans="2:34">
      <c r="B6720" s="2">
        <f ca="1"/>
        <v>0.63901991403944436</v>
      </c>
      <c r="O6720" s="2">
        <f ca="1"/>
        <v>1.0839242705300929</v>
      </c>
      <c r="X6720" s="2">
        <f ca="1"/>
        <v>49.69827421110439</v>
      </c>
      <c r="AG6720" s="2">
        <f ca="1"/>
        <v>0.61464060140829302</v>
      </c>
      <c r="AH6720" s="2" t="str">
        <f ca="1"/>
        <v>Bad</v>
      </c>
    </row>
    <row r="6721" spans="2:34">
      <c r="B6721" s="2">
        <f ca="1"/>
        <v>0.83352723525865624</v>
      </c>
      <c r="O6721" s="2">
        <f ca="1"/>
        <v>0.99242647806138218</v>
      </c>
      <c r="X6721" s="2">
        <f ca="1"/>
        <v>44.029030393097671</v>
      </c>
      <c r="AG6721" s="2">
        <f ca="1"/>
        <v>0.49201503802989399</v>
      </c>
      <c r="AH6721" s="2" t="str">
        <f ca="1"/>
        <v>Bad</v>
      </c>
    </row>
    <row r="6722" spans="2:34">
      <c r="B6722" s="2">
        <f ca="1"/>
        <v>0.67647991465335622</v>
      </c>
      <c r="O6722" s="2">
        <f ca="1"/>
        <v>-1.5090407802118866</v>
      </c>
      <c r="X6722" s="2">
        <f ca="1"/>
        <v>34.982100413162073</v>
      </c>
      <c r="AG6722" s="2">
        <f ca="1"/>
        <v>0.86626847228474846</v>
      </c>
      <c r="AH6722" s="2" t="str">
        <f ca="1"/>
        <v>Bad</v>
      </c>
    </row>
    <row r="6723" spans="2:34">
      <c r="B6723" s="2">
        <f ca="1"/>
        <v>0.67700422675979444</v>
      </c>
      <c r="O6723" s="2">
        <f ca="1"/>
        <v>-0.87572262578266302</v>
      </c>
      <c r="X6723" s="2">
        <f ca="1"/>
        <v>68.385490031173035</v>
      </c>
      <c r="AG6723" s="2">
        <f ca="1"/>
        <v>0.84767654360647815</v>
      </c>
      <c r="AH6723" s="2" t="str">
        <f ca="1"/>
        <v>Bad</v>
      </c>
    </row>
    <row r="6724" spans="2:34">
      <c r="B6724" s="2">
        <f ca="1"/>
        <v>0.67049501630748876</v>
      </c>
      <c r="O6724" s="2">
        <f ca="1"/>
        <v>7.5101292493016836E-2</v>
      </c>
      <c r="X6724" s="2">
        <f ca="1"/>
        <v>27.65548220890394</v>
      </c>
      <c r="AG6724" s="2">
        <f ca="1"/>
        <v>0.62287703837028419</v>
      </c>
      <c r="AH6724" s="2" t="str">
        <f ca="1"/>
        <v>Bad</v>
      </c>
    </row>
    <row r="6725" spans="2:34">
      <c r="B6725" s="2">
        <f ca="1"/>
        <v>4.7331295331952239E-2</v>
      </c>
      <c r="O6725" s="2">
        <f ca="1"/>
        <v>-0.59458557847480897</v>
      </c>
      <c r="X6725" s="2">
        <f ca="1"/>
        <v>61.860475071104361</v>
      </c>
      <c r="AG6725" s="2">
        <f ca="1"/>
        <v>0.99874518305488791</v>
      </c>
      <c r="AH6725" s="2" t="str">
        <f ca="1"/>
        <v>Bad</v>
      </c>
    </row>
    <row r="6726" spans="2:34">
      <c r="B6726" s="2">
        <f ca="1"/>
        <v>0.50419223388095236</v>
      </c>
      <c r="O6726" s="2">
        <f ca="1"/>
        <v>0.87501369275324026</v>
      </c>
      <c r="X6726" s="2">
        <f ca="1"/>
        <v>71.912064161373067</v>
      </c>
      <c r="AG6726" s="2">
        <f ca="1"/>
        <v>0.74521919757642818</v>
      </c>
      <c r="AH6726" s="2" t="str">
        <f ca="1"/>
        <v>Bad</v>
      </c>
    </row>
    <row r="6727" spans="2:34">
      <c r="B6727" s="2">
        <f ca="1"/>
        <v>0.18984084895918918</v>
      </c>
      <c r="O6727" s="2">
        <f ca="1"/>
        <v>0.60758606386274394</v>
      </c>
      <c r="X6727" s="2">
        <f ca="1"/>
        <v>23.780986259447271</v>
      </c>
      <c r="AG6727" s="2">
        <f ca="1"/>
        <v>0.69585695881328702</v>
      </c>
      <c r="AH6727" s="2" t="str">
        <f ca="1"/>
        <v>Bad</v>
      </c>
    </row>
    <row r="6728" spans="2:34">
      <c r="B6728" s="2">
        <f ca="1"/>
        <v>0.99601467340338923</v>
      </c>
      <c r="O6728" s="2">
        <f ca="1"/>
        <v>0.82855155841865369</v>
      </c>
      <c r="X6728" s="2">
        <f ca="1"/>
        <v>36.708145371405472</v>
      </c>
      <c r="AG6728" s="2">
        <f ca="1"/>
        <v>0.88876731537284037</v>
      </c>
      <c r="AH6728" s="2" t="str">
        <f ca="1"/>
        <v>Bad</v>
      </c>
    </row>
    <row r="6729" spans="2:34">
      <c r="B6729" s="2">
        <f ca="1"/>
        <v>0.79736768836578187</v>
      </c>
      <c r="O6729" s="2">
        <f ca="1"/>
        <v>-0.20008096661111283</v>
      </c>
      <c r="X6729" s="2">
        <f ca="1"/>
        <v>39.43695092199998</v>
      </c>
      <c r="AG6729" s="2">
        <f ca="1"/>
        <v>0.13657915530247022</v>
      </c>
      <c r="AH6729" s="2" t="str">
        <f ca="1"/>
        <v>OK</v>
      </c>
    </row>
    <row r="6730" spans="2:34">
      <c r="B6730" s="2">
        <f ca="1"/>
        <v>0.29259166187436914</v>
      </c>
      <c r="O6730" s="2">
        <f ca="1"/>
        <v>0.58410235432175783</v>
      </c>
      <c r="X6730" s="2">
        <f ca="1"/>
        <v>62.819970451495422</v>
      </c>
      <c r="AG6730" s="2">
        <f ca="1"/>
        <v>0.16872613825721383</v>
      </c>
      <c r="AH6730" s="2" t="str">
        <f ca="1"/>
        <v>OK</v>
      </c>
    </row>
    <row r="6731" spans="2:34">
      <c r="B6731" s="2">
        <f ca="1"/>
        <v>0.22874870553794291</v>
      </c>
      <c r="O6731" s="2">
        <f ca="1"/>
        <v>-0.78816622414352666</v>
      </c>
      <c r="X6731" s="2">
        <f ca="1"/>
        <v>44.023038361710888</v>
      </c>
      <c r="AG6731" s="2">
        <f ca="1"/>
        <v>8.7795395935608589E-2</v>
      </c>
      <c r="AH6731" s="2" t="str">
        <f ca="1"/>
        <v>OK</v>
      </c>
    </row>
    <row r="6732" spans="2:34">
      <c r="B6732" s="2">
        <f ca="1"/>
        <v>0.43114252765887251</v>
      </c>
      <c r="O6732" s="2">
        <f ca="1"/>
        <v>-6.6622155844609968E-2</v>
      </c>
      <c r="X6732" s="2">
        <f ca="1"/>
        <v>47.699058826517309</v>
      </c>
      <c r="AG6732" s="2">
        <f ca="1"/>
        <v>0.91379472642287252</v>
      </c>
      <c r="AH6732" s="2" t="str">
        <f ca="1"/>
        <v>Bad</v>
      </c>
    </row>
    <row r="6733" spans="2:34">
      <c r="B6733" s="2">
        <f ca="1"/>
        <v>0.44407483316838237</v>
      </c>
      <c r="O6733" s="2">
        <f ca="1"/>
        <v>-0.45511442439545063</v>
      </c>
      <c r="X6733" s="2">
        <f ca="1"/>
        <v>37.995694456573219</v>
      </c>
      <c r="AG6733" s="2">
        <f ca="1"/>
        <v>0.77302145751961704</v>
      </c>
      <c r="AH6733" s="2" t="str">
        <f ca="1"/>
        <v>Bad</v>
      </c>
    </row>
    <row r="6734" spans="2:34">
      <c r="B6734" s="2">
        <f ca="1"/>
        <v>0.12094546539938578</v>
      </c>
      <c r="O6734" s="2">
        <f ca="1"/>
        <v>0.49717082942802404</v>
      </c>
      <c r="X6734" s="2">
        <f ca="1"/>
        <v>30.728201028919319</v>
      </c>
      <c r="AG6734" s="2">
        <f ca="1"/>
        <v>4.5290243109028516E-2</v>
      </c>
      <c r="AH6734" s="2" t="str">
        <f ca="1"/>
        <v>Good</v>
      </c>
    </row>
    <row r="6735" spans="2:34">
      <c r="B6735" s="2">
        <f ca="1"/>
        <v>0.12916754879754522</v>
      </c>
      <c r="O6735" s="2">
        <f ca="1"/>
        <v>-0.61561426945447495</v>
      </c>
      <c r="X6735" s="2">
        <f ca="1"/>
        <v>50.921235644469405</v>
      </c>
      <c r="AG6735" s="2">
        <f ca="1"/>
        <v>0.29837799752187033</v>
      </c>
      <c r="AH6735" s="2" t="str">
        <f ca="1"/>
        <v>OK</v>
      </c>
    </row>
    <row r="6736" spans="2:34">
      <c r="B6736" s="2">
        <f ca="1"/>
        <v>0.63209048023038794</v>
      </c>
      <c r="O6736" s="2">
        <f ca="1"/>
        <v>-1.0401065385361532</v>
      </c>
      <c r="X6736" s="2">
        <f ca="1"/>
        <v>54.624751569086484</v>
      </c>
      <c r="AG6736" s="2">
        <f ca="1"/>
        <v>0.18073421467055795</v>
      </c>
      <c r="AH6736" s="2" t="str">
        <f ca="1"/>
        <v>OK</v>
      </c>
    </row>
    <row r="6737" spans="2:34">
      <c r="B6737" s="2">
        <f ca="1"/>
        <v>0.90997442951077412</v>
      </c>
      <c r="O6737" s="2">
        <f ca="1"/>
        <v>-0.22360341923630378</v>
      </c>
      <c r="X6737" s="2">
        <f ca="1"/>
        <v>32.011452498639514</v>
      </c>
      <c r="AG6737" s="2">
        <f ca="1"/>
        <v>6.4447835202231962E-2</v>
      </c>
      <c r="AH6737" s="2" t="str">
        <f ca="1"/>
        <v>OK</v>
      </c>
    </row>
    <row r="6738" spans="2:34">
      <c r="B6738" s="2">
        <f ca="1"/>
        <v>0.76655337830417203</v>
      </c>
      <c r="O6738" s="2">
        <f ca="1"/>
        <v>-0.17299711301870521</v>
      </c>
      <c r="X6738" s="2">
        <f ca="1"/>
        <v>29.692980945362478</v>
      </c>
      <c r="AG6738" s="2">
        <f ca="1"/>
        <v>0.58449839083813271</v>
      </c>
      <c r="AH6738" s="2" t="str">
        <f ca="1"/>
        <v>Bad</v>
      </c>
    </row>
    <row r="6739" spans="2:34">
      <c r="B6739" s="2">
        <f ca="1"/>
        <v>0.29158542794174003</v>
      </c>
      <c r="O6739" s="2">
        <f ca="1"/>
        <v>0.78312529348035087</v>
      </c>
      <c r="X6739" s="2">
        <f ca="1"/>
        <v>48.618507799580108</v>
      </c>
      <c r="AG6739" s="2">
        <f ca="1"/>
        <v>0.73326463729490077</v>
      </c>
      <c r="AH6739" s="2" t="str">
        <f ca="1"/>
        <v>Bad</v>
      </c>
    </row>
    <row r="6740" spans="2:34">
      <c r="B6740" s="2">
        <f ca="1"/>
        <v>0.48398178176222073</v>
      </c>
      <c r="O6740" s="2">
        <f ca="1"/>
        <v>1.4592983464124185</v>
      </c>
      <c r="X6740" s="2">
        <f ca="1"/>
        <v>31.850439969588233</v>
      </c>
      <c r="AG6740" s="2">
        <f ca="1"/>
        <v>2.3922427657423473E-2</v>
      </c>
      <c r="AH6740" s="2" t="str">
        <f ca="1"/>
        <v>Good</v>
      </c>
    </row>
    <row r="6741" spans="2:34">
      <c r="B6741" s="2">
        <f ca="1"/>
        <v>0.60439491920399435</v>
      </c>
      <c r="O6741" s="2">
        <f ca="1"/>
        <v>-0.82022097875543498</v>
      </c>
      <c r="X6741" s="2">
        <f ca="1"/>
        <v>33.368643592864053</v>
      </c>
      <c r="AG6741" s="2">
        <f ca="1"/>
        <v>0.36932899801472341</v>
      </c>
      <c r="AH6741" s="2" t="str">
        <f ca="1"/>
        <v>OK</v>
      </c>
    </row>
    <row r="6742" spans="2:34">
      <c r="B6742" s="2">
        <f ca="1"/>
        <v>0.23831406967544622</v>
      </c>
      <c r="O6742" s="2">
        <f ca="1"/>
        <v>0.9341374225354343</v>
      </c>
      <c r="X6742" s="2">
        <f ca="1"/>
        <v>37.570181308513177</v>
      </c>
      <c r="AG6742" s="2">
        <f ca="1"/>
        <v>0.81403129609107805</v>
      </c>
      <c r="AH6742" s="2" t="str">
        <f ca="1"/>
        <v>Bad</v>
      </c>
    </row>
    <row r="6743" spans="2:34">
      <c r="B6743" s="2">
        <f ca="1"/>
        <v>0.87599822635987801</v>
      </c>
      <c r="O6743" s="2">
        <f ca="1"/>
        <v>-0.83569354293082165</v>
      </c>
      <c r="X6743" s="2">
        <f ca="1"/>
        <v>43.899921198198001</v>
      </c>
      <c r="AG6743" s="2">
        <f ca="1"/>
        <v>0.77444946933293601</v>
      </c>
      <c r="AH6743" s="2" t="str">
        <f ca="1"/>
        <v>Bad</v>
      </c>
    </row>
    <row r="6744" spans="2:34">
      <c r="B6744" s="2">
        <f ca="1"/>
        <v>0.52644422198021545</v>
      </c>
      <c r="O6744" s="2">
        <f ca="1"/>
        <v>-0.2515029784778664</v>
      </c>
      <c r="X6744" s="2">
        <f ca="1"/>
        <v>82.546428071528496</v>
      </c>
      <c r="AG6744" s="2">
        <f ca="1"/>
        <v>0.27091385277900026</v>
      </c>
      <c r="AH6744" s="2" t="str">
        <f ca="1"/>
        <v>OK</v>
      </c>
    </row>
    <row r="6745" spans="2:34">
      <c r="B6745" s="2">
        <f ca="1"/>
        <v>0.77847121192354618</v>
      </c>
      <c r="O6745" s="2">
        <f ca="1"/>
        <v>0.38809867587586461</v>
      </c>
      <c r="X6745" s="2">
        <f ca="1"/>
        <v>40.641039701604342</v>
      </c>
      <c r="AG6745" s="2">
        <f ca="1"/>
        <v>0.21343957558553051</v>
      </c>
      <c r="AH6745" s="2" t="str">
        <f ca="1"/>
        <v>OK</v>
      </c>
    </row>
    <row r="6746" spans="2:34">
      <c r="B6746" s="2">
        <f ca="1"/>
        <v>0.50432741011185778</v>
      </c>
      <c r="O6746" s="2">
        <f ca="1"/>
        <v>0.67818086143220602</v>
      </c>
      <c r="X6746" s="2">
        <f ca="1"/>
        <v>68.819282089138369</v>
      </c>
      <c r="AG6746" s="2">
        <f ca="1"/>
        <v>7.0623764587275817E-2</v>
      </c>
      <c r="AH6746" s="2" t="str">
        <f ca="1"/>
        <v>OK</v>
      </c>
    </row>
    <row r="6747" spans="2:34">
      <c r="B6747" s="2">
        <f ca="1"/>
        <v>0.19672440775145961</v>
      </c>
      <c r="O6747" s="2">
        <f ca="1"/>
        <v>0.78196565781777849</v>
      </c>
      <c r="X6747" s="2">
        <f ca="1"/>
        <v>80.629995458235129</v>
      </c>
      <c r="AG6747" s="2">
        <f ca="1"/>
        <v>0.32847151608302871</v>
      </c>
      <c r="AH6747" s="2" t="str">
        <f ca="1"/>
        <v>OK</v>
      </c>
    </row>
    <row r="6748" spans="2:34">
      <c r="B6748" s="2">
        <f ca="1"/>
        <v>0.8216041284940987</v>
      </c>
      <c r="O6748" s="2">
        <f ca="1"/>
        <v>0.34527094547985276</v>
      </c>
      <c r="X6748" s="2">
        <f ca="1"/>
        <v>82.51571024027065</v>
      </c>
      <c r="AG6748" s="2">
        <f ca="1"/>
        <v>0.1252145001999454</v>
      </c>
      <c r="AH6748" s="2" t="str">
        <f ca="1"/>
        <v>OK</v>
      </c>
    </row>
    <row r="6749" spans="2:34">
      <c r="B6749" s="2">
        <f ca="1"/>
        <v>0.55681412455091506</v>
      </c>
      <c r="O6749" s="2">
        <f ca="1"/>
        <v>2.1224823543845295</v>
      </c>
      <c r="X6749" s="2">
        <f ca="1"/>
        <v>54.991067774159426</v>
      </c>
      <c r="AG6749" s="2">
        <f ca="1"/>
        <v>0.75384992736099354</v>
      </c>
      <c r="AH6749" s="2" t="str">
        <f ca="1"/>
        <v>Bad</v>
      </c>
    </row>
    <row r="6750" spans="2:34">
      <c r="B6750" s="2">
        <f ca="1"/>
        <v>0.11663083936524199</v>
      </c>
      <c r="O6750" s="2">
        <f ca="1"/>
        <v>1.0487902801373929</v>
      </c>
      <c r="X6750" s="2">
        <f ca="1"/>
        <v>82.385215614376065</v>
      </c>
      <c r="AG6750" s="2">
        <f ca="1"/>
        <v>0.61947563776068271</v>
      </c>
      <c r="AH6750" s="2" t="str">
        <f ca="1"/>
        <v>Bad</v>
      </c>
    </row>
    <row r="6751" spans="2:34">
      <c r="B6751" s="2">
        <f ca="1"/>
        <v>0.72014273271188034</v>
      </c>
      <c r="O6751" s="2">
        <f ca="1"/>
        <v>1.4360900247234123</v>
      </c>
      <c r="X6751" s="2">
        <f ca="1"/>
        <v>66.346362808047417</v>
      </c>
      <c r="AG6751" s="2">
        <f ca="1"/>
        <v>0.94514094157694739</v>
      </c>
      <c r="AH6751" s="2" t="str">
        <f ca="1"/>
        <v>Bad</v>
      </c>
    </row>
    <row r="6752" spans="2:34">
      <c r="B6752" s="2">
        <f ca="1"/>
        <v>0.95034547201654584</v>
      </c>
      <c r="O6752" s="2">
        <f ca="1"/>
        <v>0.66977515621550698</v>
      </c>
      <c r="X6752" s="2">
        <f ca="1"/>
        <v>57.523868407592175</v>
      </c>
      <c r="AG6752" s="2">
        <f ca="1"/>
        <v>2.4069942530886568E-3</v>
      </c>
      <c r="AH6752" s="2" t="str">
        <f ca="1"/>
        <v>Good</v>
      </c>
    </row>
    <row r="6753" spans="2:34">
      <c r="B6753" s="2">
        <f ca="1"/>
        <v>0.20059975157764343</v>
      </c>
      <c r="O6753" s="2">
        <f ca="1"/>
        <v>2.9216643168597738</v>
      </c>
      <c r="X6753" s="2">
        <f ca="1"/>
        <v>38.058694003663959</v>
      </c>
      <c r="AG6753" s="2">
        <f ca="1"/>
        <v>0.2953733141519943</v>
      </c>
      <c r="AH6753" s="2" t="str">
        <f ca="1"/>
        <v>OK</v>
      </c>
    </row>
    <row r="6754" spans="2:34">
      <c r="B6754" s="2">
        <f ca="1"/>
        <v>0.87372443948422007</v>
      </c>
      <c r="O6754" s="2">
        <f ca="1"/>
        <v>-2.4056496205370785</v>
      </c>
      <c r="X6754" s="2">
        <f ca="1"/>
        <v>47.176329693748343</v>
      </c>
      <c r="AG6754" s="2">
        <f ca="1"/>
        <v>0.220214832125601</v>
      </c>
      <c r="AH6754" s="2" t="str">
        <f ca="1"/>
        <v>OK</v>
      </c>
    </row>
    <row r="6755" spans="2:34">
      <c r="B6755" s="2">
        <f ca="1"/>
        <v>0.10795257424700333</v>
      </c>
      <c r="O6755" s="2">
        <f ca="1"/>
        <v>-0.11327077053387007</v>
      </c>
      <c r="X6755" s="2">
        <f ca="1"/>
        <v>46.681852922032988</v>
      </c>
      <c r="AG6755" s="2">
        <f ca="1"/>
        <v>0.36631975832206565</v>
      </c>
      <c r="AH6755" s="2" t="str">
        <f ca="1"/>
        <v>OK</v>
      </c>
    </row>
    <row r="6756" spans="2:34">
      <c r="B6756" s="2">
        <f ca="1"/>
        <v>0.53139267889040731</v>
      </c>
      <c r="O6756" s="2">
        <f ca="1"/>
        <v>1.1974746593338941</v>
      </c>
      <c r="X6756" s="2">
        <f ca="1"/>
        <v>32.961443999692442</v>
      </c>
      <c r="AG6756" s="2">
        <f ca="1"/>
        <v>0.50372571639559882</v>
      </c>
      <c r="AH6756" s="2" t="str">
        <f ca="1"/>
        <v>Bad</v>
      </c>
    </row>
    <row r="6757" spans="2:34">
      <c r="B6757" s="2">
        <f ca="1"/>
        <v>0.81101367010142988</v>
      </c>
      <c r="O6757" s="2">
        <f ca="1"/>
        <v>0.95304443638551761</v>
      </c>
      <c r="X6757" s="2">
        <f ca="1"/>
        <v>57.093102183266126</v>
      </c>
      <c r="AG6757" s="2">
        <f ca="1"/>
        <v>0.51610645992531556</v>
      </c>
      <c r="AH6757" s="2" t="str">
        <f ca="1"/>
        <v>Bad</v>
      </c>
    </row>
    <row r="6758" spans="2:34">
      <c r="B6758" s="2">
        <f ca="1"/>
        <v>0.75650057326934017</v>
      </c>
      <c r="O6758" s="2">
        <f ca="1"/>
        <v>-0.25596487647845989</v>
      </c>
      <c r="X6758" s="2">
        <f ca="1"/>
        <v>59.295046538092961</v>
      </c>
      <c r="AG6758" s="2">
        <f ca="1"/>
        <v>0.98128856489364757</v>
      </c>
      <c r="AH6758" s="2" t="str">
        <f ca="1"/>
        <v>Bad</v>
      </c>
    </row>
    <row r="6759" spans="2:34">
      <c r="B6759" s="2">
        <f ca="1"/>
        <v>0.42003373937578847</v>
      </c>
      <c r="O6759" s="2">
        <f ca="1"/>
        <v>-2.3149566411217113</v>
      </c>
      <c r="X6759" s="2">
        <f ca="1"/>
        <v>49.347457930064849</v>
      </c>
      <c r="AG6759" s="2">
        <f ca="1"/>
        <v>0.87680862423171768</v>
      </c>
      <c r="AH6759" s="2" t="str">
        <f ca="1"/>
        <v>Bad</v>
      </c>
    </row>
    <row r="6760" spans="2:34">
      <c r="B6760" s="2">
        <f ca="1"/>
        <v>0.3915639818188057</v>
      </c>
      <c r="O6760" s="2">
        <f ca="1"/>
        <v>1.4024852639857077</v>
      </c>
      <c r="X6760" s="2">
        <f ca="1"/>
        <v>50.35303584528063</v>
      </c>
      <c r="AG6760" s="2">
        <f ca="1"/>
        <v>0.33235241068867349</v>
      </c>
      <c r="AH6760" s="2" t="str">
        <f ca="1"/>
        <v>OK</v>
      </c>
    </row>
    <row r="6761" spans="2:34">
      <c r="B6761" s="2">
        <f ca="1"/>
        <v>0.50624728250956497</v>
      </c>
      <c r="O6761" s="2">
        <f ca="1"/>
        <v>-0.31218533747892069</v>
      </c>
      <c r="X6761" s="2">
        <f ca="1"/>
        <v>32.149212629884502</v>
      </c>
      <c r="AG6761" s="2">
        <f ca="1"/>
        <v>0.49705702911621041</v>
      </c>
      <c r="AH6761" s="2" t="str">
        <f ca="1"/>
        <v>Bad</v>
      </c>
    </row>
    <row r="6762" spans="2:34">
      <c r="B6762" s="2">
        <f ca="1"/>
        <v>0.42506180451084119</v>
      </c>
      <c r="O6762" s="2">
        <f ca="1"/>
        <v>-8.2609372174654971E-2</v>
      </c>
      <c r="X6762" s="2">
        <f ca="1"/>
        <v>45.205818330554244</v>
      </c>
      <c r="AG6762" s="2">
        <f ca="1"/>
        <v>1.4179901146061047E-2</v>
      </c>
      <c r="AH6762" s="2" t="str">
        <f ca="1"/>
        <v>Good</v>
      </c>
    </row>
    <row r="6763" spans="2:34">
      <c r="B6763" s="2">
        <f ca="1"/>
        <v>0.71833336751785737</v>
      </c>
      <c r="O6763" s="2">
        <f ca="1"/>
        <v>0.5463628792845191</v>
      </c>
      <c r="X6763" s="2">
        <f ca="1"/>
        <v>40.655756802209225</v>
      </c>
      <c r="AG6763" s="2">
        <f ca="1"/>
        <v>0.67474403711990161</v>
      </c>
      <c r="AH6763" s="2" t="str">
        <f ca="1"/>
        <v>Bad</v>
      </c>
    </row>
    <row r="6764" spans="2:34">
      <c r="B6764" s="2">
        <f ca="1"/>
        <v>0.13576327289761347</v>
      </c>
      <c r="O6764" s="2">
        <f ca="1"/>
        <v>-0.88112097160222047</v>
      </c>
      <c r="X6764" s="2">
        <f ca="1"/>
        <v>53.378161864506957</v>
      </c>
      <c r="AG6764" s="2">
        <f ca="1"/>
        <v>0.99464300451944787</v>
      </c>
      <c r="AH6764" s="2" t="str">
        <f ca="1"/>
        <v>Bad</v>
      </c>
    </row>
    <row r="6765" spans="2:34">
      <c r="B6765" s="2">
        <f ca="1"/>
        <v>0.4444998196222536</v>
      </c>
      <c r="O6765" s="2">
        <f ca="1"/>
        <v>-0.11579633604254554</v>
      </c>
      <c r="X6765" s="2">
        <f ca="1"/>
        <v>88.543283073130411</v>
      </c>
      <c r="AG6765" s="2">
        <f ca="1"/>
        <v>0.56164102005813543</v>
      </c>
      <c r="AH6765" s="2" t="str">
        <f ca="1"/>
        <v>Bad</v>
      </c>
    </row>
    <row r="6766" spans="2:34">
      <c r="B6766" s="2">
        <f ca="1"/>
        <v>0.86919432227748294</v>
      </c>
      <c r="O6766" s="2">
        <f ca="1"/>
        <v>0.11725753476195255</v>
      </c>
      <c r="X6766" s="2">
        <f ca="1"/>
        <v>28.441492933158329</v>
      </c>
      <c r="AG6766" s="2">
        <f ca="1"/>
        <v>0.78341827868324665</v>
      </c>
      <c r="AH6766" s="2" t="str">
        <f ca="1"/>
        <v>Bad</v>
      </c>
    </row>
    <row r="6767" spans="2:34">
      <c r="B6767" s="2">
        <f ca="1"/>
        <v>0.95143569102936154</v>
      </c>
      <c r="O6767" s="2">
        <f ca="1"/>
        <v>0.85455356964036966</v>
      </c>
      <c r="X6767" s="2">
        <f ca="1"/>
        <v>47.114572110094919</v>
      </c>
      <c r="AG6767" s="2">
        <f ca="1"/>
        <v>5.5327870499893184E-2</v>
      </c>
      <c r="AH6767" s="2" t="str">
        <f ca="1"/>
        <v>OK</v>
      </c>
    </row>
    <row r="6768" spans="2:34">
      <c r="B6768" s="2">
        <f ca="1"/>
        <v>0.59514603869474647</v>
      </c>
      <c r="O6768" s="2">
        <f ca="1"/>
        <v>-0.50076856948406667</v>
      </c>
      <c r="X6768" s="2">
        <f ca="1"/>
        <v>33.176279493263017</v>
      </c>
      <c r="AG6768" s="2">
        <f ca="1"/>
        <v>0.46344134842715001</v>
      </c>
      <c r="AH6768" s="2" t="str">
        <f ca="1"/>
        <v>Bad</v>
      </c>
    </row>
    <row r="6769" spans="2:34">
      <c r="B6769" s="2">
        <f ca="1"/>
        <v>0.23427026622909231</v>
      </c>
      <c r="O6769" s="2">
        <f ca="1"/>
        <v>-1.1671297607511921</v>
      </c>
      <c r="X6769" s="2">
        <f ca="1"/>
        <v>30.286511405950698</v>
      </c>
      <c r="AG6769" s="2">
        <f ca="1"/>
        <v>0.38236758709207197</v>
      </c>
      <c r="AH6769" s="2" t="str">
        <f ca="1"/>
        <v>OK</v>
      </c>
    </row>
    <row r="6770" spans="2:34">
      <c r="B6770" s="2">
        <f ca="1"/>
        <v>0.14733859133830363</v>
      </c>
      <c r="O6770" s="2">
        <f ca="1"/>
        <v>1.0378988474931186</v>
      </c>
      <c r="X6770" s="2">
        <f ca="1"/>
        <v>53.601890997035667</v>
      </c>
      <c r="AG6770" s="2">
        <f ca="1"/>
        <v>0.55225698010083279</v>
      </c>
      <c r="AH6770" s="2" t="str">
        <f ca="1"/>
        <v>Bad</v>
      </c>
    </row>
    <row r="6771" spans="2:34">
      <c r="B6771" s="2">
        <f ca="1"/>
        <v>0.99039488584299407</v>
      </c>
      <c r="O6771" s="2">
        <f ca="1"/>
        <v>-1.9074259683164174</v>
      </c>
      <c r="X6771" s="2">
        <f ca="1"/>
        <v>56.847576037527581</v>
      </c>
      <c r="AG6771" s="2">
        <f ca="1"/>
        <v>0.93976201745566001</v>
      </c>
      <c r="AH6771" s="2" t="str">
        <f ca="1"/>
        <v>Bad</v>
      </c>
    </row>
    <row r="6772" spans="2:34">
      <c r="B6772" s="2">
        <f ca="1"/>
        <v>5.6215602513939311E-2</v>
      </c>
      <c r="O6772" s="2">
        <f ca="1"/>
        <v>0.6697119327013803</v>
      </c>
      <c r="X6772" s="2">
        <f ca="1"/>
        <v>49.245440691474187</v>
      </c>
      <c r="AG6772" s="2">
        <f ca="1"/>
        <v>0.43753178789392622</v>
      </c>
      <c r="AH6772" s="2" t="str">
        <f ca="1"/>
        <v>Bad</v>
      </c>
    </row>
    <row r="6773" spans="2:34">
      <c r="B6773" s="2">
        <f ca="1"/>
        <v>0.24497478736879374</v>
      </c>
      <c r="O6773" s="2">
        <f ca="1"/>
        <v>0.33885985630586968</v>
      </c>
      <c r="X6773" s="2">
        <f ca="1"/>
        <v>42.794718921233155</v>
      </c>
      <c r="AG6773" s="2">
        <f ca="1"/>
        <v>0.19087776145881286</v>
      </c>
      <c r="AH6773" s="2" t="str">
        <f ca="1"/>
        <v>OK</v>
      </c>
    </row>
    <row r="6774" spans="2:34">
      <c r="B6774" s="2">
        <f ca="1"/>
        <v>0.25581788488826995</v>
      </c>
      <c r="O6774" s="2">
        <f ca="1"/>
        <v>1.4359597473488885</v>
      </c>
      <c r="X6774" s="2">
        <f ca="1"/>
        <v>59.872580269764917</v>
      </c>
      <c r="AG6774" s="2">
        <f ca="1"/>
        <v>0.13029188084179522</v>
      </c>
      <c r="AH6774" s="2" t="str">
        <f ca="1"/>
        <v>OK</v>
      </c>
    </row>
    <row r="6775" spans="2:34">
      <c r="B6775" s="2">
        <f ca="1"/>
        <v>0.2250167091660924</v>
      </c>
      <c r="O6775" s="2">
        <f ca="1"/>
        <v>0.28147888706951546</v>
      </c>
      <c r="X6775" s="2">
        <f ca="1"/>
        <v>58.309718523212375</v>
      </c>
      <c r="AG6775" s="2">
        <f ca="1"/>
        <v>0.35409618761820449</v>
      </c>
      <c r="AH6775" s="2" t="str">
        <f ca="1"/>
        <v>OK</v>
      </c>
    </row>
    <row r="6776" spans="2:34">
      <c r="B6776" s="2">
        <f ca="1"/>
        <v>0.61241467028347718</v>
      </c>
      <c r="O6776" s="2">
        <f ca="1"/>
        <v>-0.23502164121410626</v>
      </c>
      <c r="X6776" s="2">
        <f ca="1"/>
        <v>72.059362679251265</v>
      </c>
      <c r="AG6776" s="2">
        <f ca="1"/>
        <v>0.24337894856509812</v>
      </c>
      <c r="AH6776" s="2" t="str">
        <f ca="1"/>
        <v>OK</v>
      </c>
    </row>
    <row r="6777" spans="2:34">
      <c r="B6777" s="2">
        <f ca="1"/>
        <v>0.22212670929504741</v>
      </c>
      <c r="O6777" s="2">
        <f ca="1"/>
        <v>1.0437615583735644</v>
      </c>
      <c r="X6777" s="2">
        <f ca="1"/>
        <v>57.821180398074496</v>
      </c>
      <c r="AG6777" s="2">
        <f ca="1"/>
        <v>0.4857389055147463</v>
      </c>
      <c r="AH6777" s="2" t="str">
        <f ca="1"/>
        <v>Bad</v>
      </c>
    </row>
    <row r="6778" spans="2:34">
      <c r="B6778" s="2">
        <f ca="1"/>
        <v>3.0188549762739436E-2</v>
      </c>
      <c r="O6778" s="2">
        <f ca="1"/>
        <v>0.81813352055438182</v>
      </c>
      <c r="X6778" s="2">
        <f ca="1"/>
        <v>72.336496804879516</v>
      </c>
      <c r="AG6778" s="2">
        <f ca="1"/>
        <v>0.73911850623241837</v>
      </c>
      <c r="AH6778" s="2" t="str">
        <f ca="1"/>
        <v>Bad</v>
      </c>
    </row>
    <row r="6779" spans="2:34">
      <c r="B6779" s="2">
        <f ca="1"/>
        <v>0.16873591669576893</v>
      </c>
      <c r="O6779" s="2">
        <f ca="1"/>
        <v>0.17354001950193362</v>
      </c>
      <c r="X6779" s="2">
        <f ca="1"/>
        <v>48.439320478304282</v>
      </c>
      <c r="AG6779" s="2">
        <f ca="1"/>
        <v>0.77878657967510434</v>
      </c>
      <c r="AH6779" s="2" t="str">
        <f ca="1"/>
        <v>Bad</v>
      </c>
    </row>
    <row r="6780" spans="2:34">
      <c r="B6780" s="2">
        <f ca="1"/>
        <v>0.35611499810461389</v>
      </c>
      <c r="O6780" s="2">
        <f ca="1"/>
        <v>-0.56081856964735854</v>
      </c>
      <c r="X6780" s="2">
        <f ca="1"/>
        <v>47.843519812118565</v>
      </c>
      <c r="AG6780" s="2">
        <f ca="1"/>
        <v>0.10614440164470773</v>
      </c>
      <c r="AH6780" s="2" t="str">
        <f ca="1"/>
        <v>OK</v>
      </c>
    </row>
    <row r="6781" spans="2:34">
      <c r="B6781" s="2">
        <f ca="1"/>
        <v>0.17103913217791944</v>
      </c>
      <c r="O6781" s="2">
        <f ca="1"/>
        <v>-0.112208768778832</v>
      </c>
      <c r="X6781" s="2">
        <f ca="1"/>
        <v>20.499534076472415</v>
      </c>
      <c r="AG6781" s="2">
        <f ca="1"/>
        <v>0.85043345409017768</v>
      </c>
      <c r="AH6781" s="2" t="str">
        <f ca="1"/>
        <v>Bad</v>
      </c>
    </row>
    <row r="6782" spans="2:34">
      <c r="B6782" s="2">
        <f ca="1"/>
        <v>0.45380398309919423</v>
      </c>
      <c r="O6782" s="2">
        <f ca="1"/>
        <v>-1.6328321498542662</v>
      </c>
      <c r="X6782" s="2">
        <f ca="1"/>
        <v>72.398939464784547</v>
      </c>
      <c r="AG6782" s="2">
        <f ca="1"/>
        <v>0.74344953905734124</v>
      </c>
      <c r="AH6782" s="2" t="str">
        <f ca="1"/>
        <v>Bad</v>
      </c>
    </row>
    <row r="6783" spans="2:34">
      <c r="B6783" s="2">
        <f ca="1"/>
        <v>0.68139128400899285</v>
      </c>
      <c r="O6783" s="2">
        <f ca="1"/>
        <v>-0.44382479485690224</v>
      </c>
      <c r="X6783" s="2">
        <f ca="1"/>
        <v>18.22346057969958</v>
      </c>
      <c r="AG6783" s="2">
        <f ca="1"/>
        <v>0.90278572120728717</v>
      </c>
      <c r="AH6783" s="2" t="str">
        <f ca="1"/>
        <v>Bad</v>
      </c>
    </row>
    <row r="6784" spans="2:34">
      <c r="B6784" s="2">
        <f ca="1"/>
        <v>0.83573236545500706</v>
      </c>
      <c r="O6784" s="2">
        <f ca="1"/>
        <v>-0.59740555914244575</v>
      </c>
      <c r="X6784" s="2">
        <f ca="1"/>
        <v>41.537794551630256</v>
      </c>
      <c r="AG6784" s="2">
        <f ca="1"/>
        <v>0.4897571163491985</v>
      </c>
      <c r="AH6784" s="2" t="str">
        <f ca="1"/>
        <v>Bad</v>
      </c>
    </row>
    <row r="6785" spans="2:34">
      <c r="B6785" s="2">
        <f ca="1"/>
        <v>0.54898877947650648</v>
      </c>
      <c r="O6785" s="2">
        <f ca="1"/>
        <v>1.6344426197506301</v>
      </c>
      <c r="X6785" s="2">
        <f ca="1"/>
        <v>46.936076976339805</v>
      </c>
      <c r="AG6785" s="2">
        <f ca="1"/>
        <v>0.54907646217065498</v>
      </c>
      <c r="AH6785" s="2" t="str">
        <f ca="1"/>
        <v>Bad</v>
      </c>
    </row>
    <row r="6786" spans="2:34">
      <c r="B6786" s="2">
        <f ca="1"/>
        <v>0.93104390023726413</v>
      </c>
      <c r="O6786" s="2">
        <f ca="1"/>
        <v>-0.71761300977056508</v>
      </c>
      <c r="X6786" s="2">
        <f ca="1"/>
        <v>72.321293121728502</v>
      </c>
      <c r="AG6786" s="2">
        <f ca="1"/>
        <v>0.45426533895479948</v>
      </c>
      <c r="AH6786" s="2" t="str">
        <f ca="1"/>
        <v>Bad</v>
      </c>
    </row>
    <row r="6787" spans="2:34">
      <c r="B6787" s="2">
        <f ca="1"/>
        <v>0.96395036765138342</v>
      </c>
      <c r="O6787" s="2">
        <f ca="1"/>
        <v>0.23049513112660738</v>
      </c>
      <c r="X6787" s="2">
        <f ca="1"/>
        <v>47.376549845688103</v>
      </c>
      <c r="AG6787" s="2">
        <f ca="1"/>
        <v>7.2845970458730314E-3</v>
      </c>
      <c r="AH6787" s="2" t="str">
        <f ca="1"/>
        <v>Good</v>
      </c>
    </row>
    <row r="6788" spans="2:34">
      <c r="B6788" s="2">
        <f ca="1"/>
        <v>0.22059253348446339</v>
      </c>
      <c r="O6788" s="2">
        <f ca="1"/>
        <v>0.44534274373915611</v>
      </c>
      <c r="X6788" s="2">
        <f ca="1"/>
        <v>69.376257860456278</v>
      </c>
      <c r="AG6788" s="2">
        <f ca="1"/>
        <v>0.83156585167025043</v>
      </c>
      <c r="AH6788" s="2" t="str">
        <f ca="1"/>
        <v>Bad</v>
      </c>
    </row>
    <row r="6789" spans="2:34">
      <c r="B6789" s="2">
        <f ca="1"/>
        <v>0.99806447467644088</v>
      </c>
      <c r="O6789" s="2">
        <f ca="1"/>
        <v>0.24586276681096414</v>
      </c>
      <c r="X6789" s="2">
        <f ca="1"/>
        <v>58.446179431953894</v>
      </c>
      <c r="AG6789" s="2">
        <f ca="1"/>
        <v>0.63392926433339691</v>
      </c>
      <c r="AH6789" s="2" t="str">
        <f ca="1"/>
        <v>Bad</v>
      </c>
    </row>
    <row r="6790" spans="2:34">
      <c r="B6790" s="2">
        <f ca="1"/>
        <v>0.83773987759015256</v>
      </c>
      <c r="O6790" s="2">
        <f ca="1"/>
        <v>-0.4764690435000874</v>
      </c>
      <c r="X6790" s="2">
        <f ca="1"/>
        <v>63.44710965050335</v>
      </c>
      <c r="AG6790" s="2">
        <f ca="1"/>
        <v>0.56076795874499252</v>
      </c>
      <c r="AH6790" s="2" t="str">
        <f ca="1"/>
        <v>Bad</v>
      </c>
    </row>
    <row r="6791" spans="2:34">
      <c r="B6791" s="2">
        <f ca="1"/>
        <v>0.83728106283026893</v>
      </c>
      <c r="O6791" s="2">
        <f ca="1"/>
        <v>-1.4605491844875269</v>
      </c>
      <c r="X6791" s="2">
        <f ca="1"/>
        <v>44.01473110046004</v>
      </c>
      <c r="AG6791" s="2">
        <f ca="1"/>
        <v>0.52272188415196652</v>
      </c>
      <c r="AH6791" s="2" t="str">
        <f ca="1"/>
        <v>Bad</v>
      </c>
    </row>
    <row r="6792" spans="2:34">
      <c r="B6792" s="2">
        <f ca="1"/>
        <v>0.3209593227779064</v>
      </c>
      <c r="O6792" s="2">
        <f ca="1"/>
        <v>1.2033812705327305</v>
      </c>
      <c r="X6792" s="2">
        <f ca="1"/>
        <v>53.062947572225063</v>
      </c>
      <c r="AG6792" s="2">
        <f ca="1"/>
        <v>0.68518997772604551</v>
      </c>
      <c r="AH6792" s="2" t="str">
        <f ca="1"/>
        <v>Bad</v>
      </c>
    </row>
    <row r="6793" spans="2:34">
      <c r="B6793" s="2">
        <f ca="1"/>
        <v>0.15993291592723935</v>
      </c>
      <c r="O6793" s="2">
        <f ca="1"/>
        <v>-0.54426852770303347</v>
      </c>
      <c r="X6793" s="2">
        <f ca="1"/>
        <v>34.622048967168439</v>
      </c>
      <c r="AG6793" s="2">
        <f ca="1"/>
        <v>0.69493737279455314</v>
      </c>
      <c r="AH6793" s="2" t="str">
        <f ca="1"/>
        <v>Bad</v>
      </c>
    </row>
    <row r="6794" spans="2:34">
      <c r="B6794" s="2">
        <f ca="1"/>
        <v>0.11420832965517747</v>
      </c>
      <c r="O6794" s="2">
        <f ca="1"/>
        <v>1.5425126849912232</v>
      </c>
      <c r="X6794" s="2">
        <f ca="1"/>
        <v>60.488103988829522</v>
      </c>
      <c r="AG6794" s="2">
        <f ca="1"/>
        <v>0.24505282357486236</v>
      </c>
      <c r="AH6794" s="2" t="str">
        <f ca="1"/>
        <v>OK</v>
      </c>
    </row>
    <row r="6795" spans="2:34">
      <c r="B6795" s="2">
        <f ca="1"/>
        <v>0.39580258119484824</v>
      </c>
      <c r="O6795" s="2">
        <f ca="1"/>
        <v>0.89636411151456263</v>
      </c>
      <c r="X6795" s="2">
        <f ca="1"/>
        <v>66.460432182631422</v>
      </c>
      <c r="AG6795" s="2">
        <f ca="1"/>
        <v>0.64009408358804776</v>
      </c>
      <c r="AH6795" s="2" t="str">
        <f ca="1"/>
        <v>Bad</v>
      </c>
    </row>
    <row r="6796" spans="2:34">
      <c r="B6796" s="2">
        <f ca="1"/>
        <v>0.27213714510616982</v>
      </c>
      <c r="O6796" s="2">
        <f ca="1"/>
        <v>-2.5052678573448759</v>
      </c>
      <c r="X6796" s="2">
        <f ca="1"/>
        <v>70.023341569502051</v>
      </c>
      <c r="AG6796" s="2">
        <f ca="1"/>
        <v>0.43103218090464801</v>
      </c>
      <c r="AH6796" s="2" t="str">
        <f ca="1"/>
        <v>Bad</v>
      </c>
    </row>
    <row r="6797" spans="2:34">
      <c r="B6797" s="2">
        <f ca="1"/>
        <v>8.1901485267097174E-2</v>
      </c>
      <c r="O6797" s="2">
        <f ca="1"/>
        <v>2.4495241668128629</v>
      </c>
      <c r="X6797" s="2">
        <f ca="1"/>
        <v>41.13636685191608</v>
      </c>
      <c r="AG6797" s="2">
        <f ca="1"/>
        <v>0.36118360619267431</v>
      </c>
      <c r="AH6797" s="2" t="str">
        <f ca="1"/>
        <v>OK</v>
      </c>
    </row>
    <row r="6798" spans="2:34">
      <c r="B6798" s="2">
        <f ca="1"/>
        <v>0.25022871448325823</v>
      </c>
      <c r="O6798" s="2">
        <f ca="1"/>
        <v>0.47650472489686529</v>
      </c>
      <c r="X6798" s="2">
        <f ca="1"/>
        <v>59.155684342832132</v>
      </c>
      <c r="AG6798" s="2">
        <f ca="1"/>
        <v>0.60375803253742832</v>
      </c>
      <c r="AH6798" s="2" t="str">
        <f ca="1"/>
        <v>Bad</v>
      </c>
    </row>
    <row r="6799" spans="2:34">
      <c r="B6799" s="2">
        <f ca="1"/>
        <v>0.97366356705409052</v>
      </c>
      <c r="O6799" s="2">
        <f ca="1"/>
        <v>0.53860195838769087</v>
      </c>
      <c r="X6799" s="2">
        <f ca="1"/>
        <v>49.619803787626509</v>
      </c>
      <c r="AG6799" s="2">
        <f ca="1"/>
        <v>0.51052351576229449</v>
      </c>
      <c r="AH6799" s="2" t="str">
        <f ca="1"/>
        <v>Bad</v>
      </c>
    </row>
    <row r="6800" spans="2:34">
      <c r="B6800" s="2">
        <f ca="1"/>
        <v>0.41733003892371245</v>
      </c>
      <c r="O6800" s="2">
        <f ca="1"/>
        <v>-3.5201836616768289E-2</v>
      </c>
      <c r="X6800" s="2">
        <f ca="1"/>
        <v>32.031223599376226</v>
      </c>
      <c r="AG6800" s="2">
        <f ca="1"/>
        <v>0.49307306073503177</v>
      </c>
      <c r="AH6800" s="2" t="str">
        <f ca="1"/>
        <v>Bad</v>
      </c>
    </row>
    <row r="6801" spans="2:34">
      <c r="B6801" s="2">
        <f ca="1"/>
        <v>0.35817503333995093</v>
      </c>
      <c r="O6801" s="2">
        <f ca="1"/>
        <v>0.216640461713548</v>
      </c>
      <c r="X6801" s="2">
        <f ca="1"/>
        <v>47.665230874365292</v>
      </c>
      <c r="AG6801" s="2">
        <f ca="1"/>
        <v>0.60626762028497017</v>
      </c>
      <c r="AH6801" s="2" t="str">
        <f ca="1"/>
        <v>Bad</v>
      </c>
    </row>
    <row r="6802" spans="2:34">
      <c r="B6802" s="2">
        <f ca="1"/>
        <v>2.8177103526838554E-3</v>
      </c>
      <c r="O6802" s="2">
        <f ca="1"/>
        <v>1.2921552206221989</v>
      </c>
      <c r="X6802" s="2">
        <f ca="1"/>
        <v>26.541827250918153</v>
      </c>
      <c r="AG6802" s="2">
        <f ca="1"/>
        <v>0.24014704408183474</v>
      </c>
      <c r="AH6802" s="2" t="str">
        <f ca="1"/>
        <v>OK</v>
      </c>
    </row>
    <row r="6803" spans="2:34">
      <c r="B6803" s="2">
        <f ca="1"/>
        <v>0.98572857290155147</v>
      </c>
      <c r="O6803" s="2">
        <f ca="1"/>
        <v>-0.10641473890274486</v>
      </c>
      <c r="X6803" s="2">
        <f ca="1"/>
        <v>55.280479764077867</v>
      </c>
      <c r="AG6803" s="2">
        <f ca="1"/>
        <v>0.18087887473968922</v>
      </c>
      <c r="AH6803" s="2" t="str">
        <f ca="1"/>
        <v>OK</v>
      </c>
    </row>
    <row r="6804" spans="2:34">
      <c r="B6804" s="2">
        <f ca="1"/>
        <v>0.31309760704469003</v>
      </c>
      <c r="O6804" s="2">
        <f ca="1"/>
        <v>1.7706520352081545</v>
      </c>
      <c r="X6804" s="2">
        <f ca="1"/>
        <v>28.564279188991645</v>
      </c>
      <c r="AG6804" s="2">
        <f ca="1"/>
        <v>0.94711249988144841</v>
      </c>
      <c r="AH6804" s="2" t="str">
        <f ca="1"/>
        <v>Bad</v>
      </c>
    </row>
    <row r="6805" spans="2:34">
      <c r="B6805" s="2">
        <f ca="1"/>
        <v>0.35781062668760644</v>
      </c>
      <c r="O6805" s="2">
        <f ca="1"/>
        <v>1.4034231201355691</v>
      </c>
      <c r="X6805" s="2">
        <f ca="1"/>
        <v>44.740837544321678</v>
      </c>
      <c r="AG6805" s="2">
        <f ca="1"/>
        <v>0.78047555635733312</v>
      </c>
      <c r="AH6805" s="2" t="str">
        <f ca="1"/>
        <v>Bad</v>
      </c>
    </row>
    <row r="6806" spans="2:34">
      <c r="B6806" s="2">
        <f ca="1"/>
        <v>0.33503541350575583</v>
      </c>
      <c r="O6806" s="2">
        <f ca="1"/>
        <v>1.4380898884330079E-2</v>
      </c>
      <c r="X6806" s="2">
        <f ca="1"/>
        <v>79.095965355721376</v>
      </c>
      <c r="AG6806" s="2">
        <f ca="1"/>
        <v>0.44945623076078611</v>
      </c>
      <c r="AH6806" s="2" t="str">
        <f ca="1"/>
        <v>Bad</v>
      </c>
    </row>
    <row r="6807" spans="2:34">
      <c r="B6807" s="2">
        <f ca="1"/>
        <v>0.48172600075380001</v>
      </c>
      <c r="O6807" s="2">
        <f ca="1"/>
        <v>-0.394554528051765</v>
      </c>
      <c r="X6807" s="2">
        <f ca="1"/>
        <v>65.712200059582756</v>
      </c>
      <c r="AG6807" s="2">
        <f ca="1"/>
        <v>0.12312632409075919</v>
      </c>
      <c r="AH6807" s="2" t="str">
        <f ca="1"/>
        <v>OK</v>
      </c>
    </row>
    <row r="6808" spans="2:34">
      <c r="B6808" s="2">
        <f ca="1"/>
        <v>0.68391767309275098</v>
      </c>
      <c r="O6808" s="2">
        <f ca="1"/>
        <v>-1.4954825398554505</v>
      </c>
      <c r="X6808" s="2">
        <f ca="1"/>
        <v>41.813690343471343</v>
      </c>
      <c r="AG6808" s="2">
        <f ca="1"/>
        <v>0.41899251260439341</v>
      </c>
      <c r="AH6808" s="2" t="str">
        <f ca="1"/>
        <v>Bad</v>
      </c>
    </row>
    <row r="6809" spans="2:34">
      <c r="B6809" s="2">
        <f ca="1"/>
        <v>0.91958908563048469</v>
      </c>
      <c r="O6809" s="2">
        <f ca="1"/>
        <v>1.1106106507387135</v>
      </c>
      <c r="X6809" s="2">
        <f ca="1"/>
        <v>61.588754956976707</v>
      </c>
      <c r="AG6809" s="2">
        <f ca="1"/>
        <v>0.98262073205213629</v>
      </c>
      <c r="AH6809" s="2" t="str">
        <f ca="1"/>
        <v>Bad</v>
      </c>
    </row>
    <row r="6810" spans="2:34">
      <c r="B6810" s="2">
        <f ca="1"/>
        <v>0.8367882038345138</v>
      </c>
      <c r="O6810" s="2">
        <f ca="1"/>
        <v>0.20196713210345671</v>
      </c>
      <c r="X6810" s="2">
        <f ca="1"/>
        <v>50.300739096133846</v>
      </c>
      <c r="AG6810" s="2">
        <f ca="1"/>
        <v>0.40761935583240327</v>
      </c>
      <c r="AH6810" s="2" t="str">
        <f ca="1"/>
        <v>Bad</v>
      </c>
    </row>
    <row r="6811" spans="2:34">
      <c r="B6811" s="2">
        <f ca="1"/>
        <v>0.61154969121494629</v>
      </c>
      <c r="O6811" s="2">
        <f ca="1"/>
        <v>-0.31271207027144371</v>
      </c>
      <c r="X6811" s="2">
        <f ca="1"/>
        <v>51.542026776271726</v>
      </c>
      <c r="AG6811" s="2">
        <f ca="1"/>
        <v>0.7051664252009151</v>
      </c>
      <c r="AH6811" s="2" t="str">
        <f ca="1"/>
        <v>Bad</v>
      </c>
    </row>
    <row r="6812" spans="2:34">
      <c r="B6812" s="2">
        <f ca="1"/>
        <v>0.99160051992599607</v>
      </c>
      <c r="O6812" s="2">
        <f ca="1"/>
        <v>1.7558239064802434</v>
      </c>
      <c r="X6812" s="2">
        <f ca="1"/>
        <v>46.08668237031732</v>
      </c>
      <c r="AG6812" s="2">
        <f ca="1"/>
        <v>0.50543316749988132</v>
      </c>
      <c r="AH6812" s="2" t="str">
        <f ca="1"/>
        <v>Bad</v>
      </c>
    </row>
    <row r="6813" spans="2:34">
      <c r="B6813" s="2">
        <f ca="1"/>
        <v>0.66824153530211072</v>
      </c>
      <c r="O6813" s="2">
        <f ca="1"/>
        <v>-1.6147245669974446</v>
      </c>
      <c r="X6813" s="2">
        <f ca="1"/>
        <v>54.704558432318507</v>
      </c>
      <c r="AG6813" s="2">
        <f ca="1"/>
        <v>0.111123898788408</v>
      </c>
      <c r="AH6813" s="2" t="str">
        <f ca="1"/>
        <v>OK</v>
      </c>
    </row>
    <row r="6814" spans="2:34">
      <c r="B6814" s="2">
        <f ca="1"/>
        <v>0.61600541269824771</v>
      </c>
      <c r="O6814" s="2">
        <f ca="1"/>
        <v>-0.20409862088494105</v>
      </c>
      <c r="X6814" s="2">
        <f ca="1"/>
        <v>76.3440420807636</v>
      </c>
      <c r="AG6814" s="2">
        <f ca="1"/>
        <v>0.22250344715984505</v>
      </c>
      <c r="AH6814" s="2" t="str">
        <f ca="1"/>
        <v>OK</v>
      </c>
    </row>
    <row r="6815" spans="2:34">
      <c r="B6815" s="2">
        <f ca="1"/>
        <v>0.9266172003967621</v>
      </c>
      <c r="O6815" s="2">
        <f ca="1"/>
        <v>0.43135549621508734</v>
      </c>
      <c r="X6815" s="2">
        <f ca="1"/>
        <v>60.97593074490554</v>
      </c>
      <c r="AG6815" s="2">
        <f ca="1"/>
        <v>0.647427096325492</v>
      </c>
      <c r="AH6815" s="2" t="str">
        <f ca="1"/>
        <v>Bad</v>
      </c>
    </row>
    <row r="6816" spans="2:34">
      <c r="B6816" s="2">
        <f ca="1"/>
        <v>0.71450227866825311</v>
      </c>
      <c r="O6816" s="2">
        <f ca="1"/>
        <v>0.46760969248701095</v>
      </c>
      <c r="X6816" s="2">
        <f ca="1"/>
        <v>33.741164942561625</v>
      </c>
      <c r="AG6816" s="2">
        <f ca="1"/>
        <v>0.35471154313302766</v>
      </c>
      <c r="AH6816" s="2" t="str">
        <f ca="1"/>
        <v>OK</v>
      </c>
    </row>
    <row r="6817" spans="2:34">
      <c r="B6817" s="2">
        <f ca="1"/>
        <v>0.89078499243076359</v>
      </c>
      <c r="O6817" s="2">
        <f ca="1"/>
        <v>-1.0985450467968925</v>
      </c>
      <c r="X6817" s="2">
        <f ca="1"/>
        <v>54.166278342404638</v>
      </c>
      <c r="AG6817" s="2">
        <f ca="1"/>
        <v>9.6448371358085261E-2</v>
      </c>
      <c r="AH6817" s="2" t="str">
        <f ca="1"/>
        <v>OK</v>
      </c>
    </row>
    <row r="6818" spans="2:34">
      <c r="B6818" s="2">
        <f ca="1"/>
        <v>0.70255581703142433</v>
      </c>
      <c r="O6818" s="2">
        <f ca="1"/>
        <v>7.8635073915568413E-2</v>
      </c>
      <c r="X6818" s="2">
        <f ca="1"/>
        <v>36.093614017334609</v>
      </c>
      <c r="AG6818" s="2">
        <f ca="1"/>
        <v>0.88935023753642439</v>
      </c>
      <c r="AH6818" s="2" t="str">
        <f ca="1"/>
        <v>Bad</v>
      </c>
    </row>
    <row r="6819" spans="2:34">
      <c r="B6819" s="2">
        <f ca="1"/>
        <v>0.28926576065666576</v>
      </c>
      <c r="O6819" s="2">
        <f ca="1"/>
        <v>0.35355645942210639</v>
      </c>
      <c r="X6819" s="2">
        <f ca="1"/>
        <v>63.367824895320901</v>
      </c>
      <c r="AG6819" s="2">
        <f ca="1"/>
        <v>0.60848843059615043</v>
      </c>
      <c r="AH6819" s="2" t="str">
        <f ca="1"/>
        <v>Bad</v>
      </c>
    </row>
    <row r="6820" spans="2:34">
      <c r="B6820" s="2">
        <f ca="1"/>
        <v>0.79945626910315215</v>
      </c>
      <c r="O6820" s="2">
        <f ca="1"/>
        <v>-1.6609980017436075</v>
      </c>
      <c r="X6820" s="2">
        <f ca="1"/>
        <v>52.610677883061314</v>
      </c>
      <c r="AG6820" s="2">
        <f ca="1"/>
        <v>0.23063010816264651</v>
      </c>
      <c r="AH6820" s="2" t="str">
        <f ca="1"/>
        <v>OK</v>
      </c>
    </row>
    <row r="6821" spans="2:34">
      <c r="B6821" s="2">
        <f ca="1"/>
        <v>0.92633177600445071</v>
      </c>
      <c r="O6821" s="2">
        <f ca="1"/>
        <v>0.44342855850316498</v>
      </c>
      <c r="X6821" s="2">
        <f ca="1"/>
        <v>34.071462347813267</v>
      </c>
      <c r="AG6821" s="2">
        <f ca="1"/>
        <v>0.52021088549880079</v>
      </c>
      <c r="AH6821" s="2" t="str">
        <f ca="1"/>
        <v>Bad</v>
      </c>
    </row>
    <row r="6822" spans="2:34">
      <c r="B6822" s="2">
        <f ca="1"/>
        <v>0.47467797394708056</v>
      </c>
      <c r="O6822" s="2">
        <f ca="1"/>
        <v>0.96033763150931239</v>
      </c>
      <c r="X6822" s="2">
        <f ca="1"/>
        <v>76.610469462787876</v>
      </c>
      <c r="AG6822" s="2">
        <f ca="1"/>
        <v>0.73751249048255296</v>
      </c>
      <c r="AH6822" s="2" t="str">
        <f ca="1"/>
        <v>Bad</v>
      </c>
    </row>
    <row r="6823" spans="2:34">
      <c r="B6823" s="2">
        <f ca="1"/>
        <v>5.9540677905728812E-2</v>
      </c>
      <c r="O6823" s="2">
        <f ca="1"/>
        <v>1.8635291419990058E-2</v>
      </c>
      <c r="X6823" s="2">
        <f ca="1"/>
        <v>41.373574781524326</v>
      </c>
      <c r="AG6823" s="2">
        <f ca="1"/>
        <v>0.68971786797947665</v>
      </c>
      <c r="AH6823" s="2" t="str">
        <f ca="1"/>
        <v>Bad</v>
      </c>
    </row>
    <row r="6824" spans="2:34">
      <c r="B6824" s="2">
        <f ca="1"/>
        <v>0.15235759964634399</v>
      </c>
      <c r="O6824" s="2">
        <f ca="1"/>
        <v>-0.98207635741850108</v>
      </c>
      <c r="X6824" s="2">
        <f ca="1"/>
        <v>46.637904447085461</v>
      </c>
      <c r="AG6824" s="2">
        <f ca="1"/>
        <v>0.87366424429694312</v>
      </c>
      <c r="AH6824" s="2" t="str">
        <f ca="1"/>
        <v>Bad</v>
      </c>
    </row>
    <row r="6825" spans="2:34">
      <c r="B6825" s="2">
        <f ca="1"/>
        <v>0.96930137102475067</v>
      </c>
      <c r="O6825" s="2">
        <f ca="1"/>
        <v>-0.26136662909921143</v>
      </c>
      <c r="X6825" s="2">
        <f ca="1"/>
        <v>42.747633352509176</v>
      </c>
      <c r="AG6825" s="2">
        <f ca="1"/>
        <v>3.0415111096593339E-2</v>
      </c>
      <c r="AH6825" s="2" t="str">
        <f ca="1"/>
        <v>Good</v>
      </c>
    </row>
    <row r="6826" spans="2:34">
      <c r="B6826" s="2">
        <f ca="1"/>
        <v>0.50618266446554672</v>
      </c>
      <c r="O6826" s="2">
        <f ca="1"/>
        <v>-0.76051288460772948</v>
      </c>
      <c r="X6826" s="2">
        <f ca="1"/>
        <v>87.955495330726734</v>
      </c>
      <c r="AG6826" s="2">
        <f ca="1"/>
        <v>0.77074988002740241</v>
      </c>
      <c r="AH6826" s="2" t="str">
        <f ca="1"/>
        <v>Bad</v>
      </c>
    </row>
    <row r="6827" spans="2:34">
      <c r="B6827" s="2">
        <f ca="1"/>
        <v>0.78576331696825386</v>
      </c>
      <c r="O6827" s="2">
        <f ca="1"/>
        <v>0.63134208907139422</v>
      </c>
      <c r="X6827" s="2">
        <f ca="1"/>
        <v>50.805125271169288</v>
      </c>
      <c r="AG6827" s="2">
        <f ca="1"/>
        <v>0.86799183732740426</v>
      </c>
      <c r="AH6827" s="2" t="str">
        <f ca="1"/>
        <v>Bad</v>
      </c>
    </row>
    <row r="6828" spans="2:34">
      <c r="B6828" s="2">
        <f ca="1"/>
        <v>0.29142100723422759</v>
      </c>
      <c r="O6828" s="2">
        <f ca="1"/>
        <v>-1.8003922294700287</v>
      </c>
      <c r="X6828" s="2">
        <f ca="1"/>
        <v>33.618595715055037</v>
      </c>
      <c r="AG6828" s="2">
        <f ca="1"/>
        <v>0.63837984923872959</v>
      </c>
      <c r="AH6828" s="2" t="str">
        <f ca="1"/>
        <v>Bad</v>
      </c>
    </row>
    <row r="6829" spans="2:34">
      <c r="B6829" s="2">
        <f ca="1"/>
        <v>0.18759232793215963</v>
      </c>
      <c r="O6829" s="2">
        <f ca="1"/>
        <v>-0.77612495743945087</v>
      </c>
      <c r="X6829" s="2">
        <f ca="1"/>
        <v>38.144077502629621</v>
      </c>
      <c r="AG6829" s="2">
        <f ca="1"/>
        <v>0.85031172061700677</v>
      </c>
      <c r="AH6829" s="2" t="str">
        <f ca="1"/>
        <v>Bad</v>
      </c>
    </row>
    <row r="6830" spans="2:34">
      <c r="B6830" s="2">
        <f ca="1"/>
        <v>0.40324118329032954</v>
      </c>
      <c r="O6830" s="2">
        <f ca="1"/>
        <v>1.3674178350346402</v>
      </c>
      <c r="X6830" s="2">
        <f ca="1"/>
        <v>49.089804023192478</v>
      </c>
      <c r="AG6830" s="2">
        <f ca="1"/>
        <v>0.39193794871135346</v>
      </c>
      <c r="AH6830" s="2" t="str">
        <f ca="1"/>
        <v>OK</v>
      </c>
    </row>
    <row r="6831" spans="2:34">
      <c r="B6831" s="2">
        <f ca="1"/>
        <v>0.2564587954904316</v>
      </c>
      <c r="O6831" s="2">
        <f ca="1"/>
        <v>-0.32045568319762313</v>
      </c>
      <c r="X6831" s="2">
        <f ca="1"/>
        <v>25.096839597828438</v>
      </c>
      <c r="AG6831" s="2">
        <f ca="1"/>
        <v>0.52940023217519894</v>
      </c>
      <c r="AH6831" s="2" t="str">
        <f ca="1"/>
        <v>Bad</v>
      </c>
    </row>
    <row r="6832" spans="2:34">
      <c r="B6832" s="2">
        <f ca="1"/>
        <v>0.37565240572241665</v>
      </c>
      <c r="O6832" s="2">
        <f ca="1"/>
        <v>-0.31547325294757683</v>
      </c>
      <c r="X6832" s="2">
        <f ca="1"/>
        <v>52.184305783622172</v>
      </c>
      <c r="AG6832" s="2">
        <f ca="1"/>
        <v>0.23671511266316192</v>
      </c>
      <c r="AH6832" s="2" t="str">
        <f ca="1"/>
        <v>OK</v>
      </c>
    </row>
    <row r="6833" spans="2:34">
      <c r="B6833" s="2">
        <f ca="1"/>
        <v>8.9516543861160702E-2</v>
      </c>
      <c r="O6833" s="2">
        <f ca="1"/>
        <v>1.9083633081209159</v>
      </c>
      <c r="X6833" s="2">
        <f ca="1"/>
        <v>51.5853219820875</v>
      </c>
      <c r="AG6833" s="2">
        <f ca="1"/>
        <v>0.35940812123703392</v>
      </c>
      <c r="AH6833" s="2" t="str">
        <f ca="1"/>
        <v>OK</v>
      </c>
    </row>
    <row r="6834" spans="2:34">
      <c r="B6834" s="2">
        <f ca="1"/>
        <v>6.1916989158494307E-2</v>
      </c>
      <c r="O6834" s="2">
        <f ca="1"/>
        <v>0.26041565060135041</v>
      </c>
      <c r="X6834" s="2">
        <f ca="1"/>
        <v>56.548880764379973</v>
      </c>
      <c r="AG6834" s="2">
        <f ca="1"/>
        <v>0.29911324279440188</v>
      </c>
      <c r="AH6834" s="2" t="str">
        <f ca="1"/>
        <v>OK</v>
      </c>
    </row>
    <row r="6835" spans="2:34">
      <c r="B6835" s="2">
        <f ca="1"/>
        <v>0.50807503733882209</v>
      </c>
      <c r="O6835" s="2">
        <f ca="1"/>
        <v>-1.3765859997999761</v>
      </c>
      <c r="X6835" s="2">
        <f ca="1"/>
        <v>35.100506017477656</v>
      </c>
      <c r="AG6835" s="2">
        <f ca="1"/>
        <v>7.2873697662795056E-2</v>
      </c>
      <c r="AH6835" s="2" t="str">
        <f ca="1"/>
        <v>OK</v>
      </c>
    </row>
    <row r="6836" spans="2:34">
      <c r="B6836" s="2">
        <f ca="1"/>
        <v>0.19159908273352633</v>
      </c>
      <c r="O6836" s="2">
        <f ca="1"/>
        <v>1.4455985802319482</v>
      </c>
      <c r="X6836" s="2">
        <f ca="1"/>
        <v>63.451109281234828</v>
      </c>
      <c r="AG6836" s="2">
        <f ca="1"/>
        <v>0.7480829318003519</v>
      </c>
      <c r="AH6836" s="2" t="str">
        <f ca="1"/>
        <v>Bad</v>
      </c>
    </row>
    <row r="6837" spans="2:34">
      <c r="B6837" s="2">
        <f ca="1"/>
        <v>0.82491388237096697</v>
      </c>
      <c r="O6837" s="2">
        <f ca="1"/>
        <v>-0.11139188799855451</v>
      </c>
      <c r="X6837" s="2">
        <f ca="1"/>
        <v>41.653167779763663</v>
      </c>
      <c r="AG6837" s="2">
        <f ca="1"/>
        <v>0.77268627575580084</v>
      </c>
      <c r="AH6837" s="2" t="str">
        <f ca="1"/>
        <v>Bad</v>
      </c>
    </row>
    <row r="6838" spans="2:34">
      <c r="B6838" s="2">
        <f ca="1"/>
        <v>0.94800900309203806</v>
      </c>
      <c r="O6838" s="2">
        <f ca="1"/>
        <v>-0.20972236752964921</v>
      </c>
      <c r="X6838" s="2">
        <f ca="1"/>
        <v>52.188983802090803</v>
      </c>
      <c r="AG6838" s="2">
        <f ca="1"/>
        <v>0.24940067857586357</v>
      </c>
      <c r="AH6838" s="2" t="str">
        <f ca="1"/>
        <v>OK</v>
      </c>
    </row>
    <row r="6839" spans="2:34">
      <c r="B6839" s="2">
        <f ca="1"/>
        <v>0.86600441370911385</v>
      </c>
      <c r="O6839" s="2">
        <f ca="1"/>
        <v>-0.71513100683268627</v>
      </c>
      <c r="X6839" s="2">
        <f ca="1"/>
        <v>45.784616870078914</v>
      </c>
      <c r="AG6839" s="2">
        <f ca="1"/>
        <v>2.9581030841768774E-2</v>
      </c>
      <c r="AH6839" s="2" t="str">
        <f ca="1"/>
        <v>Good</v>
      </c>
    </row>
    <row r="6840" spans="2:34">
      <c r="B6840" s="2">
        <f ca="1"/>
        <v>0.58577202683557572</v>
      </c>
      <c r="O6840" s="2">
        <f ca="1"/>
        <v>-1.3924220217160588</v>
      </c>
      <c r="X6840" s="2">
        <f ca="1"/>
        <v>29.8570546829162</v>
      </c>
      <c r="AG6840" s="2">
        <f ca="1"/>
        <v>0.30867290302714867</v>
      </c>
      <c r="AH6840" s="2" t="str">
        <f ca="1"/>
        <v>OK</v>
      </c>
    </row>
    <row r="6841" spans="2:34">
      <c r="B6841" s="2">
        <f ca="1"/>
        <v>0.1426109873934438</v>
      </c>
      <c r="O6841" s="2">
        <f ca="1"/>
        <v>-0.26761633113974131</v>
      </c>
      <c r="X6841" s="2">
        <f ca="1"/>
        <v>46.869988868821856</v>
      </c>
      <c r="AG6841" s="2">
        <f ca="1"/>
        <v>0.42500705023191543</v>
      </c>
      <c r="AH6841" s="2" t="str">
        <f ca="1"/>
        <v>Bad</v>
      </c>
    </row>
    <row r="6842" spans="2:34">
      <c r="B6842" s="2">
        <f ca="1"/>
        <v>0.5748422184589228</v>
      </c>
      <c r="O6842" s="2">
        <f ca="1"/>
        <v>2.4854320349336052</v>
      </c>
      <c r="X6842" s="2">
        <f ca="1"/>
        <v>48.191538511793041</v>
      </c>
      <c r="AG6842" s="2">
        <f ca="1"/>
        <v>0.78666575459742694</v>
      </c>
      <c r="AH6842" s="2" t="str">
        <f ca="1"/>
        <v>Bad</v>
      </c>
    </row>
    <row r="6843" spans="2:34">
      <c r="B6843" s="2">
        <f ca="1"/>
        <v>0.86657591598302797</v>
      </c>
      <c r="O6843" s="2">
        <f ca="1"/>
        <v>-0.74521122385607108</v>
      </c>
      <c r="X6843" s="2">
        <f ca="1"/>
        <v>68.981991439316502</v>
      </c>
      <c r="AG6843" s="2">
        <f ca="1"/>
        <v>4.149337404566511E-2</v>
      </c>
      <c r="AH6843" s="2" t="str">
        <f ca="1"/>
        <v>Good</v>
      </c>
    </row>
    <row r="6844" spans="2:34">
      <c r="B6844" s="2">
        <f ca="1"/>
        <v>0.14362914322465392</v>
      </c>
      <c r="O6844" s="2">
        <f ca="1"/>
        <v>-1.3345019155752156</v>
      </c>
      <c r="X6844" s="2">
        <f ca="1"/>
        <v>67.768064532666074</v>
      </c>
      <c r="AG6844" s="2">
        <f ca="1"/>
        <v>0.71216589701970778</v>
      </c>
      <c r="AH6844" s="2" t="str">
        <f ca="1"/>
        <v>Bad</v>
      </c>
    </row>
    <row r="6845" spans="2:34">
      <c r="B6845" s="2">
        <f ca="1"/>
        <v>0.5256085723187427</v>
      </c>
      <c r="O6845" s="2">
        <f ca="1"/>
        <v>1.1598830662698507</v>
      </c>
      <c r="X6845" s="2">
        <f ca="1"/>
        <v>49.981875586168997</v>
      </c>
      <c r="AG6845" s="2">
        <f ca="1"/>
        <v>0.25447113398242061</v>
      </c>
      <c r="AH6845" s="2" t="str">
        <f ca="1"/>
        <v>OK</v>
      </c>
    </row>
    <row r="6846" spans="2:34">
      <c r="B6846" s="2">
        <f ca="1"/>
        <v>0.21659532817342342</v>
      </c>
      <c r="O6846" s="2">
        <f ca="1"/>
        <v>-1.4667628956867083</v>
      </c>
      <c r="X6846" s="2">
        <f ca="1"/>
        <v>56.779676145754195</v>
      </c>
      <c r="AG6846" s="2">
        <f ca="1"/>
        <v>0.86261188422366097</v>
      </c>
      <c r="AH6846" s="2" t="str">
        <f ca="1"/>
        <v>Bad</v>
      </c>
    </row>
    <row r="6847" spans="2:34">
      <c r="B6847" s="2">
        <f ca="1"/>
        <v>0.60748170394788903</v>
      </c>
      <c r="O6847" s="2">
        <f ca="1"/>
        <v>-0.87197087454722477</v>
      </c>
      <c r="X6847" s="2">
        <f ca="1"/>
        <v>45.885325122992654</v>
      </c>
      <c r="AG6847" s="2">
        <f ca="1"/>
        <v>0.76627101574540535</v>
      </c>
      <c r="AH6847" s="2" t="str">
        <f ca="1"/>
        <v>Bad</v>
      </c>
    </row>
    <row r="6848" spans="2:34">
      <c r="B6848" s="2">
        <f ca="1"/>
        <v>0.30610761806173103</v>
      </c>
      <c r="O6848" s="2">
        <f ca="1"/>
        <v>-0.69757499764880126</v>
      </c>
      <c r="X6848" s="2">
        <f ca="1"/>
        <v>21.723345064987143</v>
      </c>
      <c r="AG6848" s="2">
        <f ca="1"/>
        <v>0.52519285891723477</v>
      </c>
      <c r="AH6848" s="2" t="str">
        <f ca="1"/>
        <v>Bad</v>
      </c>
    </row>
    <row r="6849" spans="2:34">
      <c r="B6849" s="2">
        <f ca="1"/>
        <v>0.82755165813028508</v>
      </c>
      <c r="O6849" s="2">
        <f ca="1"/>
        <v>-0.27869547323054311</v>
      </c>
      <c r="X6849" s="2">
        <f ca="1"/>
        <v>50.233037098045507</v>
      </c>
      <c r="AG6849" s="2">
        <f ca="1"/>
        <v>0.9070810945221579</v>
      </c>
      <c r="AH6849" s="2" t="str">
        <f ca="1"/>
        <v>Bad</v>
      </c>
    </row>
    <row r="6850" spans="2:34">
      <c r="B6850" s="2">
        <f ca="1"/>
        <v>0.94173524665650543</v>
      </c>
      <c r="O6850" s="2">
        <f ca="1"/>
        <v>-1.5674572853087967</v>
      </c>
      <c r="X6850" s="2">
        <f ca="1"/>
        <v>50.162223201426841</v>
      </c>
      <c r="AG6850" s="2">
        <f ca="1"/>
        <v>0.13130344010448836</v>
      </c>
      <c r="AH6850" s="2" t="str">
        <f ca="1"/>
        <v>OK</v>
      </c>
    </row>
    <row r="6851" spans="2:34">
      <c r="B6851" s="2">
        <f ca="1"/>
        <v>0.90521228335138804</v>
      </c>
      <c r="O6851" s="2">
        <f ca="1"/>
        <v>1.032220870329198</v>
      </c>
      <c r="X6851" s="2">
        <f ca="1"/>
        <v>79.538867812849531</v>
      </c>
      <c r="AG6851" s="2">
        <f ca="1"/>
        <v>0.3434763022274574</v>
      </c>
      <c r="AH6851" s="2" t="str">
        <f ca="1"/>
        <v>OK</v>
      </c>
    </row>
    <row r="6852" spans="2:34">
      <c r="B6852" s="2">
        <f ca="1"/>
        <v>4.4619377638075663E-2</v>
      </c>
      <c r="O6852" s="2">
        <f ca="1"/>
        <v>-0.39221228311236589</v>
      </c>
      <c r="X6852" s="2">
        <f ca="1"/>
        <v>33.304514019178569</v>
      </c>
      <c r="AG6852" s="2">
        <f ca="1"/>
        <v>4.104963043829013E-2</v>
      </c>
      <c r="AH6852" s="2" t="str">
        <f ca="1"/>
        <v>Good</v>
      </c>
    </row>
    <row r="6853" spans="2:34">
      <c r="B6853" s="2">
        <f ca="1"/>
        <v>0.56005526332955902</v>
      </c>
      <c r="O6853" s="2">
        <f ca="1"/>
        <v>0.68634612866956624</v>
      </c>
      <c r="X6853" s="2">
        <f ca="1"/>
        <v>31.249806709669144</v>
      </c>
      <c r="AG6853" s="2">
        <f ca="1"/>
        <v>0.62848386496415598</v>
      </c>
      <c r="AH6853" s="2" t="str">
        <f ca="1"/>
        <v>Bad</v>
      </c>
    </row>
    <row r="6854" spans="2:34">
      <c r="B6854" s="2">
        <f ca="1"/>
        <v>0.13329695594682867</v>
      </c>
      <c r="O6854" s="2">
        <f ca="1"/>
        <v>-1.2043989352730016</v>
      </c>
      <c r="X6854" s="2">
        <f ca="1"/>
        <v>59.484777602524453</v>
      </c>
      <c r="AG6854" s="2">
        <f ca="1"/>
        <v>0.29100331165251458</v>
      </c>
      <c r="AH6854" s="2" t="str">
        <f ca="1"/>
        <v>OK</v>
      </c>
    </row>
    <row r="6855" spans="2:34">
      <c r="B6855" s="2">
        <f ca="1"/>
        <v>0.20861798578803392</v>
      </c>
      <c r="O6855" s="2">
        <f ca="1"/>
        <v>-1.4395296306015894</v>
      </c>
      <c r="X6855" s="2">
        <f ca="1"/>
        <v>53.298253112510459</v>
      </c>
      <c r="AG6855" s="2">
        <f ca="1"/>
        <v>0.15306069362258667</v>
      </c>
      <c r="AH6855" s="2" t="str">
        <f ca="1"/>
        <v>OK</v>
      </c>
    </row>
    <row r="6856" spans="2:34">
      <c r="B6856" s="2">
        <f ca="1"/>
        <v>0.99270169775823058</v>
      </c>
      <c r="O6856" s="2">
        <f ca="1"/>
        <v>0.28000877588105028</v>
      </c>
      <c r="X6856" s="2">
        <f ca="1"/>
        <v>37.157317833546045</v>
      </c>
      <c r="AG6856" s="2">
        <f ca="1"/>
        <v>0.89076695427743502</v>
      </c>
      <c r="AH6856" s="2" t="str">
        <f ca="1"/>
        <v>Bad</v>
      </c>
    </row>
    <row r="6857" spans="2:34">
      <c r="B6857" s="2">
        <f ca="1"/>
        <v>0.63353561519859714</v>
      </c>
      <c r="O6857" s="2">
        <f ca="1"/>
        <v>-0.59345245186693096</v>
      </c>
      <c r="X6857" s="2">
        <f ca="1"/>
        <v>33.517106575081613</v>
      </c>
      <c r="AG6857" s="2">
        <f ca="1"/>
        <v>0.10505793274912456</v>
      </c>
      <c r="AH6857" s="2" t="str">
        <f ca="1"/>
        <v>OK</v>
      </c>
    </row>
    <row r="6858" spans="2:34">
      <c r="B6858" s="2">
        <f ca="1"/>
        <v>0.61580327291566483</v>
      </c>
      <c r="O6858" s="2">
        <f ca="1"/>
        <v>1.9510971101709327</v>
      </c>
      <c r="X6858" s="2">
        <f ca="1"/>
        <v>55.585777688619771</v>
      </c>
      <c r="AG6858" s="2">
        <f ca="1"/>
        <v>8.8545790903944877E-2</v>
      </c>
      <c r="AH6858" s="2" t="str">
        <f ca="1"/>
        <v>OK</v>
      </c>
    </row>
    <row r="6859" spans="2:34">
      <c r="B6859" s="2">
        <f ca="1"/>
        <v>0.95131212245112473</v>
      </c>
      <c r="O6859" s="2">
        <f ca="1"/>
        <v>-0.60136247967203527</v>
      </c>
      <c r="X6859" s="2">
        <f ca="1"/>
        <v>87.189886987501595</v>
      </c>
      <c r="AG6859" s="2">
        <f ca="1"/>
        <v>0.5314665388006119</v>
      </c>
      <c r="AH6859" s="2" t="str">
        <f ca="1"/>
        <v>Bad</v>
      </c>
    </row>
    <row r="6860" spans="2:34">
      <c r="B6860" s="2">
        <f ca="1"/>
        <v>0.83251915807206989</v>
      </c>
      <c r="O6860" s="2">
        <f ca="1"/>
        <v>-1.9226949736733825</v>
      </c>
      <c r="X6860" s="2">
        <f ca="1"/>
        <v>75.804092767398728</v>
      </c>
      <c r="AG6860" s="2">
        <f ca="1"/>
        <v>0.87803349078030091</v>
      </c>
      <c r="AH6860" s="2" t="str">
        <f ca="1"/>
        <v>Bad</v>
      </c>
    </row>
    <row r="6861" spans="2:34">
      <c r="B6861" s="2">
        <f ca="1"/>
        <v>0.8541491025065211</v>
      </c>
      <c r="O6861" s="2">
        <f ca="1"/>
        <v>1.3761420993225133</v>
      </c>
      <c r="X6861" s="2">
        <f ca="1"/>
        <v>48.629782841671194</v>
      </c>
      <c r="AG6861" s="2">
        <f ca="1"/>
        <v>0.95172281722683039</v>
      </c>
      <c r="AH6861" s="2" t="str">
        <f ca="1"/>
        <v>Bad</v>
      </c>
    </row>
    <row r="6862" spans="2:34">
      <c r="B6862" s="2">
        <f ca="1"/>
        <v>0.88887217386456108</v>
      </c>
      <c r="O6862" s="2">
        <f ca="1"/>
        <v>2.2571828381536068</v>
      </c>
      <c r="X6862" s="2">
        <f ca="1"/>
        <v>55.322697570790716</v>
      </c>
      <c r="AG6862" s="2">
        <f ca="1"/>
        <v>0.68509758725023473</v>
      </c>
      <c r="AH6862" s="2" t="str">
        <f ca="1"/>
        <v>Bad</v>
      </c>
    </row>
    <row r="6863" spans="2:34">
      <c r="B6863" s="2">
        <f ca="1"/>
        <v>5.2692057444256646E-2</v>
      </c>
      <c r="O6863" s="2">
        <f ca="1"/>
        <v>0.10251222508801441</v>
      </c>
      <c r="X6863" s="2">
        <f ca="1"/>
        <v>57.635095779747076</v>
      </c>
      <c r="AG6863" s="2">
        <f ca="1"/>
        <v>0.95787345951654457</v>
      </c>
      <c r="AH6863" s="2" t="str">
        <f ca="1"/>
        <v>Bad</v>
      </c>
    </row>
    <row r="6864" spans="2:34">
      <c r="B6864" s="2">
        <f ca="1"/>
        <v>0.50515909815235371</v>
      </c>
      <c r="O6864" s="2">
        <f ca="1"/>
        <v>-0.99598082626802142</v>
      </c>
      <c r="X6864" s="2">
        <f ca="1"/>
        <v>53.014129516717489</v>
      </c>
      <c r="AG6864" s="2">
        <f ca="1"/>
        <v>0.84209745015763438</v>
      </c>
      <c r="AH6864" s="2" t="str">
        <f ca="1"/>
        <v>Bad</v>
      </c>
    </row>
    <row r="6865" spans="2:34">
      <c r="B6865" s="2">
        <f ca="1"/>
        <v>0.30901855089280161</v>
      </c>
      <c r="O6865" s="2">
        <f ca="1"/>
        <v>-1.4407373166285178</v>
      </c>
      <c r="X6865" s="2">
        <f ca="1"/>
        <v>39.397244017107475</v>
      </c>
      <c r="AG6865" s="2">
        <f ca="1"/>
        <v>0.21487627135721299</v>
      </c>
      <c r="AH6865" s="2" t="str">
        <f ca="1"/>
        <v>OK</v>
      </c>
    </row>
    <row r="6866" spans="2:34">
      <c r="B6866" s="2">
        <f ca="1"/>
        <v>0.4467663752242772</v>
      </c>
      <c r="O6866" s="2">
        <f ca="1"/>
        <v>0.61987671605865469</v>
      </c>
      <c r="X6866" s="2">
        <f ca="1"/>
        <v>76.895425978572177</v>
      </c>
      <c r="AG6866" s="2">
        <f ca="1"/>
        <v>0.83463969104094771</v>
      </c>
      <c r="AH6866" s="2" t="str">
        <f ca="1"/>
        <v>Bad</v>
      </c>
    </row>
    <row r="6867" spans="2:34">
      <c r="B6867" s="2">
        <f ca="1"/>
        <v>0.23442796660736454</v>
      </c>
      <c r="O6867" s="2">
        <f ca="1"/>
        <v>-1.2369335547560765</v>
      </c>
      <c r="X6867" s="2">
        <f ca="1"/>
        <v>33.682006949713561</v>
      </c>
      <c r="AG6867" s="2">
        <f ca="1"/>
        <v>7.2985521705445588E-2</v>
      </c>
      <c r="AH6867" s="2" t="str">
        <f ca="1"/>
        <v>OK</v>
      </c>
    </row>
    <row r="6868" spans="2:34">
      <c r="B6868" s="2">
        <f ca="1"/>
        <v>0.52668127579175361</v>
      </c>
      <c r="O6868" s="2">
        <f ca="1"/>
        <v>-0.27841191777819435</v>
      </c>
      <c r="X6868" s="2">
        <f ca="1"/>
        <v>36.12356059244766</v>
      </c>
      <c r="AG6868" s="2">
        <f ca="1"/>
        <v>0.17044956486855001</v>
      </c>
      <c r="AH6868" s="2" t="str">
        <f ca="1"/>
        <v>OK</v>
      </c>
    </row>
    <row r="6869" spans="2:34">
      <c r="B6869" s="2">
        <f ca="1"/>
        <v>0.64173545265677112</v>
      </c>
      <c r="O6869" s="2">
        <f ca="1"/>
        <v>-1.4392070996674255</v>
      </c>
      <c r="X6869" s="2">
        <f ca="1"/>
        <v>33.847684485183741</v>
      </c>
      <c r="AG6869" s="2">
        <f ca="1"/>
        <v>0.57037949044936043</v>
      </c>
      <c r="AH6869" s="2" t="str">
        <f ca="1"/>
        <v>Bad</v>
      </c>
    </row>
    <row r="6870" spans="2:34">
      <c r="B6870" s="2">
        <f ca="1"/>
        <v>0.52718181419446908</v>
      </c>
      <c r="O6870" s="2">
        <f ca="1"/>
        <v>-1.34171078871273</v>
      </c>
      <c r="X6870" s="2">
        <f ca="1"/>
        <v>57.028961517210909</v>
      </c>
      <c r="AG6870" s="2">
        <f ca="1"/>
        <v>0.65932148879316155</v>
      </c>
      <c r="AH6870" s="2" t="str">
        <f ca="1"/>
        <v>Bad</v>
      </c>
    </row>
    <row r="6871" spans="2:34">
      <c r="B6871" s="2">
        <f ca="1"/>
        <v>3.1266514302319859E-2</v>
      </c>
      <c r="O6871" s="2">
        <f ca="1"/>
        <v>-8.8321947402609097E-2</v>
      </c>
      <c r="X6871" s="2">
        <f ca="1"/>
        <v>29.966387491962195</v>
      </c>
      <c r="AG6871" s="2">
        <f ca="1"/>
        <v>3.7205252571144154E-3</v>
      </c>
      <c r="AH6871" s="2" t="str">
        <f ca="1"/>
        <v>Good</v>
      </c>
    </row>
    <row r="6872" spans="2:34">
      <c r="B6872" s="2">
        <f ca="1"/>
        <v>0.79748857492296343</v>
      </c>
      <c r="O6872" s="2">
        <f ca="1"/>
        <v>-1.2978704441857205</v>
      </c>
      <c r="X6872" s="2">
        <f ca="1"/>
        <v>45.461411068913485</v>
      </c>
      <c r="AG6872" s="2">
        <f ca="1"/>
        <v>0.26821243402235284</v>
      </c>
      <c r="AH6872" s="2" t="str">
        <f ca="1"/>
        <v>OK</v>
      </c>
    </row>
    <row r="6873" spans="2:34">
      <c r="B6873" s="2">
        <f ca="1"/>
        <v>0.13845541186731292</v>
      </c>
      <c r="O6873" s="2">
        <f ca="1"/>
        <v>0.6565093538104827</v>
      </c>
      <c r="X6873" s="2">
        <f ca="1"/>
        <v>42.505541533703251</v>
      </c>
      <c r="AG6873" s="2">
        <f ca="1"/>
        <v>0.34399537976646677</v>
      </c>
      <c r="AH6873" s="2" t="str">
        <f ca="1"/>
        <v>OK</v>
      </c>
    </row>
    <row r="6874" spans="2:34">
      <c r="B6874" s="2">
        <f ca="1"/>
        <v>0.4636982485909138</v>
      </c>
      <c r="O6874" s="2">
        <f ca="1"/>
        <v>0.50683214504731411</v>
      </c>
      <c r="X6874" s="2">
        <f ca="1"/>
        <v>52.563568802446866</v>
      </c>
      <c r="AG6874" s="2">
        <f ca="1"/>
        <v>0.37683810505200932</v>
      </c>
      <c r="AH6874" s="2" t="str">
        <f ca="1"/>
        <v>OK</v>
      </c>
    </row>
    <row r="6875" spans="2:34">
      <c r="B6875" s="2">
        <f ca="1"/>
        <v>0.89675227409488767</v>
      </c>
      <c r="O6875" s="2">
        <f ca="1"/>
        <v>3.1838797551958735</v>
      </c>
      <c r="X6875" s="2">
        <f ca="1"/>
        <v>62.70468258825646</v>
      </c>
      <c r="AG6875" s="2">
        <f ca="1"/>
        <v>0.69998831642635495</v>
      </c>
      <c r="AH6875" s="2" t="str">
        <f ca="1"/>
        <v>Bad</v>
      </c>
    </row>
    <row r="6876" spans="2:34">
      <c r="B6876" s="2">
        <f ca="1"/>
        <v>0.34240121183850913</v>
      </c>
      <c r="O6876" s="2">
        <f ca="1"/>
        <v>-0.10722401241049767</v>
      </c>
      <c r="X6876" s="2">
        <f ca="1"/>
        <v>31.914715143496988</v>
      </c>
      <c r="AG6876" s="2">
        <f ca="1"/>
        <v>0.47516341675122509</v>
      </c>
      <c r="AH6876" s="2" t="str">
        <f ca="1"/>
        <v>Bad</v>
      </c>
    </row>
    <row r="6877" spans="2:34">
      <c r="B6877" s="2">
        <f ca="1"/>
        <v>0.36615490930814731</v>
      </c>
      <c r="O6877" s="2">
        <f ca="1"/>
        <v>1.3571022074357333</v>
      </c>
      <c r="X6877" s="2">
        <f ca="1"/>
        <v>25.488570438177632</v>
      </c>
      <c r="AG6877" s="2">
        <f ca="1"/>
        <v>0.85146972646102093</v>
      </c>
      <c r="AH6877" s="2" t="str">
        <f ca="1"/>
        <v>Bad</v>
      </c>
    </row>
    <row r="6878" spans="2:34">
      <c r="B6878" s="2">
        <f ca="1"/>
        <v>0.66931135194948688</v>
      </c>
      <c r="O6878" s="2">
        <f ca="1"/>
        <v>1.3475553511232443</v>
      </c>
      <c r="X6878" s="2">
        <f ca="1"/>
        <v>58.497239468921443</v>
      </c>
      <c r="AG6878" s="2">
        <f ca="1"/>
        <v>0.70706044413972613</v>
      </c>
      <c r="AH6878" s="2" t="str">
        <f ca="1"/>
        <v>Bad</v>
      </c>
    </row>
    <row r="6879" spans="2:34">
      <c r="B6879" s="2">
        <f ca="1"/>
        <v>0.25409925655060506</v>
      </c>
      <c r="O6879" s="2">
        <f ca="1"/>
        <v>-1.3427042494029346</v>
      </c>
      <c r="X6879" s="2">
        <f ca="1"/>
        <v>48.186240791030045</v>
      </c>
      <c r="AG6879" s="2">
        <f ca="1"/>
        <v>0.59236527735164657</v>
      </c>
      <c r="AH6879" s="2" t="str">
        <f ca="1"/>
        <v>Bad</v>
      </c>
    </row>
    <row r="6880" spans="2:34">
      <c r="B6880" s="2">
        <f ca="1"/>
        <v>0.67935603150672619</v>
      </c>
      <c r="O6880" s="2">
        <f ca="1"/>
        <v>-1.3922351817772896</v>
      </c>
      <c r="X6880" s="2">
        <f ca="1"/>
        <v>51.809250704536083</v>
      </c>
      <c r="AG6880" s="2">
        <f ca="1"/>
        <v>0.50689561031072472</v>
      </c>
      <c r="AH6880" s="2" t="str">
        <f ca="1"/>
        <v>Bad</v>
      </c>
    </row>
    <row r="6881" spans="2:34">
      <c r="B6881" s="2">
        <f ca="1"/>
        <v>0.21374085026809975</v>
      </c>
      <c r="O6881" s="2">
        <f ca="1"/>
        <v>0.58665483298630883</v>
      </c>
      <c r="X6881" s="2">
        <f ca="1"/>
        <v>22.479458215852752</v>
      </c>
      <c r="AG6881" s="2">
        <f ca="1"/>
        <v>0.76903916881733592</v>
      </c>
      <c r="AH6881" s="2" t="str">
        <f ca="1"/>
        <v>Bad</v>
      </c>
    </row>
    <row r="6882" spans="2:34">
      <c r="B6882" s="2">
        <f ca="1"/>
        <v>0.13828900206589778</v>
      </c>
      <c r="O6882" s="2">
        <f ca="1"/>
        <v>-0.67496595314741403</v>
      </c>
      <c r="X6882" s="2">
        <f ca="1"/>
        <v>51.462471383405841</v>
      </c>
      <c r="AG6882" s="2">
        <f ca="1"/>
        <v>0.50268795880797024</v>
      </c>
      <c r="AH6882" s="2" t="str">
        <f ca="1"/>
        <v>Bad</v>
      </c>
    </row>
    <row r="6883" spans="2:34">
      <c r="B6883" s="2">
        <f ca="1"/>
        <v>0.22342378178658495</v>
      </c>
      <c r="O6883" s="2">
        <f ca="1"/>
        <v>0.66225568338688157</v>
      </c>
      <c r="X6883" s="2">
        <f ca="1"/>
        <v>63.419015421909357</v>
      </c>
      <c r="AG6883" s="2">
        <f ca="1"/>
        <v>0.83780775012312159</v>
      </c>
      <c r="AH6883" s="2" t="str">
        <f ca="1"/>
        <v>Bad</v>
      </c>
    </row>
    <row r="6884" spans="2:34">
      <c r="B6884" s="2">
        <f ca="1"/>
        <v>0.64773325339655519</v>
      </c>
      <c r="O6884" s="2">
        <f ca="1"/>
        <v>-1.1098349261959015</v>
      </c>
      <c r="X6884" s="2">
        <f ca="1"/>
        <v>33.571045990225052</v>
      </c>
      <c r="AG6884" s="2">
        <f ca="1"/>
        <v>0.61252672402276609</v>
      </c>
      <c r="AH6884" s="2" t="str">
        <f ca="1"/>
        <v>Bad</v>
      </c>
    </row>
    <row r="6885" spans="2:34">
      <c r="B6885" s="2">
        <f ca="1"/>
        <v>0.96985865747673272</v>
      </c>
      <c r="O6885" s="2">
        <f ca="1"/>
        <v>-2.1145038295038669</v>
      </c>
      <c r="X6885" s="2">
        <f ca="1"/>
        <v>45.923400842503064</v>
      </c>
      <c r="AG6885" s="2">
        <f ca="1"/>
        <v>4.4413107663143325E-2</v>
      </c>
      <c r="AH6885" s="2" t="str">
        <f ca="1"/>
        <v>Good</v>
      </c>
    </row>
    <row r="6886" spans="2:34">
      <c r="B6886" s="2">
        <f ca="1"/>
        <v>0.99954031675681887</v>
      </c>
      <c r="O6886" s="2">
        <f ca="1"/>
        <v>-0.21191738921201764</v>
      </c>
      <c r="X6886" s="2">
        <f ca="1"/>
        <v>55.661272715222559</v>
      </c>
      <c r="AG6886" s="2">
        <f ca="1"/>
        <v>0.96375477303415313</v>
      </c>
      <c r="AH6886" s="2" t="str">
        <f ca="1"/>
        <v>Bad</v>
      </c>
    </row>
    <row r="6887" spans="2:34">
      <c r="B6887" s="2">
        <f ca="1"/>
        <v>0.15847861118275386</v>
      </c>
      <c r="O6887" s="2">
        <f ca="1"/>
        <v>0.27445543001294109</v>
      </c>
      <c r="X6887" s="2">
        <f ca="1"/>
        <v>65.963084085474094</v>
      </c>
      <c r="AG6887" s="2">
        <f ca="1"/>
        <v>0.17172376221892693</v>
      </c>
      <c r="AH6887" s="2" t="str">
        <f ca="1"/>
        <v>OK</v>
      </c>
    </row>
    <row r="6888" spans="2:34">
      <c r="B6888" s="2">
        <f ca="1"/>
        <v>0.69148707602156589</v>
      </c>
      <c r="O6888" s="2">
        <f ca="1"/>
        <v>-1.4005009324917372</v>
      </c>
      <c r="X6888" s="2">
        <f ca="1"/>
        <v>78.637077824874865</v>
      </c>
      <c r="AG6888" s="2">
        <f ca="1"/>
        <v>0.17100222426946821</v>
      </c>
      <c r="AH6888" s="2" t="str">
        <f ca="1"/>
        <v>OK</v>
      </c>
    </row>
    <row r="6889" spans="2:34">
      <c r="B6889" s="2">
        <f ca="1"/>
        <v>0.66038514708188001</v>
      </c>
      <c r="O6889" s="2">
        <f ca="1"/>
        <v>-0.73920472172471974</v>
      </c>
      <c r="X6889" s="2">
        <f ca="1"/>
        <v>42.719804148241202</v>
      </c>
      <c r="AG6889" s="2">
        <f ca="1"/>
        <v>0.39103959210034644</v>
      </c>
      <c r="AH6889" s="2" t="str">
        <f ca="1"/>
        <v>OK</v>
      </c>
    </row>
    <row r="6890" spans="2:34">
      <c r="B6890" s="2">
        <f ca="1"/>
        <v>0.67299377308073849</v>
      </c>
      <c r="O6890" s="2">
        <f ca="1"/>
        <v>0.47976502985978592</v>
      </c>
      <c r="X6890" s="2">
        <f ca="1"/>
        <v>52.681136364910301</v>
      </c>
      <c r="AG6890" s="2">
        <f ca="1"/>
        <v>0.63013849386576748</v>
      </c>
      <c r="AH6890" s="2" t="str">
        <f ca="1"/>
        <v>Bad</v>
      </c>
    </row>
    <row r="6891" spans="2:34">
      <c r="B6891" s="2">
        <f ca="1"/>
        <v>0.37851755357556005</v>
      </c>
      <c r="O6891" s="2">
        <f ca="1"/>
        <v>-0.22219613721128212</v>
      </c>
      <c r="X6891" s="2">
        <f ca="1"/>
        <v>36.988731778265297</v>
      </c>
      <c r="AG6891" s="2">
        <f ca="1"/>
        <v>0.97395214006330622</v>
      </c>
      <c r="AH6891" s="2" t="str">
        <f ca="1"/>
        <v>Bad</v>
      </c>
    </row>
    <row r="6892" spans="2:34">
      <c r="B6892" s="2">
        <f ca="1"/>
        <v>0.92050031566917045</v>
      </c>
      <c r="O6892" s="2">
        <f ca="1"/>
        <v>-0.53227158586219248</v>
      </c>
      <c r="X6892" s="2">
        <f ca="1"/>
        <v>36.335439569366741</v>
      </c>
      <c r="AG6892" s="2">
        <f ca="1"/>
        <v>0.93741100028422308</v>
      </c>
      <c r="AH6892" s="2" t="str">
        <f ca="1"/>
        <v>Bad</v>
      </c>
    </row>
    <row r="6893" spans="2:34">
      <c r="B6893" s="2">
        <f ca="1"/>
        <v>0.15675169924756793</v>
      </c>
      <c r="O6893" s="2">
        <f ca="1"/>
        <v>-0.75318663352372073</v>
      </c>
      <c r="X6893" s="2">
        <f ca="1"/>
        <v>96.754797836677284</v>
      </c>
      <c r="AG6893" s="2">
        <f ca="1"/>
        <v>0.7903572595997499</v>
      </c>
      <c r="AH6893" s="2" t="str">
        <f ca="1"/>
        <v>Bad</v>
      </c>
    </row>
    <row r="6894" spans="2:34">
      <c r="B6894" s="2">
        <f ca="1"/>
        <v>0.56444863650704602</v>
      </c>
      <c r="O6894" s="2">
        <f ca="1"/>
        <v>-1.3663153045683989</v>
      </c>
      <c r="X6894" s="2">
        <f ca="1"/>
        <v>50.270446538029681</v>
      </c>
      <c r="AG6894" s="2">
        <f ca="1"/>
        <v>0.37084928875770351</v>
      </c>
      <c r="AH6894" s="2" t="str">
        <f ca="1"/>
        <v>OK</v>
      </c>
    </row>
    <row r="6895" spans="2:34">
      <c r="B6895" s="2">
        <f ca="1"/>
        <v>0.26269734708148196</v>
      </c>
      <c r="O6895" s="2">
        <f ca="1"/>
        <v>-1.4014781202245969</v>
      </c>
      <c r="X6895" s="2">
        <f ca="1"/>
        <v>41.033337846732145</v>
      </c>
      <c r="AG6895" s="2">
        <f ca="1"/>
        <v>0.41848750656673395</v>
      </c>
      <c r="AH6895" s="2" t="str">
        <f ca="1"/>
        <v>Bad</v>
      </c>
    </row>
    <row r="6896" spans="2:34">
      <c r="B6896" s="2">
        <f ca="1"/>
        <v>3.7753250164573204E-2</v>
      </c>
      <c r="O6896" s="2">
        <f ca="1"/>
        <v>-1.4482265989994001</v>
      </c>
      <c r="X6896" s="2">
        <f ca="1"/>
        <v>51.157202296544362</v>
      </c>
      <c r="AG6896" s="2">
        <f ca="1"/>
        <v>0.13078749420339952</v>
      </c>
      <c r="AH6896" s="2" t="str">
        <f ca="1"/>
        <v>OK</v>
      </c>
    </row>
    <row r="6897" spans="2:34">
      <c r="B6897" s="2">
        <f ca="1"/>
        <v>0.26492695103617581</v>
      </c>
      <c r="O6897" s="2">
        <f ca="1"/>
        <v>-0.96912535991101045</v>
      </c>
      <c r="X6897" s="2">
        <f ca="1"/>
        <v>27.111602193821412</v>
      </c>
      <c r="AG6897" s="2">
        <f ca="1"/>
        <v>0.4449421402915581</v>
      </c>
      <c r="AH6897" s="2" t="str">
        <f ca="1"/>
        <v>Bad</v>
      </c>
    </row>
    <row r="6898" spans="2:34">
      <c r="B6898" s="2">
        <f ca="1"/>
        <v>0.81282386605996093</v>
      </c>
      <c r="O6898" s="2">
        <f ca="1"/>
        <v>0.32764769754662465</v>
      </c>
      <c r="X6898" s="2">
        <f ca="1"/>
        <v>56.137091414057679</v>
      </c>
      <c r="AG6898" s="2">
        <f ca="1"/>
        <v>0.51567679052429649</v>
      </c>
      <c r="AH6898" s="2" t="str">
        <f ca="1"/>
        <v>Bad</v>
      </c>
    </row>
    <row r="6899" spans="2:34">
      <c r="B6899" s="2">
        <f ca="1"/>
        <v>0.86761644562458562</v>
      </c>
      <c r="O6899" s="2">
        <f ca="1"/>
        <v>-1.7172103474187663</v>
      </c>
      <c r="X6899" s="2">
        <f ca="1"/>
        <v>97.25506145781074</v>
      </c>
      <c r="AG6899" s="2">
        <f ca="1"/>
        <v>3.3069514447187309E-2</v>
      </c>
      <c r="AH6899" s="2" t="str">
        <f ca="1"/>
        <v>Good</v>
      </c>
    </row>
    <row r="6900" spans="2:34">
      <c r="B6900" s="2">
        <f ca="1"/>
        <v>0.80309066477013058</v>
      </c>
      <c r="O6900" s="2">
        <f ca="1"/>
        <v>0.74182190967022121</v>
      </c>
      <c r="X6900" s="2">
        <f ca="1"/>
        <v>39.17404585033448</v>
      </c>
      <c r="AG6900" s="2">
        <f ca="1"/>
        <v>0.73855248753029223</v>
      </c>
      <c r="AH6900" s="2" t="str">
        <f ca="1"/>
        <v>Bad</v>
      </c>
    </row>
    <row r="6901" spans="2:34">
      <c r="B6901" s="2">
        <f ca="1"/>
        <v>0.70034992140143904</v>
      </c>
      <c r="O6901" s="2">
        <f ca="1"/>
        <v>-1.9120940047070416</v>
      </c>
      <c r="X6901" s="2">
        <f ca="1"/>
        <v>40.436329934002515</v>
      </c>
      <c r="AG6901" s="2">
        <f ca="1"/>
        <v>0.43721693257182737</v>
      </c>
      <c r="AH6901" s="2" t="str">
        <f ca="1"/>
        <v>Bad</v>
      </c>
    </row>
    <row r="6902" spans="2:34">
      <c r="B6902" s="2">
        <f ca="1"/>
        <v>0.45543439294870947</v>
      </c>
      <c r="O6902" s="2">
        <f ca="1"/>
        <v>7.0936572387190783E-2</v>
      </c>
      <c r="X6902" s="2">
        <f ca="1"/>
        <v>58.467949993112775</v>
      </c>
      <c r="AG6902" s="2">
        <f ca="1"/>
        <v>0.66639736560585749</v>
      </c>
      <c r="AH6902" s="2" t="str">
        <f ca="1"/>
        <v>Bad</v>
      </c>
    </row>
    <row r="6903" spans="2:34">
      <c r="B6903" s="2">
        <f ca="1"/>
        <v>0.15371498721627064</v>
      </c>
      <c r="O6903" s="2">
        <f ca="1"/>
        <v>1.1084953319879651</v>
      </c>
      <c r="X6903" s="2">
        <f ca="1"/>
        <v>40.298113140894259</v>
      </c>
      <c r="AG6903" s="2">
        <f ca="1"/>
        <v>0.66942449561092188</v>
      </c>
      <c r="AH6903" s="2" t="str">
        <f ca="1"/>
        <v>Bad</v>
      </c>
    </row>
    <row r="6904" spans="2:34">
      <c r="B6904" s="2">
        <f ca="1"/>
        <v>0.69926013674402898</v>
      </c>
      <c r="O6904" s="2">
        <f ca="1"/>
        <v>0.40505678714434795</v>
      </c>
      <c r="X6904" s="2">
        <f ca="1"/>
        <v>41.969588942213804</v>
      </c>
      <c r="AG6904" s="2">
        <f ca="1"/>
        <v>0.27527717034045729</v>
      </c>
      <c r="AH6904" s="2" t="str">
        <f ca="1"/>
        <v>OK</v>
      </c>
    </row>
    <row r="6905" spans="2:34">
      <c r="B6905" s="2">
        <f ca="1"/>
        <v>0.297994627647997</v>
      </c>
      <c r="O6905" s="2">
        <f ca="1"/>
        <v>-0.98998102455582504</v>
      </c>
      <c r="X6905" s="2">
        <f ca="1"/>
        <v>60.982736232907257</v>
      </c>
      <c r="AG6905" s="2">
        <f ca="1"/>
        <v>0.87970845134873255</v>
      </c>
      <c r="AH6905" s="2" t="str">
        <f ca="1"/>
        <v>Bad</v>
      </c>
    </row>
    <row r="6906" spans="2:34">
      <c r="B6906" s="2">
        <f ca="1"/>
        <v>0.27115203849328373</v>
      </c>
      <c r="O6906" s="2">
        <f ca="1"/>
        <v>-0.55492733580879772</v>
      </c>
      <c r="X6906" s="2">
        <f ca="1"/>
        <v>61.039299919195813</v>
      </c>
      <c r="AG6906" s="2">
        <f ca="1"/>
        <v>0.19047721177984878</v>
      </c>
      <c r="AH6906" s="2" t="str">
        <f ca="1"/>
        <v>OK</v>
      </c>
    </row>
    <row r="6907" spans="2:34">
      <c r="B6907" s="2">
        <f ca="1"/>
        <v>0.12167291286602455</v>
      </c>
      <c r="O6907" s="2">
        <f ca="1"/>
        <v>-0.42992844859929258</v>
      </c>
      <c r="X6907" s="2">
        <f ca="1"/>
        <v>49.646150629449323</v>
      </c>
      <c r="AG6907" s="2">
        <f ca="1"/>
        <v>0.84702856975577512</v>
      </c>
      <c r="AH6907" s="2" t="str">
        <f ca="1"/>
        <v>Bad</v>
      </c>
    </row>
    <row r="6908" spans="2:34">
      <c r="B6908" s="2">
        <f ca="1"/>
        <v>0.6596770903521274</v>
      </c>
      <c r="O6908" s="2">
        <f ca="1"/>
        <v>0.28255281495384615</v>
      </c>
      <c r="X6908" s="2">
        <f ca="1"/>
        <v>44.642107590630992</v>
      </c>
      <c r="AG6908" s="2">
        <f ca="1"/>
        <v>0.58571864099463067</v>
      </c>
      <c r="AH6908" s="2" t="str">
        <f ca="1"/>
        <v>Bad</v>
      </c>
    </row>
    <row r="6909" spans="2:34">
      <c r="B6909" s="2">
        <f ca="1"/>
        <v>0.95232656161950358</v>
      </c>
      <c r="O6909" s="2">
        <f ca="1"/>
        <v>0.57539034922805055</v>
      </c>
      <c r="X6909" s="2">
        <f ca="1"/>
        <v>75.019255839773507</v>
      </c>
      <c r="AG6909" s="2">
        <f ca="1"/>
        <v>6.0526521607994876E-2</v>
      </c>
      <c r="AH6909" s="2" t="str">
        <f ca="1"/>
        <v>OK</v>
      </c>
    </row>
    <row r="6910" spans="2:34">
      <c r="B6910" s="2">
        <f ca="1"/>
        <v>0.93717019230366283</v>
      </c>
      <c r="O6910" s="2">
        <f ca="1"/>
        <v>-0.17105854077510813</v>
      </c>
      <c r="X6910" s="2">
        <f ca="1"/>
        <v>50.146271604595427</v>
      </c>
      <c r="AG6910" s="2">
        <f ca="1"/>
        <v>0.54105743472994727</v>
      </c>
      <c r="AH6910" s="2" t="str">
        <f ca="1"/>
        <v>Bad</v>
      </c>
    </row>
    <row r="6911" spans="2:34">
      <c r="B6911" s="2">
        <f ca="1"/>
        <v>1.0210745155496692E-2</v>
      </c>
      <c r="O6911" s="2">
        <f ca="1"/>
        <v>-0.62520808244700188</v>
      </c>
      <c r="X6911" s="2">
        <f ca="1"/>
        <v>60.313072790553107</v>
      </c>
      <c r="AG6911" s="2">
        <f ca="1"/>
        <v>0.46343392326157407</v>
      </c>
      <c r="AH6911" s="2" t="str">
        <f ca="1"/>
        <v>Bad</v>
      </c>
    </row>
    <row r="6912" spans="2:34">
      <c r="B6912" s="2">
        <f ca="1"/>
        <v>0.68060151973898009</v>
      </c>
      <c r="O6912" s="2">
        <f ca="1"/>
        <v>-0.69995506607471514</v>
      </c>
      <c r="X6912" s="2">
        <f ca="1"/>
        <v>52.456825697582623</v>
      </c>
      <c r="AG6912" s="2">
        <f ca="1"/>
        <v>0.61104848866699357</v>
      </c>
      <c r="AH6912" s="2" t="str">
        <f ca="1"/>
        <v>Bad</v>
      </c>
    </row>
    <row r="6913" spans="2:34">
      <c r="B6913" s="2">
        <f ca="1"/>
        <v>0.33217795455082499</v>
      </c>
      <c r="O6913" s="2">
        <f ca="1"/>
        <v>1.3948213500054627</v>
      </c>
      <c r="X6913" s="2">
        <f ca="1"/>
        <v>41.30795564414295</v>
      </c>
      <c r="AG6913" s="2">
        <f ca="1"/>
        <v>0.39667546549381338</v>
      </c>
      <c r="AH6913" s="2" t="str">
        <f ca="1"/>
        <v>OK</v>
      </c>
    </row>
    <row r="6914" spans="2:34">
      <c r="B6914" s="2">
        <f ca="1"/>
        <v>0.46045879343001372</v>
      </c>
      <c r="O6914" s="2">
        <f ca="1"/>
        <v>-0.4185789538990925</v>
      </c>
      <c r="X6914" s="2">
        <f ca="1"/>
        <v>52.578727732102166</v>
      </c>
      <c r="AG6914" s="2">
        <f ca="1"/>
        <v>0.50700194611392835</v>
      </c>
      <c r="AH6914" s="2" t="str">
        <f ca="1"/>
        <v>Bad</v>
      </c>
    </row>
    <row r="6915" spans="2:34">
      <c r="B6915" s="2">
        <f ca="1"/>
        <v>0.26478824511854482</v>
      </c>
      <c r="O6915" s="2">
        <f ca="1"/>
        <v>1.6965949016956896</v>
      </c>
      <c r="X6915" s="2">
        <f ca="1"/>
        <v>37.82148802963993</v>
      </c>
      <c r="AG6915" s="2">
        <f ca="1"/>
        <v>0.25632949992690479</v>
      </c>
      <c r="AH6915" s="2" t="str">
        <f ca="1"/>
        <v>OK</v>
      </c>
    </row>
    <row r="6916" spans="2:34">
      <c r="B6916" s="2">
        <f ca="1"/>
        <v>0.70462847359666503</v>
      </c>
      <c r="O6916" s="2">
        <f ca="1"/>
        <v>-0.98355303513015924</v>
      </c>
      <c r="X6916" s="2">
        <f ca="1"/>
        <v>52.86775885544634</v>
      </c>
      <c r="AG6916" s="2">
        <f ca="1"/>
        <v>0.64705621122605672</v>
      </c>
      <c r="AH6916" s="2" t="str">
        <f ca="1"/>
        <v>Bad</v>
      </c>
    </row>
    <row r="6917" spans="2:34">
      <c r="B6917" s="2">
        <f ca="1"/>
        <v>0.45039893933778652</v>
      </c>
      <c r="O6917" s="2">
        <f ca="1"/>
        <v>-0.3138713057989142</v>
      </c>
      <c r="X6917" s="2">
        <f ca="1"/>
        <v>72.45442054581639</v>
      </c>
      <c r="AG6917" s="2">
        <f ca="1"/>
        <v>0.47732381867575535</v>
      </c>
      <c r="AH6917" s="2" t="str">
        <f ca="1"/>
        <v>Bad</v>
      </c>
    </row>
    <row r="6918" spans="2:34">
      <c r="B6918" s="2">
        <f ca="1"/>
        <v>0.93281076589674483</v>
      </c>
      <c r="O6918" s="2">
        <f ca="1"/>
        <v>-0.20178874353811571</v>
      </c>
      <c r="X6918" s="2">
        <f ca="1"/>
        <v>26.226197964981672</v>
      </c>
      <c r="AG6918" s="2">
        <f ca="1"/>
        <v>0.68621980921722092</v>
      </c>
      <c r="AH6918" s="2" t="str">
        <f ca="1"/>
        <v>Bad</v>
      </c>
    </row>
    <row r="6919" spans="2:34">
      <c r="B6919" s="2">
        <f ca="1"/>
        <v>0.22482577901439837</v>
      </c>
      <c r="O6919" s="2">
        <f ca="1"/>
        <v>1.2909695542894157</v>
      </c>
      <c r="X6919" s="2">
        <f ca="1"/>
        <v>39.568149013529748</v>
      </c>
      <c r="AG6919" s="2">
        <f ca="1"/>
        <v>0.19474513961844631</v>
      </c>
      <c r="AH6919" s="2" t="str">
        <f ca="1"/>
        <v>OK</v>
      </c>
    </row>
    <row r="6920" spans="2:34">
      <c r="B6920" s="2">
        <f ca="1"/>
        <v>0.19967577326419983</v>
      </c>
      <c r="O6920" s="2">
        <f ca="1"/>
        <v>-0.19096569881837125</v>
      </c>
      <c r="X6920" s="2">
        <f ca="1"/>
        <v>37.220773803470365</v>
      </c>
      <c r="AG6920" s="2">
        <f ca="1"/>
        <v>0.61593730209990816</v>
      </c>
      <c r="AH6920" s="2" t="str">
        <f ca="1"/>
        <v>Bad</v>
      </c>
    </row>
    <row r="6921" spans="2:34">
      <c r="B6921" s="2">
        <f ca="1"/>
        <v>0.10911924277670226</v>
      </c>
      <c r="O6921" s="2">
        <f ca="1"/>
        <v>-7.8521817336998187E-2</v>
      </c>
      <c r="X6921" s="2">
        <f ca="1"/>
        <v>45.262456439778582</v>
      </c>
      <c r="AG6921" s="2">
        <f ca="1"/>
        <v>0.72769483885473463</v>
      </c>
      <c r="AH6921" s="2" t="str">
        <f ca="1"/>
        <v>Bad</v>
      </c>
    </row>
    <row r="6922" spans="2:34">
      <c r="B6922" s="2">
        <f ca="1"/>
        <v>0.15218260036043962</v>
      </c>
      <c r="O6922" s="2">
        <f ca="1"/>
        <v>0.25967574526302223</v>
      </c>
      <c r="X6922" s="2">
        <f ca="1"/>
        <v>39.726562230522134</v>
      </c>
      <c r="AG6922" s="2">
        <f ca="1"/>
        <v>0.79780142488088202</v>
      </c>
      <c r="AH6922" s="2" t="str">
        <f ca="1"/>
        <v>Bad</v>
      </c>
    </row>
    <row r="6923" spans="2:34">
      <c r="B6923" s="2">
        <f ca="1"/>
        <v>0.7365774728138772</v>
      </c>
      <c r="O6923" s="2">
        <f ca="1"/>
        <v>-8.8068347094674385E-2</v>
      </c>
      <c r="X6923" s="2">
        <f ca="1"/>
        <v>65.298283697736593</v>
      </c>
      <c r="AG6923" s="2">
        <f ca="1"/>
        <v>0.52641830714287607</v>
      </c>
      <c r="AH6923" s="2" t="str">
        <f ca="1"/>
        <v>Bad</v>
      </c>
    </row>
    <row r="6924" spans="2:34">
      <c r="B6924" s="2">
        <f ca="1"/>
        <v>0.98420185812281691</v>
      </c>
      <c r="O6924" s="2">
        <f ca="1"/>
        <v>0.20631287148534405</v>
      </c>
      <c r="X6924" s="2">
        <f ca="1"/>
        <v>56.746754089624588</v>
      </c>
      <c r="AG6924" s="2">
        <f ca="1"/>
        <v>4.3071723293663267E-2</v>
      </c>
      <c r="AH6924" s="2" t="str">
        <f ca="1"/>
        <v>Good</v>
      </c>
    </row>
    <row r="6925" spans="2:34">
      <c r="B6925" s="2">
        <f ca="1"/>
        <v>0.32853771453022818</v>
      </c>
      <c r="O6925" s="2">
        <f ca="1"/>
        <v>1.0374100222780295E-2</v>
      </c>
      <c r="X6925" s="2">
        <f ca="1"/>
        <v>62.652367440675185</v>
      </c>
      <c r="AG6925" s="2">
        <f ca="1"/>
        <v>0.40046766010729784</v>
      </c>
      <c r="AH6925" s="2" t="str">
        <f ca="1"/>
        <v>Bad</v>
      </c>
    </row>
    <row r="6926" spans="2:34">
      <c r="B6926" s="2">
        <f ca="1"/>
        <v>8.178502343982208E-2</v>
      </c>
      <c r="O6926" s="2">
        <f ca="1"/>
        <v>1.0209178123673088</v>
      </c>
      <c r="X6926" s="2">
        <f ca="1"/>
        <v>38.095775897960884</v>
      </c>
      <c r="AG6926" s="2">
        <f ca="1"/>
        <v>0.72589937111853198</v>
      </c>
      <c r="AH6926" s="2" t="str">
        <f ca="1"/>
        <v>Bad</v>
      </c>
    </row>
    <row r="6927" spans="2:34">
      <c r="B6927" s="2">
        <f ca="1"/>
        <v>0.22529044375952911</v>
      </c>
      <c r="O6927" s="2">
        <f ca="1"/>
        <v>0.2334992722123449</v>
      </c>
      <c r="X6927" s="2">
        <f ca="1"/>
        <v>81.449518082006605</v>
      </c>
      <c r="AG6927" s="2">
        <f ca="1"/>
        <v>0.73124882708956185</v>
      </c>
      <c r="AH6927" s="2" t="str">
        <f ca="1"/>
        <v>Bad</v>
      </c>
    </row>
    <row r="6928" spans="2:34">
      <c r="B6928" s="2">
        <f ca="1"/>
        <v>0.63875878409308395</v>
      </c>
      <c r="O6928" s="2">
        <f ca="1"/>
        <v>-9.8451925175501692E-2</v>
      </c>
      <c r="X6928" s="2">
        <f ca="1"/>
        <v>60.669704748041454</v>
      </c>
      <c r="AG6928" s="2">
        <f ca="1"/>
        <v>0.42582530008808916</v>
      </c>
      <c r="AH6928" s="2" t="str">
        <f ca="1"/>
        <v>Bad</v>
      </c>
    </row>
    <row r="6929" spans="2:34">
      <c r="B6929" s="2">
        <f ca="1"/>
        <v>0.17415382434013571</v>
      </c>
      <c r="O6929" s="2">
        <f ca="1"/>
        <v>-0.31126269825117986</v>
      </c>
      <c r="X6929" s="2">
        <f ca="1"/>
        <v>74.893872640423098</v>
      </c>
      <c r="AG6929" s="2">
        <f ca="1"/>
        <v>0.8320920217731429</v>
      </c>
      <c r="AH6929" s="2" t="str">
        <f ca="1"/>
        <v>Bad</v>
      </c>
    </row>
    <row r="6930" spans="2:34">
      <c r="B6930" s="2">
        <f ca="1"/>
        <v>0.540401787195675</v>
      </c>
      <c r="O6930" s="2">
        <f ca="1"/>
        <v>1.3761168963584307</v>
      </c>
      <c r="X6930" s="2">
        <f ca="1"/>
        <v>44.53685331876553</v>
      </c>
      <c r="AG6930" s="2">
        <f ca="1"/>
        <v>0.72492025420793982</v>
      </c>
      <c r="AH6930" s="2" t="str">
        <f ca="1"/>
        <v>Bad</v>
      </c>
    </row>
    <row r="6931" spans="2:34">
      <c r="B6931" s="2">
        <f ca="1"/>
        <v>0.67071030413693422</v>
      </c>
      <c r="O6931" s="2">
        <f ca="1"/>
        <v>0.85895857190103175</v>
      </c>
      <c r="X6931" s="2">
        <f ca="1"/>
        <v>40.347947832764731</v>
      </c>
      <c r="AG6931" s="2">
        <f ca="1"/>
        <v>0.51872686260802126</v>
      </c>
      <c r="AH6931" s="2" t="str">
        <f ca="1"/>
        <v>Bad</v>
      </c>
    </row>
    <row r="6932" spans="2:34">
      <c r="B6932" s="2">
        <f ca="1"/>
        <v>0.97620021458713291</v>
      </c>
      <c r="O6932" s="2">
        <f ca="1"/>
        <v>-1.4256325583176239</v>
      </c>
      <c r="X6932" s="2">
        <f ca="1"/>
        <v>77.277056463445973</v>
      </c>
      <c r="AG6932" s="2">
        <f ca="1"/>
        <v>0.93746703265370157</v>
      </c>
      <c r="AH6932" s="2" t="str">
        <f ca="1"/>
        <v>Bad</v>
      </c>
    </row>
    <row r="6933" spans="2:34">
      <c r="B6933" s="2">
        <f ca="1"/>
        <v>6.9971750251919929E-2</v>
      </c>
      <c r="O6933" s="2">
        <f ca="1"/>
        <v>1.1576706910130556</v>
      </c>
      <c r="X6933" s="2">
        <f ca="1"/>
        <v>79.970815339460856</v>
      </c>
      <c r="AG6933" s="2">
        <f ca="1"/>
        <v>7.9692545410693816E-2</v>
      </c>
      <c r="AH6933" s="2" t="str">
        <f ca="1"/>
        <v>OK</v>
      </c>
    </row>
    <row r="6934" spans="2:34">
      <c r="B6934" s="2">
        <f ca="1"/>
        <v>0.70230704178888859</v>
      </c>
      <c r="O6934" s="2">
        <f ca="1"/>
        <v>1.4980113545885547E-3</v>
      </c>
      <c r="X6934" s="2">
        <f ca="1"/>
        <v>34.134209928722754</v>
      </c>
      <c r="AG6934" s="2">
        <f ca="1"/>
        <v>0.17416387683487833</v>
      </c>
      <c r="AH6934" s="2" t="str">
        <f ca="1"/>
        <v>OK</v>
      </c>
    </row>
    <row r="6935" spans="2:34">
      <c r="B6935" s="2">
        <f ca="1"/>
        <v>0.57579814934120654</v>
      </c>
      <c r="O6935" s="2">
        <f ca="1"/>
        <v>-9.4650618998283573E-2</v>
      </c>
      <c r="X6935" s="2">
        <f ca="1"/>
        <v>62.86885745584938</v>
      </c>
      <c r="AG6935" s="2">
        <f ca="1"/>
        <v>0.86580376887999289</v>
      </c>
      <c r="AH6935" s="2" t="str">
        <f ca="1"/>
        <v>Bad</v>
      </c>
    </row>
    <row r="6936" spans="2:34">
      <c r="B6936" s="2">
        <f ca="1"/>
        <v>0.40080178542271017</v>
      </c>
      <c r="O6936" s="2">
        <f ca="1"/>
        <v>-0.50998161922043905</v>
      </c>
      <c r="X6936" s="2">
        <f ca="1"/>
        <v>32.495928189104099</v>
      </c>
      <c r="AG6936" s="2">
        <f ca="1"/>
        <v>0.13147628739204831</v>
      </c>
      <c r="AH6936" s="2" t="str">
        <f ca="1"/>
        <v>OK</v>
      </c>
    </row>
    <row r="6937" spans="2:34">
      <c r="B6937" s="2">
        <f ca="1"/>
        <v>3.7586434408679592E-2</v>
      </c>
      <c r="O6937" s="2">
        <f ca="1"/>
        <v>0.21663213503164849</v>
      </c>
      <c r="X6937" s="2">
        <f ca="1"/>
        <v>46.030424005507527</v>
      </c>
      <c r="AG6937" s="2">
        <f ca="1"/>
        <v>0.72931100289610251</v>
      </c>
      <c r="AH6937" s="2" t="str">
        <f ca="1"/>
        <v>Bad</v>
      </c>
    </row>
    <row r="6938" spans="2:34">
      <c r="B6938" s="2">
        <f ca="1"/>
        <v>0.65041493953196028</v>
      </c>
      <c r="O6938" s="2">
        <f ca="1"/>
        <v>2.8565401839609041</v>
      </c>
      <c r="X6938" s="2">
        <f ca="1"/>
        <v>59.199162214166094</v>
      </c>
      <c r="AG6938" s="2">
        <f ca="1"/>
        <v>0.59641323596628348</v>
      </c>
      <c r="AH6938" s="2" t="str">
        <f ca="1"/>
        <v>Bad</v>
      </c>
    </row>
    <row r="6939" spans="2:34">
      <c r="B6939" s="2">
        <f ca="1"/>
        <v>0.14677662109539069</v>
      </c>
      <c r="O6939" s="2">
        <f ca="1"/>
        <v>-1.129296448822432</v>
      </c>
      <c r="X6939" s="2">
        <f ca="1"/>
        <v>44.214386320429888</v>
      </c>
      <c r="AG6939" s="2">
        <f ca="1"/>
        <v>0.34856367036836189</v>
      </c>
      <c r="AH6939" s="2" t="str">
        <f ca="1"/>
        <v>OK</v>
      </c>
    </row>
    <row r="6940" spans="2:34">
      <c r="B6940" s="2">
        <f ca="1"/>
        <v>2.8956448286006298E-2</v>
      </c>
      <c r="O6940" s="2">
        <f ca="1"/>
        <v>0.49549885076356931</v>
      </c>
      <c r="X6940" s="2">
        <f ca="1"/>
        <v>43.823179156789479</v>
      </c>
      <c r="AG6940" s="2">
        <f ca="1"/>
        <v>0.52567696807307929</v>
      </c>
      <c r="AH6940" s="2" t="str">
        <f ca="1"/>
        <v>Bad</v>
      </c>
    </row>
    <row r="6941" spans="2:34">
      <c r="B6941" s="2">
        <f ca="1"/>
        <v>0.97604669519321585</v>
      </c>
      <c r="O6941" s="2">
        <f ca="1"/>
        <v>0.13072381474225359</v>
      </c>
      <c r="X6941" s="2">
        <f ca="1"/>
        <v>33.622028962948775</v>
      </c>
      <c r="AG6941" s="2">
        <f ca="1"/>
        <v>0.92743517787995988</v>
      </c>
      <c r="AH6941" s="2" t="str">
        <f ca="1"/>
        <v>Bad</v>
      </c>
    </row>
    <row r="6942" spans="2:34">
      <c r="B6942" s="2">
        <f ca="1"/>
        <v>0.48246115595554762</v>
      </c>
      <c r="O6942" s="2">
        <f ca="1"/>
        <v>0.42618889927964693</v>
      </c>
      <c r="X6942" s="2">
        <f ca="1"/>
        <v>41.416764162454847</v>
      </c>
      <c r="AG6942" s="2">
        <f ca="1"/>
        <v>0.57268858587751237</v>
      </c>
      <c r="AH6942" s="2" t="str">
        <f ca="1"/>
        <v>Bad</v>
      </c>
    </row>
    <row r="6943" spans="2:34">
      <c r="B6943" s="2">
        <f ca="1"/>
        <v>8.8093936396055783E-2</v>
      </c>
      <c r="O6943" s="2">
        <f ca="1"/>
        <v>5.0912241261996953E-4</v>
      </c>
      <c r="X6943" s="2">
        <f ca="1"/>
        <v>63.931576115116854</v>
      </c>
      <c r="AG6943" s="2">
        <f ca="1"/>
        <v>0.67428640438289822</v>
      </c>
      <c r="AH6943" s="2" t="str">
        <f ca="1"/>
        <v>Bad</v>
      </c>
    </row>
    <row r="6944" spans="2:34">
      <c r="B6944" s="2">
        <f ca="1"/>
        <v>0.40468499066455665</v>
      </c>
      <c r="O6944" s="2">
        <f ca="1"/>
        <v>6.8411040233287632E-2</v>
      </c>
      <c r="X6944" s="2">
        <f ca="1"/>
        <v>24.174331862742019</v>
      </c>
      <c r="AG6944" s="2">
        <f ca="1"/>
        <v>5.4876496805012165E-2</v>
      </c>
      <c r="AH6944" s="2" t="str">
        <f ca="1"/>
        <v>OK</v>
      </c>
    </row>
    <row r="6945" spans="2:34">
      <c r="B6945" s="2">
        <f ca="1"/>
        <v>0.19015404102445554</v>
      </c>
      <c r="O6945" s="2">
        <f ca="1"/>
        <v>-0.62216835798695103</v>
      </c>
      <c r="X6945" s="2">
        <f ca="1"/>
        <v>63.475098070024877</v>
      </c>
      <c r="AG6945" s="2">
        <f ca="1"/>
        <v>0.60836796241329072</v>
      </c>
      <c r="AH6945" s="2" t="str">
        <f ca="1"/>
        <v>Bad</v>
      </c>
    </row>
    <row r="6946" spans="2:34">
      <c r="B6946" s="2">
        <f ca="1"/>
        <v>0.9332182175553807</v>
      </c>
      <c r="O6946" s="2">
        <f ca="1"/>
        <v>0.89022232265799039</v>
      </c>
      <c r="X6946" s="2">
        <f ca="1"/>
        <v>30.730090585073668</v>
      </c>
      <c r="AG6946" s="2">
        <f ca="1"/>
        <v>0.25303919399639474</v>
      </c>
      <c r="AH6946" s="2" t="str">
        <f ca="1"/>
        <v>OK</v>
      </c>
    </row>
    <row r="6947" spans="2:34">
      <c r="B6947" s="2">
        <f ca="1"/>
        <v>0.85153635119346593</v>
      </c>
      <c r="O6947" s="2">
        <f ca="1"/>
        <v>-0.92380383030186453</v>
      </c>
      <c r="X6947" s="2">
        <f ca="1"/>
        <v>65.210932879374724</v>
      </c>
      <c r="AG6947" s="2">
        <f ca="1"/>
        <v>0.99428916596266292</v>
      </c>
      <c r="AH6947" s="2" t="str">
        <f ca="1"/>
        <v>Bad</v>
      </c>
    </row>
    <row r="6948" spans="2:34">
      <c r="B6948" s="2">
        <f ca="1"/>
        <v>6.1631950929131207E-2</v>
      </c>
      <c r="O6948" s="2">
        <f ca="1"/>
        <v>1.2348111473572803</v>
      </c>
      <c r="X6948" s="2">
        <f ca="1"/>
        <v>67.766062288529284</v>
      </c>
      <c r="AG6948" s="2">
        <f ca="1"/>
        <v>0.46371688588116555</v>
      </c>
      <c r="AH6948" s="2" t="str">
        <f ca="1"/>
        <v>Bad</v>
      </c>
    </row>
    <row r="6949" spans="2:34">
      <c r="B6949" s="2">
        <f ca="1"/>
        <v>0.22348916592328827</v>
      </c>
      <c r="O6949" s="2">
        <f ca="1"/>
        <v>0.53771431102476985</v>
      </c>
      <c r="X6949" s="2">
        <f ca="1"/>
        <v>65.892308384387789</v>
      </c>
      <c r="AG6949" s="2">
        <f ca="1"/>
        <v>0.71225509902187967</v>
      </c>
      <c r="AH6949" s="2" t="str">
        <f ca="1"/>
        <v>Bad</v>
      </c>
    </row>
    <row r="6950" spans="2:34">
      <c r="B6950" s="2">
        <f ca="1"/>
        <v>4.7750426157144643E-2</v>
      </c>
      <c r="O6950" s="2">
        <f ca="1"/>
        <v>0.12925623861318342</v>
      </c>
      <c r="X6950" s="2">
        <f ca="1"/>
        <v>40.154943652415099</v>
      </c>
      <c r="AG6950" s="2">
        <f ca="1"/>
        <v>0.53946062878816559</v>
      </c>
      <c r="AH6950" s="2" t="str">
        <f ca="1"/>
        <v>Bad</v>
      </c>
    </row>
    <row r="6951" spans="2:34">
      <c r="B6951" s="2">
        <f ca="1"/>
        <v>0.97765024220115637</v>
      </c>
      <c r="O6951" s="2">
        <f ca="1"/>
        <v>0.46744506504952704</v>
      </c>
      <c r="X6951" s="2">
        <f ca="1"/>
        <v>44.232142496251861</v>
      </c>
      <c r="AG6951" s="2">
        <f ca="1"/>
        <v>0.17401347233194375</v>
      </c>
      <c r="AH6951" s="2" t="str">
        <f ca="1"/>
        <v>OK</v>
      </c>
    </row>
    <row r="6952" spans="2:34">
      <c r="B6952" s="2">
        <f ca="1"/>
        <v>0.86952696565949572</v>
      </c>
      <c r="O6952" s="2">
        <f ca="1"/>
        <v>0.49670941150831199</v>
      </c>
      <c r="X6952" s="2">
        <f ca="1"/>
        <v>71.243496868815811</v>
      </c>
      <c r="AG6952" s="2">
        <f ca="1"/>
        <v>0.80990496440713389</v>
      </c>
      <c r="AH6952" s="2" t="str">
        <f ca="1"/>
        <v>Bad</v>
      </c>
    </row>
    <row r="6953" spans="2:34">
      <c r="B6953" s="2">
        <f ca="1"/>
        <v>0.56985387967517775</v>
      </c>
      <c r="O6953" s="2">
        <f ca="1"/>
        <v>-1.5254563430176544</v>
      </c>
      <c r="X6953" s="2">
        <f ca="1"/>
        <v>25.137572412681966</v>
      </c>
      <c r="AG6953" s="2">
        <f ca="1"/>
        <v>0.89453934293414128</v>
      </c>
      <c r="AH6953" s="2" t="str">
        <f ca="1"/>
        <v>Bad</v>
      </c>
    </row>
    <row r="6954" spans="2:34">
      <c r="B6954" s="2">
        <f ca="1"/>
        <v>0.67108426746676431</v>
      </c>
      <c r="O6954" s="2">
        <f ca="1"/>
        <v>-0.10140847156791247</v>
      </c>
      <c r="X6954" s="2">
        <f ca="1"/>
        <v>40.720245584581377</v>
      </c>
      <c r="AG6954" s="2">
        <f ca="1"/>
        <v>0.63471421824327678</v>
      </c>
      <c r="AH6954" s="2" t="str">
        <f ca="1"/>
        <v>Bad</v>
      </c>
    </row>
    <row r="6955" spans="2:34">
      <c r="B6955" s="2">
        <f ca="1"/>
        <v>0.30552964650202119</v>
      </c>
      <c r="O6955" s="2">
        <f ca="1"/>
        <v>-0.11137759825603667</v>
      </c>
      <c r="X6955" s="2">
        <f ca="1"/>
        <v>26.965262091420016</v>
      </c>
      <c r="AG6955" s="2">
        <f ca="1"/>
        <v>0.2009025393015107</v>
      </c>
      <c r="AH6955" s="2" t="str">
        <f ca="1"/>
        <v>OK</v>
      </c>
    </row>
    <row r="6956" spans="2:34">
      <c r="B6956" s="2">
        <f ca="1"/>
        <v>0.91459110579505776</v>
      </c>
      <c r="O6956" s="2">
        <f ca="1"/>
        <v>2.4236570418067251</v>
      </c>
      <c r="X6956" s="2">
        <f ca="1"/>
        <v>53.145095938994572</v>
      </c>
      <c r="AG6956" s="2">
        <f ca="1"/>
        <v>0.67892561589793221</v>
      </c>
      <c r="AH6956" s="2" t="str">
        <f ca="1"/>
        <v>Bad</v>
      </c>
    </row>
    <row r="6957" spans="2:34">
      <c r="B6957" s="2">
        <f ca="1"/>
        <v>0.23761775257563977</v>
      </c>
      <c r="O6957" s="2">
        <f ca="1"/>
        <v>1.4509673755674344</v>
      </c>
      <c r="X6957" s="2">
        <f ca="1"/>
        <v>37.755083438226968</v>
      </c>
      <c r="AG6957" s="2">
        <f ca="1"/>
        <v>0.62008068460480881</v>
      </c>
      <c r="AH6957" s="2" t="str">
        <f ca="1"/>
        <v>Bad</v>
      </c>
    </row>
    <row r="6958" spans="2:34">
      <c r="B6958" s="2">
        <f ca="1"/>
        <v>0.46308600810860234</v>
      </c>
      <c r="O6958" s="2">
        <f ca="1"/>
        <v>-0.78502055132485149</v>
      </c>
      <c r="X6958" s="2">
        <f ca="1"/>
        <v>60.744003452678086</v>
      </c>
      <c r="AG6958" s="2">
        <f ca="1"/>
        <v>0.97694473741425192</v>
      </c>
      <c r="AH6958" s="2" t="str">
        <f ca="1"/>
        <v>Bad</v>
      </c>
    </row>
    <row r="6959" spans="2:34">
      <c r="B6959" s="2">
        <f ca="1"/>
        <v>0.17470633188017404</v>
      </c>
      <c r="O6959" s="2">
        <f ca="1"/>
        <v>0.92634032343130046</v>
      </c>
      <c r="X6959" s="2">
        <f ca="1"/>
        <v>33.111131012097054</v>
      </c>
      <c r="AG6959" s="2">
        <f ca="1"/>
        <v>0.63975422294925433</v>
      </c>
      <c r="AH6959" s="2" t="str">
        <f ca="1"/>
        <v>Bad</v>
      </c>
    </row>
    <row r="6960" spans="2:34">
      <c r="B6960" s="2">
        <f ca="1"/>
        <v>0.33648398152180681</v>
      </c>
      <c r="O6960" s="2">
        <f ca="1"/>
        <v>1.5645815476217571</v>
      </c>
      <c r="X6960" s="2">
        <f ca="1"/>
        <v>62.404990424521458</v>
      </c>
      <c r="AG6960" s="2">
        <f ca="1"/>
        <v>0.95421269483049698</v>
      </c>
      <c r="AH6960" s="2" t="str">
        <f ca="1"/>
        <v>Bad</v>
      </c>
    </row>
    <row r="6961" spans="2:34">
      <c r="B6961" s="2">
        <f ca="1"/>
        <v>0.48205600604147691</v>
      </c>
      <c r="O6961" s="2">
        <f ca="1"/>
        <v>-0.54906878527314229</v>
      </c>
      <c r="X6961" s="2">
        <f ca="1"/>
        <v>46.704098655557161</v>
      </c>
      <c r="AG6961" s="2">
        <f ca="1"/>
        <v>3.4623264497377182E-2</v>
      </c>
      <c r="AH6961" s="2" t="str">
        <f ca="1"/>
        <v>Good</v>
      </c>
    </row>
    <row r="6962" spans="2:34">
      <c r="B6962" s="2">
        <f ca="1"/>
        <v>0.15279908463447756</v>
      </c>
      <c r="O6962" s="2">
        <f ca="1"/>
        <v>-1.0673506766310588</v>
      </c>
      <c r="X6962" s="2">
        <f ca="1"/>
        <v>23.280877942263896</v>
      </c>
      <c r="AG6962" s="2">
        <f ca="1"/>
        <v>0.62404872859431859</v>
      </c>
      <c r="AH6962" s="2" t="str">
        <f ca="1"/>
        <v>Bad</v>
      </c>
    </row>
    <row r="6963" spans="2:34">
      <c r="B6963" s="2">
        <f ca="1"/>
        <v>0.68679761452745169</v>
      </c>
      <c r="O6963" s="2">
        <f ca="1"/>
        <v>-0.81220056465924884</v>
      </c>
      <c r="X6963" s="2">
        <f ca="1"/>
        <v>40.921722397130111</v>
      </c>
      <c r="AG6963" s="2">
        <f ca="1"/>
        <v>0.71613404107697165</v>
      </c>
      <c r="AH6963" s="2" t="str">
        <f ca="1"/>
        <v>Bad</v>
      </c>
    </row>
    <row r="6964" spans="2:34">
      <c r="B6964" s="2">
        <f ca="1"/>
        <v>0.90011362655338201</v>
      </c>
      <c r="O6964" s="2">
        <f ca="1"/>
        <v>1.3380432359901409</v>
      </c>
      <c r="X6964" s="2">
        <f ca="1"/>
        <v>44.934032327818599</v>
      </c>
      <c r="AG6964" s="2">
        <f ca="1"/>
        <v>0.36087803626370341</v>
      </c>
      <c r="AH6964" s="2" t="str">
        <f ca="1"/>
        <v>OK</v>
      </c>
    </row>
    <row r="6965" spans="2:34">
      <c r="B6965" s="2">
        <f ca="1"/>
        <v>0.86734545450938971</v>
      </c>
      <c r="O6965" s="2">
        <f ca="1"/>
        <v>-1.0461848703563108</v>
      </c>
      <c r="X6965" s="2">
        <f ca="1"/>
        <v>44.442448171360034</v>
      </c>
      <c r="AG6965" s="2">
        <f ca="1"/>
        <v>0.14029918886171844</v>
      </c>
      <c r="AH6965" s="2" t="str">
        <f ca="1"/>
        <v>OK</v>
      </c>
    </row>
    <row r="6966" spans="2:34">
      <c r="B6966" s="2">
        <f ca="1"/>
        <v>8.7347384025546981E-2</v>
      </c>
      <c r="O6966" s="2">
        <f ca="1"/>
        <v>-1.6337266210629726</v>
      </c>
      <c r="X6966" s="2">
        <f ca="1"/>
        <v>51.18440786797035</v>
      </c>
      <c r="AG6966" s="2">
        <f ca="1"/>
        <v>0.95483622584298677</v>
      </c>
      <c r="AH6966" s="2" t="str">
        <f ca="1"/>
        <v>Bad</v>
      </c>
    </row>
    <row r="6967" spans="2:34">
      <c r="B6967" s="2">
        <f ca="1"/>
        <v>0.62609112166090619</v>
      </c>
      <c r="O6967" s="2">
        <f ca="1"/>
        <v>-0.55736411644988726</v>
      </c>
      <c r="X6967" s="2">
        <f ca="1"/>
        <v>41.884274357116198</v>
      </c>
      <c r="AG6967" s="2">
        <f ca="1"/>
        <v>0.14977704805057535</v>
      </c>
      <c r="AH6967" s="2" t="str">
        <f ca="1"/>
        <v>OK</v>
      </c>
    </row>
    <row r="6968" spans="2:34">
      <c r="B6968" s="2">
        <f ca="1"/>
        <v>0.33781737893141295</v>
      </c>
      <c r="O6968" s="2">
        <f ca="1"/>
        <v>2.9273280226344416</v>
      </c>
      <c r="X6968" s="2">
        <f ca="1"/>
        <v>28.799479073873613</v>
      </c>
      <c r="AG6968" s="2">
        <f ca="1"/>
        <v>0.77694200260407853</v>
      </c>
      <c r="AH6968" s="2" t="str">
        <f ca="1"/>
        <v>Bad</v>
      </c>
    </row>
    <row r="6969" spans="2:34">
      <c r="B6969" s="2">
        <f ca="1"/>
        <v>0.88717717487397696</v>
      </c>
      <c r="O6969" s="2">
        <f ca="1"/>
        <v>-0.10348756814726193</v>
      </c>
      <c r="X6969" s="2">
        <f ca="1"/>
        <v>38.54410761463123</v>
      </c>
      <c r="AG6969" s="2">
        <f ca="1"/>
        <v>0.71304757126707852</v>
      </c>
      <c r="AH6969" s="2" t="str">
        <f ca="1"/>
        <v>Bad</v>
      </c>
    </row>
    <row r="6970" spans="2:34">
      <c r="B6970" s="2">
        <f ca="1"/>
        <v>0.86357371298626018</v>
      </c>
      <c r="O6970" s="2">
        <f ca="1"/>
        <v>-0.55792299189272221</v>
      </c>
      <c r="X6970" s="2">
        <f ca="1"/>
        <v>50.110416461694484</v>
      </c>
      <c r="AG6970" s="2">
        <f ca="1"/>
        <v>9.547487696606427E-2</v>
      </c>
      <c r="AH6970" s="2" t="str">
        <f ca="1"/>
        <v>OK</v>
      </c>
    </row>
    <row r="6971" spans="2:34">
      <c r="B6971" s="2">
        <f ca="1"/>
        <v>0.75769664445543716</v>
      </c>
      <c r="O6971" s="2">
        <f ca="1"/>
        <v>1.0172855531673506</v>
      </c>
      <c r="X6971" s="2">
        <f ca="1"/>
        <v>67.525838994150817</v>
      </c>
      <c r="AG6971" s="2">
        <f ca="1"/>
        <v>0.5688760302501914</v>
      </c>
      <c r="AH6971" s="2" t="str">
        <f ca="1"/>
        <v>Bad</v>
      </c>
    </row>
    <row r="6972" spans="2:34">
      <c r="B6972" s="2">
        <f ca="1"/>
        <v>0.17557377774202942</v>
      </c>
      <c r="O6972" s="2">
        <f ca="1"/>
        <v>0.50334099413829381</v>
      </c>
      <c r="X6972" s="2">
        <f ca="1"/>
        <v>45.535191079421551</v>
      </c>
      <c r="AG6972" s="2">
        <f ca="1"/>
        <v>0.26374407312362624</v>
      </c>
      <c r="AH6972" s="2" t="str">
        <f ca="1"/>
        <v>OK</v>
      </c>
    </row>
    <row r="6973" spans="2:34">
      <c r="B6973" s="2">
        <f ca="1"/>
        <v>0.13694876700624836</v>
      </c>
      <c r="O6973" s="2">
        <f ca="1"/>
        <v>-0.6098709745672759</v>
      </c>
      <c r="X6973" s="2">
        <f ca="1"/>
        <v>67.848348730232445</v>
      </c>
      <c r="AG6973" s="2">
        <f ca="1"/>
        <v>3.7149743336666319E-3</v>
      </c>
      <c r="AH6973" s="2" t="str">
        <f ca="1"/>
        <v>Good</v>
      </c>
    </row>
    <row r="6974" spans="2:34">
      <c r="B6974" s="2">
        <f ca="1"/>
        <v>0.12536248676562223</v>
      </c>
      <c r="O6974" s="2">
        <f ca="1"/>
        <v>3.026327986095215E-2</v>
      </c>
      <c r="X6974" s="2">
        <f ca="1"/>
        <v>44.023157667113864</v>
      </c>
      <c r="AG6974" s="2">
        <f ca="1"/>
        <v>0.47584269462855167</v>
      </c>
      <c r="AH6974" s="2" t="str">
        <f ca="1"/>
        <v>Bad</v>
      </c>
    </row>
    <row r="6975" spans="2:34">
      <c r="B6975" s="2">
        <f ca="1"/>
        <v>0.87293146098092911</v>
      </c>
      <c r="O6975" s="2">
        <f ca="1"/>
        <v>1.0486853008797403</v>
      </c>
      <c r="X6975" s="2">
        <f ca="1"/>
        <v>48.790281284496089</v>
      </c>
      <c r="AG6975" s="2">
        <f ca="1"/>
        <v>0.45674367087886725</v>
      </c>
      <c r="AH6975" s="2" t="str">
        <f ca="1"/>
        <v>Bad</v>
      </c>
    </row>
    <row r="6976" spans="2:34">
      <c r="B6976" s="2">
        <f ca="1"/>
        <v>0.75343897381946245</v>
      </c>
      <c r="O6976" s="2">
        <f ca="1"/>
        <v>1.2221052838769528</v>
      </c>
      <c r="X6976" s="2">
        <f ca="1"/>
        <v>40.989721610596149</v>
      </c>
      <c r="AG6976" s="2">
        <f ca="1"/>
        <v>0.41996333868030167</v>
      </c>
      <c r="AH6976" s="2" t="str">
        <f ca="1"/>
        <v>Bad</v>
      </c>
    </row>
    <row r="6977" spans="2:34">
      <c r="B6977" s="2">
        <f ca="1"/>
        <v>0.96104540884391332</v>
      </c>
      <c r="O6977" s="2">
        <f ca="1"/>
        <v>-1.0370972939214729</v>
      </c>
      <c r="X6977" s="2">
        <f ca="1"/>
        <v>41.740527131699643</v>
      </c>
      <c r="AG6977" s="2">
        <f ca="1"/>
        <v>2.7947888556568046E-2</v>
      </c>
      <c r="AH6977" s="2" t="str">
        <f ca="1"/>
        <v>Good</v>
      </c>
    </row>
    <row r="6978" spans="2:34">
      <c r="B6978" s="2">
        <f ca="1"/>
        <v>0.36796256016173245</v>
      </c>
      <c r="O6978" s="2">
        <f ca="1"/>
        <v>-0.36014900570720032</v>
      </c>
      <c r="X6978" s="2">
        <f ca="1"/>
        <v>60.832775644263862</v>
      </c>
      <c r="AG6978" s="2">
        <f ca="1"/>
        <v>0.23318785952630305</v>
      </c>
      <c r="AH6978" s="2" t="str">
        <f ca="1"/>
        <v>OK</v>
      </c>
    </row>
    <row r="6979" spans="2:34">
      <c r="B6979" s="2">
        <f ca="1"/>
        <v>0.16485055046429298</v>
      </c>
      <c r="O6979" s="2">
        <f ca="1"/>
        <v>0.9985399482267473</v>
      </c>
      <c r="X6979" s="2">
        <f ca="1"/>
        <v>45.826827429466746</v>
      </c>
      <c r="AG6979" s="2">
        <f ca="1"/>
        <v>0.95875001572470397</v>
      </c>
      <c r="AH6979" s="2" t="str">
        <f ca="1"/>
        <v>Bad</v>
      </c>
    </row>
    <row r="6980" spans="2:34">
      <c r="B6980" s="2">
        <f ca="1"/>
        <v>0.11403398950018873</v>
      </c>
      <c r="O6980" s="2">
        <f ca="1"/>
        <v>1.1495550656404119</v>
      </c>
      <c r="X6980" s="2">
        <f ca="1"/>
        <v>30.87353036076825</v>
      </c>
      <c r="AG6980" s="2">
        <f ca="1"/>
        <v>0.52471891231090839</v>
      </c>
      <c r="AH6980" s="2" t="str">
        <f ca="1"/>
        <v>Bad</v>
      </c>
    </row>
    <row r="6981" spans="2:34">
      <c r="B6981" s="2">
        <f ca="1"/>
        <v>0.96057957333628585</v>
      </c>
      <c r="O6981" s="2">
        <f ca="1"/>
        <v>-0.2850321354887172</v>
      </c>
      <c r="X6981" s="2">
        <f ca="1"/>
        <v>49.412674394485578</v>
      </c>
      <c r="AG6981" s="2">
        <f ca="1"/>
        <v>0.19551566512515461</v>
      </c>
      <c r="AH6981" s="2" t="str">
        <f ca="1"/>
        <v>OK</v>
      </c>
    </row>
    <row r="6982" spans="2:34">
      <c r="B6982" s="2">
        <f ca="1"/>
        <v>0.2479952620276944</v>
      </c>
      <c r="O6982" s="2">
        <f ca="1"/>
        <v>-0.66439763046270528</v>
      </c>
      <c r="X6982" s="2">
        <f ca="1"/>
        <v>85.86723624195875</v>
      </c>
      <c r="AG6982" s="2">
        <f ca="1"/>
        <v>0.45114327688461153</v>
      </c>
      <c r="AH6982" s="2" t="str">
        <f ca="1"/>
        <v>Bad</v>
      </c>
    </row>
    <row r="6983" spans="2:34">
      <c r="B6983" s="2">
        <f ca="1"/>
        <v>0.82284730499607828</v>
      </c>
      <c r="O6983" s="2">
        <f ca="1"/>
        <v>-0.43162979508566063</v>
      </c>
      <c r="X6983" s="2">
        <f ca="1"/>
        <v>30.492596738837605</v>
      </c>
      <c r="AG6983" s="2">
        <f ca="1"/>
        <v>8.9825405487818699E-2</v>
      </c>
      <c r="AH6983" s="2" t="str">
        <f ca="1"/>
        <v>OK</v>
      </c>
    </row>
    <row r="6984" spans="2:34">
      <c r="B6984" s="2">
        <f ca="1"/>
        <v>0.76936130287436111</v>
      </c>
      <c r="O6984" s="2">
        <f ca="1"/>
        <v>0.43712708279584583</v>
      </c>
      <c r="X6984" s="2">
        <f ca="1"/>
        <v>37.137293527067982</v>
      </c>
      <c r="AG6984" s="2">
        <f ca="1"/>
        <v>0.85719771958238011</v>
      </c>
      <c r="AH6984" s="2" t="str">
        <f ca="1"/>
        <v>Bad</v>
      </c>
    </row>
    <row r="6985" spans="2:34">
      <c r="B6985" s="2">
        <f ca="1"/>
        <v>0.31383253266536926</v>
      </c>
      <c r="O6985" s="2">
        <f ca="1"/>
        <v>-0.59852907468602079</v>
      </c>
      <c r="X6985" s="2">
        <f ca="1"/>
        <v>35.906320629023931</v>
      </c>
      <c r="AG6985" s="2">
        <f ca="1"/>
        <v>0.67212868515764046</v>
      </c>
      <c r="AH6985" s="2" t="str">
        <f ca="1"/>
        <v>Bad</v>
      </c>
    </row>
    <row r="6986" spans="2:34">
      <c r="B6986" s="2">
        <f ca="1"/>
        <v>0.21301079795359468</v>
      </c>
      <c r="O6986" s="2">
        <f ca="1"/>
        <v>-0.10219042729720181</v>
      </c>
      <c r="X6986" s="2">
        <f ca="1"/>
        <v>85.017176135970359</v>
      </c>
      <c r="AG6986" s="2">
        <f ca="1"/>
        <v>0.55652010567313548</v>
      </c>
      <c r="AH6986" s="2" t="str">
        <f ca="1"/>
        <v>Bad</v>
      </c>
    </row>
    <row r="6987" spans="2:34">
      <c r="B6987" s="2">
        <f ca="1"/>
        <v>0.84347399783082588</v>
      </c>
      <c r="O6987" s="2">
        <f ca="1"/>
        <v>0.32013754634748565</v>
      </c>
      <c r="X6987" s="2">
        <f ca="1"/>
        <v>69.169485573243932</v>
      </c>
      <c r="AG6987" s="2">
        <f ca="1"/>
        <v>0.27520509336675447</v>
      </c>
      <c r="AH6987" s="2" t="str">
        <f ca="1"/>
        <v>OK</v>
      </c>
    </row>
    <row r="6988" spans="2:34">
      <c r="B6988" s="2">
        <f ca="1"/>
        <v>0.8960944773247963</v>
      </c>
      <c r="O6988" s="2">
        <f ca="1"/>
        <v>0.48254684743367882</v>
      </c>
      <c r="X6988" s="2">
        <f ca="1"/>
        <v>36.627879091939576</v>
      </c>
      <c r="AG6988" s="2">
        <f ca="1"/>
        <v>0.89833892663575932</v>
      </c>
      <c r="AH6988" s="2" t="str">
        <f ca="1"/>
        <v>Bad</v>
      </c>
    </row>
    <row r="6989" spans="2:34">
      <c r="B6989" s="2">
        <f ca="1"/>
        <v>0.92515029548458694</v>
      </c>
      <c r="O6989" s="2">
        <f ca="1"/>
        <v>1.9883833182784239</v>
      </c>
      <c r="X6989" s="2">
        <f ca="1"/>
        <v>31.522729298388555</v>
      </c>
      <c r="AG6989" s="2">
        <f ca="1"/>
        <v>7.3176181374102978E-2</v>
      </c>
      <c r="AH6989" s="2" t="str">
        <f ca="1"/>
        <v>OK</v>
      </c>
    </row>
    <row r="6990" spans="2:34">
      <c r="B6990" s="2">
        <f ca="1"/>
        <v>0.22170745791901392</v>
      </c>
      <c r="O6990" s="2">
        <f ca="1"/>
        <v>1.4464519991917899</v>
      </c>
      <c r="X6990" s="2">
        <f ca="1"/>
        <v>46.369338497116658</v>
      </c>
      <c r="AG6990" s="2">
        <f ca="1"/>
        <v>0.31968582220328945</v>
      </c>
      <c r="AH6990" s="2" t="str">
        <f ca="1"/>
        <v>OK</v>
      </c>
    </row>
    <row r="6991" spans="2:34">
      <c r="B6991" s="2">
        <f ca="1"/>
        <v>0.95559428802582702</v>
      </c>
      <c r="O6991" s="2">
        <f ca="1"/>
        <v>-0.50425784549512964</v>
      </c>
      <c r="X6991" s="2">
        <f ca="1"/>
        <v>61.794386361691949</v>
      </c>
      <c r="AG6991" s="2">
        <f ca="1"/>
        <v>1.3012225870606242E-2</v>
      </c>
      <c r="AH6991" s="2" t="str">
        <f ca="1"/>
        <v>Good</v>
      </c>
    </row>
    <row r="6992" spans="2:34">
      <c r="B6992" s="2">
        <f ca="1"/>
        <v>7.6177698762012414E-2</v>
      </c>
      <c r="O6992" s="2">
        <f ca="1"/>
        <v>1.9853460617194292</v>
      </c>
      <c r="X6992" s="2">
        <f ca="1"/>
        <v>47.03642034786013</v>
      </c>
      <c r="AG6992" s="2">
        <f ca="1"/>
        <v>4.1166533631348257E-2</v>
      </c>
      <c r="AH6992" s="2" t="str">
        <f ca="1"/>
        <v>Good</v>
      </c>
    </row>
    <row r="6993" spans="2:34">
      <c r="B6993" s="2">
        <f ca="1"/>
        <v>0.91483959039148122</v>
      </c>
      <c r="O6993" s="2">
        <f ca="1"/>
        <v>-1.3887782288145376</v>
      </c>
      <c r="X6993" s="2">
        <f ca="1"/>
        <v>28.351583195486985</v>
      </c>
      <c r="AG6993" s="2">
        <f ca="1"/>
        <v>4.8575302220360994E-2</v>
      </c>
      <c r="AH6993" s="2" t="str">
        <f ca="1"/>
        <v>Good</v>
      </c>
    </row>
    <row r="6994" spans="2:34">
      <c r="B6994" s="2">
        <f ca="1"/>
        <v>0.47073141546196595</v>
      </c>
      <c r="O6994" s="2">
        <f ca="1"/>
        <v>2.1126113710921039E-2</v>
      </c>
      <c r="X6994" s="2">
        <f ca="1"/>
        <v>65.023038650342286</v>
      </c>
      <c r="AG6994" s="2">
        <f ca="1"/>
        <v>0.17717235230225081</v>
      </c>
      <c r="AH6994" s="2" t="str">
        <f ca="1"/>
        <v>OK</v>
      </c>
    </row>
    <row r="6995" spans="2:34">
      <c r="B6995" s="2">
        <f ca="1"/>
        <v>0.49843660054994099</v>
      </c>
      <c r="O6995" s="2">
        <f ca="1"/>
        <v>-0.32587191655868297</v>
      </c>
      <c r="X6995" s="2">
        <f ca="1"/>
        <v>57.377473464228885</v>
      </c>
      <c r="AG6995" s="2">
        <f ca="1"/>
        <v>0.18348632963894196</v>
      </c>
      <c r="AH6995" s="2" t="str">
        <f ca="1"/>
        <v>OK</v>
      </c>
    </row>
    <row r="6996" spans="2:34">
      <c r="B6996" s="2">
        <f ca="1"/>
        <v>0.18424296455589451</v>
      </c>
      <c r="O6996" s="2">
        <f ca="1"/>
        <v>-0.37546740456935951</v>
      </c>
      <c r="X6996" s="2">
        <f ca="1"/>
        <v>55.946225562005985</v>
      </c>
      <c r="AG6996" s="2">
        <f ca="1"/>
        <v>0.15766826728364358</v>
      </c>
      <c r="AH6996" s="2" t="str">
        <f ca="1"/>
        <v>OK</v>
      </c>
    </row>
    <row r="6997" spans="2:34">
      <c r="B6997" s="2">
        <f ca="1"/>
        <v>5.2963519193262254E-2</v>
      </c>
      <c r="O6997" s="2">
        <f ca="1"/>
        <v>-0.13473004485944984</v>
      </c>
      <c r="X6997" s="2">
        <f ca="1"/>
        <v>24.074102748659936</v>
      </c>
      <c r="AG6997" s="2">
        <f ca="1"/>
        <v>0.47509207697111888</v>
      </c>
      <c r="AH6997" s="2" t="str">
        <f ca="1"/>
        <v>Bad</v>
      </c>
    </row>
    <row r="6998" spans="2:34">
      <c r="B6998" s="2">
        <f ca="1"/>
        <v>0.80910328664708064</v>
      </c>
      <c r="O6998" s="2">
        <f ca="1"/>
        <v>1.461721106648844</v>
      </c>
      <c r="X6998" s="2">
        <f ca="1"/>
        <v>29.920028568753366</v>
      </c>
      <c r="AG6998" s="2">
        <f ca="1"/>
        <v>0.76384923072894684</v>
      </c>
      <c r="AH6998" s="2" t="str">
        <f ca="1"/>
        <v>Bad</v>
      </c>
    </row>
    <row r="6999" spans="2:34">
      <c r="B6999" s="2">
        <f ca="1"/>
        <v>0.67792514678299787</v>
      </c>
      <c r="O6999" s="2">
        <f ca="1"/>
        <v>-1.889462324612817</v>
      </c>
      <c r="X6999" s="2">
        <f ca="1"/>
        <v>38.316692831849721</v>
      </c>
      <c r="AG6999" s="2">
        <f ca="1"/>
        <v>0.81146412327119877</v>
      </c>
      <c r="AH6999" s="2" t="str">
        <f ca="1"/>
        <v>Bad</v>
      </c>
    </row>
    <row r="7000" spans="2:34">
      <c r="B7000" s="2">
        <f ca="1"/>
        <v>0.70450360769228926</v>
      </c>
      <c r="O7000" s="2">
        <f ca="1"/>
        <v>-0.7174939129174942</v>
      </c>
      <c r="X7000" s="2">
        <f ca="1"/>
        <v>54.470618162640235</v>
      </c>
      <c r="AG7000" s="2">
        <f ca="1"/>
        <v>0.80891403753118674</v>
      </c>
      <c r="AH7000" s="2" t="str">
        <f ca="1"/>
        <v>Bad</v>
      </c>
    </row>
    <row r="7001" spans="2:34">
      <c r="B7001" s="2">
        <f ca="1"/>
        <v>0.10054723532716459</v>
      </c>
      <c r="O7001" s="2">
        <f ca="1"/>
        <v>0.9739660965557847</v>
      </c>
      <c r="X7001" s="2">
        <f ca="1"/>
        <v>42.817578841358809</v>
      </c>
      <c r="AG7001" s="2">
        <f ca="1"/>
        <v>0.82345603135487977</v>
      </c>
      <c r="AH7001" s="2" t="str">
        <f ca="1"/>
        <v>Bad</v>
      </c>
    </row>
    <row r="7002" spans="2:34">
      <c r="B7002" s="2">
        <f ca="1"/>
        <v>0.1737932432345819</v>
      </c>
      <c r="O7002" s="2">
        <f ca="1"/>
        <v>2.1406080939688801</v>
      </c>
      <c r="X7002" s="2">
        <f ca="1"/>
        <v>56.189467522497935</v>
      </c>
      <c r="AG7002" s="2">
        <f ca="1"/>
        <v>0.11565887673527886</v>
      </c>
      <c r="AH7002" s="2" t="str">
        <f ca="1"/>
        <v>OK</v>
      </c>
    </row>
    <row r="7003" spans="2:34">
      <c r="B7003" s="2">
        <f ca="1"/>
        <v>0.12836599148558503</v>
      </c>
      <c r="O7003" s="2">
        <f ca="1"/>
        <v>0.94163496893476906</v>
      </c>
      <c r="X7003" s="2">
        <f ca="1"/>
        <v>44.663895176902592</v>
      </c>
      <c r="AG7003" s="2">
        <f ca="1"/>
        <v>0.27843640938695735</v>
      </c>
      <c r="AH7003" s="2" t="str">
        <f ca="1"/>
        <v>OK</v>
      </c>
    </row>
    <row r="7004" spans="2:34">
      <c r="B7004" s="2">
        <f ca="1"/>
        <v>0.33512714670301968</v>
      </c>
      <c r="O7004" s="2">
        <f ca="1"/>
        <v>-1.3567588888386635</v>
      </c>
      <c r="X7004" s="2">
        <f ca="1"/>
        <v>36.959615340035448</v>
      </c>
      <c r="AG7004" s="2">
        <f ca="1"/>
        <v>0.4395005037113251</v>
      </c>
      <c r="AH7004" s="2" t="str">
        <f ca="1"/>
        <v>Bad</v>
      </c>
    </row>
    <row r="7005" spans="2:34">
      <c r="B7005" s="2">
        <f ca="1"/>
        <v>0.29653923284486683</v>
      </c>
      <c r="O7005" s="2">
        <f ca="1"/>
        <v>0.52573864942801307</v>
      </c>
      <c r="X7005" s="2">
        <f ca="1"/>
        <v>35.5526399014989</v>
      </c>
      <c r="AG7005" s="2">
        <f ca="1"/>
        <v>0.22283831152943701</v>
      </c>
      <c r="AH7005" s="2" t="str">
        <f ca="1"/>
        <v>OK</v>
      </c>
    </row>
    <row r="7006" spans="2:34">
      <c r="B7006" s="2">
        <f ca="1"/>
        <v>0.80133932898580906</v>
      </c>
      <c r="O7006" s="2">
        <f ca="1"/>
        <v>1.0452461619726945</v>
      </c>
      <c r="X7006" s="2">
        <f ca="1"/>
        <v>45.471854084291166</v>
      </c>
      <c r="AG7006" s="2">
        <f ca="1"/>
        <v>5.8593997595110414E-2</v>
      </c>
      <c r="AH7006" s="2" t="str">
        <f ca="1"/>
        <v>OK</v>
      </c>
    </row>
    <row r="7007" spans="2:34">
      <c r="B7007" s="2">
        <f ca="1"/>
        <v>0.89604619351842829</v>
      </c>
      <c r="O7007" s="2">
        <f ca="1"/>
        <v>-0.3138611870410743</v>
      </c>
      <c r="X7007" s="2">
        <f ca="1"/>
        <v>49.472954683407089</v>
      </c>
      <c r="AG7007" s="2">
        <f ca="1"/>
        <v>0.95324235627074727</v>
      </c>
      <c r="AH7007" s="2" t="str">
        <f ca="1"/>
        <v>Bad</v>
      </c>
    </row>
    <row r="7008" spans="2:34">
      <c r="B7008" s="2">
        <f ca="1"/>
        <v>0.38361511592370334</v>
      </c>
      <c r="O7008" s="2">
        <f ca="1"/>
        <v>-1.0111394950693127</v>
      </c>
      <c r="X7008" s="2">
        <f ca="1"/>
        <v>34.908595542366612</v>
      </c>
      <c r="AG7008" s="2">
        <f ca="1"/>
        <v>0.88367599881214232</v>
      </c>
      <c r="AH7008" s="2" t="str">
        <f ca="1"/>
        <v>Bad</v>
      </c>
    </row>
    <row r="7009" spans="2:34">
      <c r="B7009" s="2">
        <f ca="1"/>
        <v>0.41608673690898068</v>
      </c>
      <c r="O7009" s="2">
        <f ca="1"/>
        <v>-0.19574593554407024</v>
      </c>
      <c r="X7009" s="2">
        <f ca="1"/>
        <v>75.83597313398252</v>
      </c>
      <c r="AG7009" s="2">
        <f ca="1"/>
        <v>0.81562844344658947</v>
      </c>
      <c r="AH7009" s="2" t="str">
        <f ca="1"/>
        <v>Bad</v>
      </c>
    </row>
    <row r="7010" spans="2:34">
      <c r="B7010" s="2">
        <f ca="1"/>
        <v>0.23499350007021902</v>
      </c>
      <c r="O7010" s="2">
        <f ca="1"/>
        <v>1.8147341319697985</v>
      </c>
      <c r="X7010" s="2">
        <f ca="1"/>
        <v>65.761585648346582</v>
      </c>
      <c r="AG7010" s="2">
        <f ca="1"/>
        <v>0.96439419296079087</v>
      </c>
      <c r="AH7010" s="2" t="str">
        <f ca="1"/>
        <v>Bad</v>
      </c>
    </row>
    <row r="7011" spans="2:34">
      <c r="B7011" s="2">
        <f ca="1"/>
        <v>0.24393918865632536</v>
      </c>
      <c r="O7011" s="2">
        <f ca="1"/>
        <v>1.3874244550443346</v>
      </c>
      <c r="X7011" s="2">
        <f ca="1"/>
        <v>43.13582653336033</v>
      </c>
      <c r="AG7011" s="2">
        <f ca="1"/>
        <v>0.59759012201769868</v>
      </c>
      <c r="AH7011" s="2" t="str">
        <f ca="1"/>
        <v>Bad</v>
      </c>
    </row>
    <row r="7012" spans="2:34">
      <c r="B7012" s="2">
        <f ca="1"/>
        <v>0.69344511445625567</v>
      </c>
      <c r="O7012" s="2">
        <f ca="1"/>
        <v>2.7924042246165223E-2</v>
      </c>
      <c r="X7012" s="2">
        <f ca="1"/>
        <v>43.560423715432563</v>
      </c>
      <c r="AG7012" s="2">
        <f ca="1"/>
        <v>0.10187426488013962</v>
      </c>
      <c r="AH7012" s="2" t="str">
        <f ca="1"/>
        <v>OK</v>
      </c>
    </row>
    <row r="7013" spans="2:34">
      <c r="B7013" s="2">
        <f ca="1"/>
        <v>0.6966900686895281</v>
      </c>
      <c r="O7013" s="2">
        <f ca="1"/>
        <v>-1.124492608181191</v>
      </c>
      <c r="X7013" s="2">
        <f ca="1"/>
        <v>42.200734894213781</v>
      </c>
      <c r="AG7013" s="2">
        <f ca="1"/>
        <v>0.8278167176619744</v>
      </c>
      <c r="AH7013" s="2" t="str">
        <f ca="1"/>
        <v>Bad</v>
      </c>
    </row>
    <row r="7014" spans="2:34">
      <c r="B7014" s="2">
        <f ca="1"/>
        <v>0.21734593275454106</v>
      </c>
      <c r="O7014" s="2">
        <f ca="1"/>
        <v>0.87698219697938307</v>
      </c>
      <c r="X7014" s="2">
        <f ca="1"/>
        <v>70.183620289425875</v>
      </c>
      <c r="AG7014" s="2">
        <f ca="1"/>
        <v>0.44624249948410788</v>
      </c>
      <c r="AH7014" s="2" t="str">
        <f ca="1"/>
        <v>Bad</v>
      </c>
    </row>
    <row r="7015" spans="2:34">
      <c r="B7015" s="2">
        <f ca="1"/>
        <v>0.58036157294584023</v>
      </c>
      <c r="O7015" s="2">
        <f ca="1"/>
        <v>-0.15318789035475525</v>
      </c>
      <c r="X7015" s="2">
        <f ca="1"/>
        <v>65.189776071935896</v>
      </c>
      <c r="AG7015" s="2">
        <f ca="1"/>
        <v>0.74140388341073615</v>
      </c>
      <c r="AH7015" s="2" t="str">
        <f ca="1"/>
        <v>Bad</v>
      </c>
    </row>
    <row r="7016" spans="2:34">
      <c r="B7016" s="2">
        <f ca="1"/>
        <v>7.8026004868346766E-2</v>
      </c>
      <c r="O7016" s="2">
        <f ca="1"/>
        <v>-0.79764177344945053</v>
      </c>
      <c r="X7016" s="2">
        <f ca="1"/>
        <v>30.981251223650254</v>
      </c>
      <c r="AG7016" s="2">
        <f ca="1"/>
        <v>0.78959226363238177</v>
      </c>
      <c r="AH7016" s="2" t="str">
        <f ca="1"/>
        <v>Bad</v>
      </c>
    </row>
    <row r="7017" spans="2:34">
      <c r="B7017" s="2">
        <f ca="1"/>
        <v>0.38097309323965356</v>
      </c>
      <c r="O7017" s="2">
        <f ca="1"/>
        <v>-0.68167161574243984</v>
      </c>
      <c r="X7017" s="2">
        <f ca="1"/>
        <v>63.805298898176133</v>
      </c>
      <c r="AG7017" s="2">
        <f ca="1"/>
        <v>0.91529350733002479</v>
      </c>
      <c r="AH7017" s="2" t="str">
        <f ca="1"/>
        <v>Bad</v>
      </c>
    </row>
    <row r="7018" spans="2:34">
      <c r="B7018" s="2">
        <f ca="1"/>
        <v>8.0211360985749325E-2</v>
      </c>
      <c r="O7018" s="2">
        <f ca="1"/>
        <v>-0.91763953354039485</v>
      </c>
      <c r="X7018" s="2">
        <f ca="1"/>
        <v>72.259199557228641</v>
      </c>
      <c r="AG7018" s="2">
        <f ca="1"/>
        <v>0.43415910310436168</v>
      </c>
      <c r="AH7018" s="2" t="str">
        <f ca="1"/>
        <v>Bad</v>
      </c>
    </row>
    <row r="7019" spans="2:34">
      <c r="B7019" s="2">
        <f ca="1"/>
        <v>0.74478647625397132</v>
      </c>
      <c r="O7019" s="2">
        <f ca="1"/>
        <v>-1.2450924085215238</v>
      </c>
      <c r="X7019" s="2">
        <f ca="1"/>
        <v>37.801866530123604</v>
      </c>
      <c r="AG7019" s="2">
        <f ca="1"/>
        <v>0.53219454609011985</v>
      </c>
      <c r="AH7019" s="2" t="str">
        <f ca="1"/>
        <v>Bad</v>
      </c>
    </row>
    <row r="7020" spans="2:34">
      <c r="B7020" s="2">
        <f ca="1"/>
        <v>0.89649050865214397</v>
      </c>
      <c r="O7020" s="2">
        <f ca="1"/>
        <v>3.2104824292608849</v>
      </c>
      <c r="X7020" s="2">
        <f ca="1"/>
        <v>24.159174270892713</v>
      </c>
      <c r="AG7020" s="2">
        <f ca="1"/>
        <v>0.24959589839173413</v>
      </c>
      <c r="AH7020" s="2" t="str">
        <f ca="1"/>
        <v>OK</v>
      </c>
    </row>
    <row r="7021" spans="2:34">
      <c r="B7021" s="2">
        <f ca="1"/>
        <v>0.64934078081478441</v>
      </c>
      <c r="O7021" s="2">
        <f ca="1"/>
        <v>7.9531464518991971E-2</v>
      </c>
      <c r="X7021" s="2">
        <f ca="1"/>
        <v>39.750877790573007</v>
      </c>
      <c r="AG7021" s="2">
        <f ca="1"/>
        <v>0.54725409876558428</v>
      </c>
      <c r="AH7021" s="2" t="str">
        <f ca="1"/>
        <v>Bad</v>
      </c>
    </row>
    <row r="7022" spans="2:34">
      <c r="B7022" s="2">
        <f ca="1"/>
        <v>5.4093250436241469E-2</v>
      </c>
      <c r="O7022" s="2">
        <f ca="1"/>
        <v>0.66025867764125723</v>
      </c>
      <c r="X7022" s="2">
        <f ca="1"/>
        <v>73.353598642118826</v>
      </c>
      <c r="AG7022" s="2">
        <f ca="1"/>
        <v>0.42943071087819584</v>
      </c>
      <c r="AH7022" s="2" t="str">
        <f ca="1"/>
        <v>Bad</v>
      </c>
    </row>
    <row r="7023" spans="2:34">
      <c r="B7023" s="2">
        <f ca="1"/>
        <v>0.23931633107769068</v>
      </c>
      <c r="O7023" s="2">
        <f ca="1"/>
        <v>-0.11398925084349806</v>
      </c>
      <c r="X7023" s="2">
        <f ca="1"/>
        <v>37.021131716301817</v>
      </c>
      <c r="AG7023" s="2">
        <f ca="1"/>
        <v>0.61380276078634277</v>
      </c>
      <c r="AH7023" s="2" t="str">
        <f ca="1"/>
        <v>Bad</v>
      </c>
    </row>
    <row r="7024" spans="2:34">
      <c r="B7024" s="2">
        <f ca="1"/>
        <v>0.42849801828929901</v>
      </c>
      <c r="O7024" s="2">
        <f ca="1"/>
        <v>1.7284767076790777</v>
      </c>
      <c r="X7024" s="2">
        <f ca="1"/>
        <v>50.216277620855294</v>
      </c>
      <c r="AG7024" s="2">
        <f ca="1"/>
        <v>0.1209214669150438</v>
      </c>
      <c r="AH7024" s="2" t="str">
        <f ca="1"/>
        <v>OK</v>
      </c>
    </row>
    <row r="7025" spans="2:34">
      <c r="B7025" s="2">
        <f ca="1"/>
        <v>0.33211603989937943</v>
      </c>
      <c r="O7025" s="2">
        <f ca="1"/>
        <v>-1.6109892341409755</v>
      </c>
      <c r="X7025" s="2">
        <f ca="1"/>
        <v>43.717905669079109</v>
      </c>
      <c r="AG7025" s="2">
        <f ca="1"/>
        <v>0.35736577472573861</v>
      </c>
      <c r="AH7025" s="2" t="str">
        <f ca="1"/>
        <v>OK</v>
      </c>
    </row>
    <row r="7026" spans="2:34">
      <c r="B7026" s="2">
        <f ca="1"/>
        <v>0.81991438981980691</v>
      </c>
      <c r="O7026" s="2">
        <f ca="1"/>
        <v>-1.7048667240245388</v>
      </c>
      <c r="X7026" s="2">
        <f ca="1"/>
        <v>29.799613214531679</v>
      </c>
      <c r="AG7026" s="2">
        <f ca="1"/>
        <v>0.71295815166380305</v>
      </c>
      <c r="AH7026" s="2" t="str">
        <f ca="1"/>
        <v>Bad</v>
      </c>
    </row>
    <row r="7027" spans="2:34">
      <c r="B7027" s="2">
        <f ca="1"/>
        <v>0.95147210128501314</v>
      </c>
      <c r="O7027" s="2">
        <f ca="1"/>
        <v>0.92863942260176524</v>
      </c>
      <c r="X7027" s="2">
        <f ca="1"/>
        <v>31.634015964755619</v>
      </c>
      <c r="AG7027" s="2">
        <f ca="1"/>
        <v>0.47036965566871713</v>
      </c>
      <c r="AH7027" s="2" t="str">
        <f ca="1"/>
        <v>Bad</v>
      </c>
    </row>
    <row r="7028" spans="2:34">
      <c r="B7028" s="2">
        <f ca="1"/>
        <v>0.70043532740164505</v>
      </c>
      <c r="O7028" s="2">
        <f ca="1"/>
        <v>0.41957893418943293</v>
      </c>
      <c r="X7028" s="2">
        <f ca="1"/>
        <v>43.640775332276533</v>
      </c>
      <c r="AG7028" s="2">
        <f ca="1"/>
        <v>0.16295119103916389</v>
      </c>
      <c r="AH7028" s="2" t="str">
        <f ca="1"/>
        <v>OK</v>
      </c>
    </row>
    <row r="7029" spans="2:34">
      <c r="B7029" s="2">
        <f ca="1"/>
        <v>0.15035835013751164</v>
      </c>
      <c r="O7029" s="2">
        <f ca="1"/>
        <v>-0.37776254620272171</v>
      </c>
      <c r="X7029" s="2">
        <f ca="1"/>
        <v>40.506605433766737</v>
      </c>
      <c r="AG7029" s="2">
        <f ca="1"/>
        <v>0.30871445153078425</v>
      </c>
      <c r="AH7029" s="2" t="str">
        <f ca="1"/>
        <v>OK</v>
      </c>
    </row>
    <row r="7030" spans="2:34">
      <c r="B7030" s="2">
        <f ca="1"/>
        <v>0.98184708956406741</v>
      </c>
      <c r="O7030" s="2">
        <f ca="1"/>
        <v>0.25513251160532352</v>
      </c>
      <c r="X7030" s="2">
        <f ca="1"/>
        <v>35.553839502431323</v>
      </c>
      <c r="AG7030" s="2">
        <f ca="1"/>
        <v>1.1996017981687368E-2</v>
      </c>
      <c r="AH7030" s="2" t="str">
        <f ca="1"/>
        <v>Good</v>
      </c>
    </row>
    <row r="7031" spans="2:34">
      <c r="B7031" s="2">
        <f ca="1"/>
        <v>0.21997553847812457</v>
      </c>
      <c r="O7031" s="2">
        <f ca="1"/>
        <v>0.57346668674207468</v>
      </c>
      <c r="X7031" s="2">
        <f ca="1"/>
        <v>25.014443074759317</v>
      </c>
      <c r="AG7031" s="2">
        <f ca="1"/>
        <v>0.11656986616090204</v>
      </c>
      <c r="AH7031" s="2" t="str">
        <f ca="1"/>
        <v>OK</v>
      </c>
    </row>
    <row r="7032" spans="2:34">
      <c r="B7032" s="2">
        <f ca="1"/>
        <v>0.28720727281624669</v>
      </c>
      <c r="O7032" s="2">
        <f ca="1"/>
        <v>7.7860256759282376E-2</v>
      </c>
      <c r="X7032" s="2">
        <f ca="1"/>
        <v>23.057187074578223</v>
      </c>
      <c r="AG7032" s="2">
        <f ca="1"/>
        <v>3.1956982827307412E-2</v>
      </c>
      <c r="AH7032" s="2" t="str">
        <f ca="1"/>
        <v>Good</v>
      </c>
    </row>
    <row r="7033" spans="2:34">
      <c r="B7033" s="2">
        <f ca="1"/>
        <v>0.75506334322390956</v>
      </c>
      <c r="O7033" s="2">
        <f ca="1"/>
        <v>-1.1754580168450697</v>
      </c>
      <c r="X7033" s="2">
        <f ca="1"/>
        <v>28.804145157392654</v>
      </c>
      <c r="AG7033" s="2">
        <f ca="1"/>
        <v>0.76794632851679023</v>
      </c>
      <c r="AH7033" s="2" t="str">
        <f ca="1"/>
        <v>Bad</v>
      </c>
    </row>
    <row r="7034" spans="2:34">
      <c r="B7034" s="2">
        <f ca="1"/>
        <v>0.23947758144764486</v>
      </c>
      <c r="O7034" s="2">
        <f ca="1"/>
        <v>-2.5335777133886461</v>
      </c>
      <c r="X7034" s="2">
        <f ca="1"/>
        <v>37.421188530297307</v>
      </c>
      <c r="AG7034" s="2">
        <f ca="1"/>
        <v>0.98758408356865024</v>
      </c>
      <c r="AH7034" s="2" t="str">
        <f ca="1"/>
        <v>Bad</v>
      </c>
    </row>
    <row r="7035" spans="2:34">
      <c r="B7035" s="2">
        <f ca="1"/>
        <v>0.99453110635060638</v>
      </c>
      <c r="O7035" s="2">
        <f ca="1"/>
        <v>0.82478649688446259</v>
      </c>
      <c r="X7035" s="2">
        <f ca="1"/>
        <v>58.245203994808165</v>
      </c>
      <c r="AG7035" s="2">
        <f ca="1"/>
        <v>0.36703848783869741</v>
      </c>
      <c r="AH7035" s="2" t="str">
        <f ca="1"/>
        <v>OK</v>
      </c>
    </row>
    <row r="7036" spans="2:34">
      <c r="B7036" s="2">
        <f ca="1"/>
        <v>0.56836227536573913</v>
      </c>
      <c r="O7036" s="2">
        <f ca="1"/>
        <v>-0.87438840982132182</v>
      </c>
      <c r="X7036" s="2">
        <f ca="1"/>
        <v>57.506758986264302</v>
      </c>
      <c r="AG7036" s="2">
        <f ca="1"/>
        <v>0.34736632860897565</v>
      </c>
      <c r="AH7036" s="2" t="str">
        <f ca="1"/>
        <v>OK</v>
      </c>
    </row>
    <row r="7037" spans="2:34">
      <c r="B7037" s="2">
        <f ca="1"/>
        <v>0.18906339604106237</v>
      </c>
      <c r="O7037" s="2">
        <f ca="1"/>
        <v>-0.68609398393454779</v>
      </c>
      <c r="X7037" s="2">
        <f ca="1"/>
        <v>72.92862614007413</v>
      </c>
      <c r="AG7037" s="2">
        <f ca="1"/>
        <v>0.68796762043624748</v>
      </c>
      <c r="AH7037" s="2" t="str">
        <f ca="1"/>
        <v>Bad</v>
      </c>
    </row>
    <row r="7038" spans="2:34">
      <c r="B7038" s="2">
        <f ca="1"/>
        <v>0.45418819908548391</v>
      </c>
      <c r="O7038" s="2">
        <f ca="1"/>
        <v>-0.55369669561110035</v>
      </c>
      <c r="X7038" s="2">
        <f ca="1"/>
        <v>53.104969043349456</v>
      </c>
      <c r="AG7038" s="2">
        <f ca="1"/>
        <v>0.18299838495063558</v>
      </c>
      <c r="AH7038" s="2" t="str">
        <f ca="1"/>
        <v>OK</v>
      </c>
    </row>
    <row r="7039" spans="2:34">
      <c r="B7039" s="2">
        <f ca="1"/>
        <v>0.5703351492599551</v>
      </c>
      <c r="O7039" s="2">
        <f ca="1"/>
        <v>-0.39977964553723688</v>
      </c>
      <c r="X7039" s="2">
        <f ca="1"/>
        <v>33.689468015670684</v>
      </c>
      <c r="AG7039" s="2">
        <f ca="1"/>
        <v>0.80816524109072696</v>
      </c>
      <c r="AH7039" s="2" t="str">
        <f ca="1"/>
        <v>Bad</v>
      </c>
    </row>
    <row r="7040" spans="2:34">
      <c r="B7040" s="2">
        <f ca="1"/>
        <v>0.74784008760127296</v>
      </c>
      <c r="O7040" s="2">
        <f ca="1"/>
        <v>0.61996675970705251</v>
      </c>
      <c r="X7040" s="2">
        <f ca="1"/>
        <v>44.796497502295594</v>
      </c>
      <c r="AG7040" s="2">
        <f ca="1"/>
        <v>0.60157662377734833</v>
      </c>
      <c r="AH7040" s="2" t="str">
        <f ca="1"/>
        <v>Bad</v>
      </c>
    </row>
    <row r="7041" spans="2:34">
      <c r="B7041" s="2">
        <f ca="1"/>
        <v>0.63402679001113094</v>
      </c>
      <c r="O7041" s="2">
        <f ca="1"/>
        <v>1.3647822376149241</v>
      </c>
      <c r="X7041" s="2">
        <f ca="1"/>
        <v>50.184079608477774</v>
      </c>
      <c r="AG7041" s="2">
        <f ca="1"/>
        <v>6.7949149940844666E-3</v>
      </c>
      <c r="AH7041" s="2" t="str">
        <f ca="1"/>
        <v>Good</v>
      </c>
    </row>
    <row r="7042" spans="2:34">
      <c r="B7042" s="2">
        <f ca="1"/>
        <v>0.45190830451971231</v>
      </c>
      <c r="O7042" s="2">
        <f ca="1"/>
        <v>1.4836115699630414</v>
      </c>
      <c r="X7042" s="2">
        <f ca="1"/>
        <v>49.184909208291991</v>
      </c>
      <c r="AG7042" s="2">
        <f ca="1"/>
        <v>0.82833810011143583</v>
      </c>
      <c r="AH7042" s="2" t="str">
        <f ca="1"/>
        <v>Bad</v>
      </c>
    </row>
    <row r="7043" spans="2:34">
      <c r="B7043" s="2">
        <f ca="1"/>
        <v>0.3398230648571936</v>
      </c>
      <c r="O7043" s="2">
        <f ca="1"/>
        <v>1.0005130477806905</v>
      </c>
      <c r="X7043" s="2">
        <f ca="1"/>
        <v>48.798756296904251</v>
      </c>
      <c r="AG7043" s="2">
        <f ca="1"/>
        <v>0.73668077359610473</v>
      </c>
      <c r="AH7043" s="2" t="str">
        <f ca="1"/>
        <v>Bad</v>
      </c>
    </row>
    <row r="7044" spans="2:34">
      <c r="B7044" s="2">
        <f ca="1"/>
        <v>5.3323591064377673E-2</v>
      </c>
      <c r="O7044" s="2">
        <f ca="1"/>
        <v>0.99969933559544266</v>
      </c>
      <c r="X7044" s="2">
        <f ca="1"/>
        <v>49.038876490040224</v>
      </c>
      <c r="AG7044" s="2">
        <f ca="1"/>
        <v>0.18459055488423481</v>
      </c>
      <c r="AH7044" s="2" t="str">
        <f ca="1"/>
        <v>OK</v>
      </c>
    </row>
    <row r="7045" spans="2:34">
      <c r="B7045" s="2">
        <f ca="1"/>
        <v>0.49257778007449704</v>
      </c>
      <c r="O7045" s="2">
        <f ca="1"/>
        <v>-0.94141175802856902</v>
      </c>
      <c r="X7045" s="2">
        <f ca="1"/>
        <v>48.786681601467549</v>
      </c>
      <c r="AG7045" s="2">
        <f ca="1"/>
        <v>4.8760817477013774E-3</v>
      </c>
      <c r="AH7045" s="2" t="str">
        <f ca="1"/>
        <v>Good</v>
      </c>
    </row>
    <row r="7046" spans="2:34">
      <c r="B7046" s="2">
        <f ca="1"/>
        <v>0.81574089732656163</v>
      </c>
      <c r="O7046" s="2">
        <f ca="1"/>
        <v>-1.4116172167745573</v>
      </c>
      <c r="X7046" s="2">
        <f ca="1"/>
        <v>64.720240477872963</v>
      </c>
      <c r="AG7046" s="2">
        <f ca="1"/>
        <v>0.65974015499657757</v>
      </c>
      <c r="AH7046" s="2" t="str">
        <f ca="1"/>
        <v>Bad</v>
      </c>
    </row>
    <row r="7047" spans="2:34">
      <c r="B7047" s="2">
        <f ca="1"/>
        <v>0.96257993595443603</v>
      </c>
      <c r="O7047" s="2">
        <f ca="1"/>
        <v>-0.18936861745262992</v>
      </c>
      <c r="X7047" s="2">
        <f ca="1"/>
        <v>23.675782365096765</v>
      </c>
      <c r="AG7047" s="2">
        <f ca="1"/>
        <v>0.33681952539430959</v>
      </c>
      <c r="AH7047" s="2" t="str">
        <f ca="1"/>
        <v>OK</v>
      </c>
    </row>
    <row r="7048" spans="2:34">
      <c r="B7048" s="2">
        <f ca="1"/>
        <v>0.87034074838131947</v>
      </c>
      <c r="O7048" s="2">
        <f ca="1"/>
        <v>-1.0356649979119472</v>
      </c>
      <c r="X7048" s="2">
        <f ca="1"/>
        <v>68.457598132671535</v>
      </c>
      <c r="AG7048" s="2">
        <f ca="1"/>
        <v>0.76800371288078684</v>
      </c>
      <c r="AH7048" s="2" t="str">
        <f ca="1"/>
        <v>Bad</v>
      </c>
    </row>
    <row r="7049" spans="2:34">
      <c r="B7049" s="2">
        <f ca="1"/>
        <v>0.71390358295609535</v>
      </c>
      <c r="O7049" s="2">
        <f ca="1"/>
        <v>0.64154194239311391</v>
      </c>
      <c r="X7049" s="2">
        <f ca="1"/>
        <v>56.12887168753435</v>
      </c>
      <c r="AG7049" s="2">
        <f ca="1"/>
        <v>0.17433450826807317</v>
      </c>
      <c r="AH7049" s="2" t="str">
        <f ca="1"/>
        <v>OK</v>
      </c>
    </row>
    <row r="7050" spans="2:34">
      <c r="B7050" s="2">
        <f ca="1"/>
        <v>0.10025668379249408</v>
      </c>
      <c r="O7050" s="2">
        <f ca="1"/>
        <v>2.4449939710203106</v>
      </c>
      <c r="X7050" s="2">
        <f ca="1"/>
        <v>32.649476718505305</v>
      </c>
      <c r="AG7050" s="2">
        <f ca="1"/>
        <v>0.64269121373365645</v>
      </c>
      <c r="AH7050" s="2" t="str">
        <f ca="1"/>
        <v>Bad</v>
      </c>
    </row>
    <row r="7051" spans="2:34">
      <c r="B7051" s="2">
        <f ca="1"/>
        <v>0.16544181179688611</v>
      </c>
      <c r="O7051" s="2">
        <f ca="1"/>
        <v>-4.6441131193761927E-2</v>
      </c>
      <c r="X7051" s="2">
        <f ca="1"/>
        <v>40.531578634653307</v>
      </c>
      <c r="AG7051" s="2">
        <f ca="1"/>
        <v>0.67960872335476608</v>
      </c>
      <c r="AH7051" s="2" t="str">
        <f ca="1"/>
        <v>Bad</v>
      </c>
    </row>
    <row r="7052" spans="2:34">
      <c r="B7052" s="2">
        <f ca="1"/>
        <v>0.44345893741006326</v>
      </c>
      <c r="O7052" s="2">
        <f ca="1"/>
        <v>1.3309045757228146</v>
      </c>
      <c r="X7052" s="2">
        <f ca="1"/>
        <v>88.439194941537551</v>
      </c>
      <c r="AG7052" s="2">
        <f ca="1"/>
        <v>0.37584994788740245</v>
      </c>
      <c r="AH7052" s="2" t="str">
        <f ca="1"/>
        <v>OK</v>
      </c>
    </row>
    <row r="7053" spans="2:34">
      <c r="B7053" s="2">
        <f ca="1"/>
        <v>0.81359121571711501</v>
      </c>
      <c r="O7053" s="2">
        <f ca="1"/>
        <v>-0.28026940957799512</v>
      </c>
      <c r="X7053" s="2">
        <f ca="1"/>
        <v>61.560632577232113</v>
      </c>
      <c r="AG7053" s="2">
        <f ca="1"/>
        <v>0.63152104531058928</v>
      </c>
      <c r="AH7053" s="2" t="str">
        <f ca="1"/>
        <v>Bad</v>
      </c>
    </row>
    <row r="7054" spans="2:34">
      <c r="B7054" s="2">
        <f ca="1"/>
        <v>0.63416595837919743</v>
      </c>
      <c r="O7054" s="2">
        <f ca="1"/>
        <v>1.1558044640527396</v>
      </c>
      <c r="X7054" s="2">
        <f ca="1"/>
        <v>55.834911433167981</v>
      </c>
      <c r="AG7054" s="2">
        <f ca="1"/>
        <v>0.42939274177208353</v>
      </c>
      <c r="AH7054" s="2" t="str">
        <f ca="1"/>
        <v>Bad</v>
      </c>
    </row>
    <row r="7055" spans="2:34">
      <c r="B7055" s="2">
        <f ca="1"/>
        <v>0.73831268722533161</v>
      </c>
      <c r="O7055" s="2">
        <f ca="1"/>
        <v>-0.3523925657617244</v>
      </c>
      <c r="X7055" s="2">
        <f ca="1"/>
        <v>46.165814452440721</v>
      </c>
      <c r="AG7055" s="2">
        <f ca="1"/>
        <v>0.33042835509896973</v>
      </c>
      <c r="AH7055" s="2" t="str">
        <f ca="1"/>
        <v>OK</v>
      </c>
    </row>
    <row r="7056" spans="2:34">
      <c r="B7056" s="2">
        <f ca="1"/>
        <v>0.9256579875744011</v>
      </c>
      <c r="O7056" s="2">
        <f ca="1"/>
        <v>1.5811965284898883E-2</v>
      </c>
      <c r="X7056" s="2">
        <f ca="1"/>
        <v>42.185300090085036</v>
      </c>
      <c r="AG7056" s="2">
        <f ca="1"/>
        <v>0.6932946023668074</v>
      </c>
      <c r="AH7056" s="2" t="str">
        <f ca="1"/>
        <v>Bad</v>
      </c>
    </row>
    <row r="7057" spans="2:34">
      <c r="B7057" s="2">
        <f ca="1"/>
        <v>0.85303538574890903</v>
      </c>
      <c r="O7057" s="2">
        <f ca="1"/>
        <v>0.39363485950846816</v>
      </c>
      <c r="X7057" s="2">
        <f ca="1"/>
        <v>28.877242882807241</v>
      </c>
      <c r="AG7057" s="2">
        <f ca="1"/>
        <v>0.8937382650534007</v>
      </c>
      <c r="AH7057" s="2" t="str">
        <f ca="1"/>
        <v>Bad</v>
      </c>
    </row>
    <row r="7058" spans="2:34">
      <c r="B7058" s="2">
        <f ca="1"/>
        <v>0.14734874620476668</v>
      </c>
      <c r="O7058" s="2">
        <f ca="1"/>
        <v>-0.21658220111531329</v>
      </c>
      <c r="X7058" s="2">
        <f ca="1"/>
        <v>64.598651135391833</v>
      </c>
      <c r="AG7058" s="2">
        <f ca="1"/>
        <v>0.74785572951721013</v>
      </c>
      <c r="AH7058" s="2" t="str">
        <f ca="1"/>
        <v>Bad</v>
      </c>
    </row>
    <row r="7059" spans="2:34">
      <c r="B7059" s="2">
        <f ca="1"/>
        <v>0.91952099674760501</v>
      </c>
      <c r="O7059" s="2">
        <f ca="1"/>
        <v>0.64502038273496576</v>
      </c>
      <c r="X7059" s="2">
        <f ca="1"/>
        <v>43.288631287763984</v>
      </c>
      <c r="AG7059" s="2">
        <f ca="1"/>
        <v>0.94874353325344485</v>
      </c>
      <c r="AH7059" s="2" t="str">
        <f ca="1"/>
        <v>Bad</v>
      </c>
    </row>
    <row r="7060" spans="2:34">
      <c r="B7060" s="2">
        <f ca="1"/>
        <v>0.79793224105082805</v>
      </c>
      <c r="O7060" s="2">
        <f ca="1"/>
        <v>0.48364236666631222</v>
      </c>
      <c r="X7060" s="2">
        <f ca="1"/>
        <v>80.208099942475855</v>
      </c>
      <c r="AG7060" s="2">
        <f ca="1"/>
        <v>0.30479645547746581</v>
      </c>
      <c r="AH7060" s="2" t="str">
        <f ca="1"/>
        <v>OK</v>
      </c>
    </row>
    <row r="7061" spans="2:34">
      <c r="B7061" s="2">
        <f ca="1"/>
        <v>7.3388180542396597E-2</v>
      </c>
      <c r="O7061" s="2">
        <f ca="1"/>
        <v>-1.1052343672641893</v>
      </c>
      <c r="X7061" s="2">
        <f ca="1"/>
        <v>40.947384855437832</v>
      </c>
      <c r="AG7061" s="2">
        <f ca="1"/>
        <v>0.43235637113589154</v>
      </c>
      <c r="AH7061" s="2" t="str">
        <f ca="1"/>
        <v>Bad</v>
      </c>
    </row>
    <row r="7062" spans="2:34">
      <c r="B7062" s="2">
        <f ca="1"/>
        <v>0.40696425868085839</v>
      </c>
      <c r="O7062" s="2">
        <f ca="1"/>
        <v>-0.53850459312749099</v>
      </c>
      <c r="X7062" s="2">
        <f ca="1"/>
        <v>52.991600191581298</v>
      </c>
      <c r="AG7062" s="2">
        <f ca="1"/>
        <v>0.80627751215020393</v>
      </c>
      <c r="AH7062" s="2" t="str">
        <f ca="1"/>
        <v>Bad</v>
      </c>
    </row>
    <row r="7063" spans="2:34">
      <c r="B7063" s="2">
        <f ca="1"/>
        <v>0.93873465423804792</v>
      </c>
      <c r="O7063" s="2">
        <f ca="1"/>
        <v>-6.9256490087044598E-2</v>
      </c>
      <c r="X7063" s="2">
        <f ca="1"/>
        <v>50.97154868675868</v>
      </c>
      <c r="AG7063" s="2">
        <f ca="1"/>
        <v>0.5528929543034995</v>
      </c>
      <c r="AH7063" s="2" t="str">
        <f ca="1"/>
        <v>Bad</v>
      </c>
    </row>
    <row r="7064" spans="2:34">
      <c r="B7064" s="2">
        <f ca="1"/>
        <v>1.0873887095393941E-2</v>
      </c>
      <c r="O7064" s="2">
        <f ca="1"/>
        <v>0.54682090468322575</v>
      </c>
      <c r="X7064" s="2">
        <f ca="1"/>
        <v>39.054871656762884</v>
      </c>
      <c r="AG7064" s="2">
        <f ca="1"/>
        <v>0.27501426491561665</v>
      </c>
      <c r="AH7064" s="2" t="str">
        <f ca="1"/>
        <v>OK</v>
      </c>
    </row>
    <row r="7065" spans="2:34">
      <c r="B7065" s="2">
        <f ca="1"/>
        <v>0.36520701248025067</v>
      </c>
      <c r="O7065" s="2">
        <f ca="1"/>
        <v>0.37385458876902361</v>
      </c>
      <c r="X7065" s="2">
        <f ca="1"/>
        <v>84.121797200203176</v>
      </c>
      <c r="AG7065" s="2">
        <f ca="1"/>
        <v>0.20888551424662594</v>
      </c>
      <c r="AH7065" s="2" t="str">
        <f ca="1"/>
        <v>OK</v>
      </c>
    </row>
    <row r="7066" spans="2:34">
      <c r="B7066" s="2">
        <f ca="1"/>
        <v>0.56582733886565229</v>
      </c>
      <c r="O7066" s="2">
        <f ca="1"/>
        <v>-0.34529286617714416</v>
      </c>
      <c r="X7066" s="2">
        <f ca="1"/>
        <v>41.325324291054663</v>
      </c>
      <c r="AG7066" s="2">
        <f ca="1"/>
        <v>0.34783407244708209</v>
      </c>
      <c r="AH7066" s="2" t="str">
        <f ca="1"/>
        <v>OK</v>
      </c>
    </row>
    <row r="7067" spans="2:34">
      <c r="B7067" s="2">
        <f ca="1"/>
        <v>0.37235885263435686</v>
      </c>
      <c r="O7067" s="2">
        <f ca="1"/>
        <v>1.9325752205559519</v>
      </c>
      <c r="X7067" s="2">
        <f ca="1"/>
        <v>83.142137962226627</v>
      </c>
      <c r="AG7067" s="2">
        <f ca="1"/>
        <v>0.36693073706357038</v>
      </c>
      <c r="AH7067" s="2" t="str">
        <f ca="1"/>
        <v>OK</v>
      </c>
    </row>
    <row r="7068" spans="2:34">
      <c r="B7068" s="2">
        <f ca="1"/>
        <v>0.39456875009027814</v>
      </c>
      <c r="O7068" s="2">
        <f ca="1"/>
        <v>-0.78911952102762761</v>
      </c>
      <c r="X7068" s="2">
        <f ca="1"/>
        <v>52.902444099545214</v>
      </c>
      <c r="AG7068" s="2">
        <f ca="1"/>
        <v>0.24987285860245967</v>
      </c>
      <c r="AH7068" s="2" t="str">
        <f ca="1"/>
        <v>OK</v>
      </c>
    </row>
    <row r="7069" spans="2:34">
      <c r="B7069" s="2">
        <f ca="1"/>
        <v>0.94851055034292964</v>
      </c>
      <c r="O7069" s="2">
        <f ca="1"/>
        <v>0.46754996750582178</v>
      </c>
      <c r="X7069" s="2">
        <f ca="1"/>
        <v>65.234723953603023</v>
      </c>
      <c r="AG7069" s="2">
        <f ca="1"/>
        <v>0.74869707458374601</v>
      </c>
      <c r="AH7069" s="2" t="str">
        <f ca="1"/>
        <v>Bad</v>
      </c>
    </row>
    <row r="7070" spans="2:34">
      <c r="B7070" s="2">
        <f ca="1"/>
        <v>0.45076206613750269</v>
      </c>
      <c r="O7070" s="2">
        <f ca="1"/>
        <v>-1.5710397246392398</v>
      </c>
      <c r="X7070" s="2">
        <f ca="1"/>
        <v>67.364543785666811</v>
      </c>
      <c r="AG7070" s="2">
        <f ca="1"/>
        <v>2.1351867519891821E-2</v>
      </c>
      <c r="AH7070" s="2" t="str">
        <f ca="1"/>
        <v>Good</v>
      </c>
    </row>
    <row r="7071" spans="2:34">
      <c r="B7071" s="2">
        <f ca="1"/>
        <v>0.58116737472918834</v>
      </c>
      <c r="O7071" s="2">
        <f ca="1"/>
        <v>-0.64264370893946765</v>
      </c>
      <c r="X7071" s="2">
        <f ca="1"/>
        <v>18.709161621689169</v>
      </c>
      <c r="AG7071" s="2">
        <f ca="1"/>
        <v>0.41323444432056267</v>
      </c>
      <c r="AH7071" s="2" t="str">
        <f ca="1"/>
        <v>Bad</v>
      </c>
    </row>
    <row r="7072" spans="2:34">
      <c r="B7072" s="2">
        <f ca="1"/>
        <v>0.63394072156456405</v>
      </c>
      <c r="O7072" s="2">
        <f ca="1"/>
        <v>-1.1676260251544295</v>
      </c>
      <c r="X7072" s="2">
        <f ca="1"/>
        <v>49.280648111972468</v>
      </c>
      <c r="AG7072" s="2">
        <f ca="1"/>
        <v>0.17109119390333438</v>
      </c>
      <c r="AH7072" s="2" t="str">
        <f ca="1"/>
        <v>OK</v>
      </c>
    </row>
    <row r="7073" spans="2:34">
      <c r="B7073" s="2">
        <f ca="1"/>
        <v>7.9580838384150088E-2</v>
      </c>
      <c r="O7073" s="2">
        <f ca="1"/>
        <v>1.2784443741309541</v>
      </c>
      <c r="X7073" s="2">
        <f ca="1"/>
        <v>40.979828037307151</v>
      </c>
      <c r="AG7073" s="2">
        <f ca="1"/>
        <v>0.91350424708387434</v>
      </c>
      <c r="AH7073" s="2" t="str">
        <f ca="1"/>
        <v>Bad</v>
      </c>
    </row>
    <row r="7074" spans="2:34">
      <c r="B7074" s="2">
        <f ca="1"/>
        <v>3.8064021700504824E-2</v>
      </c>
      <c r="O7074" s="2">
        <f ca="1"/>
        <v>-7.6916071877803735E-2</v>
      </c>
      <c r="X7074" s="2">
        <f ca="1"/>
        <v>73.588761138987849</v>
      </c>
      <c r="AG7074" s="2">
        <f ca="1"/>
        <v>0.18052621008400749</v>
      </c>
      <c r="AH7074" s="2" t="str">
        <f ca="1"/>
        <v>OK</v>
      </c>
    </row>
    <row r="7075" spans="2:34">
      <c r="B7075" s="2">
        <f ca="1"/>
        <v>0.60878286560735462</v>
      </c>
      <c r="O7075" s="2">
        <f ca="1"/>
        <v>-0.51426992117594916</v>
      </c>
      <c r="X7075" s="2">
        <f ca="1"/>
        <v>72.284842899418862</v>
      </c>
      <c r="AG7075" s="2">
        <f ca="1"/>
        <v>0.53477861918058589</v>
      </c>
      <c r="AH7075" s="2" t="str">
        <f ca="1"/>
        <v>Bad</v>
      </c>
    </row>
    <row r="7076" spans="2:34">
      <c r="B7076" s="2">
        <f ca="1"/>
        <v>0.29130711550040389</v>
      </c>
      <c r="O7076" s="2">
        <f ca="1"/>
        <v>0.99265817895275676</v>
      </c>
      <c r="X7076" s="2">
        <f ca="1"/>
        <v>39.256685500760547</v>
      </c>
      <c r="AG7076" s="2">
        <f ca="1"/>
        <v>0.47677889726987877</v>
      </c>
      <c r="AH7076" s="2" t="str">
        <f ca="1"/>
        <v>Bad</v>
      </c>
    </row>
    <row r="7077" spans="2:34">
      <c r="B7077" s="2">
        <f ca="1"/>
        <v>0.20139115488896553</v>
      </c>
      <c r="O7077" s="2">
        <f ca="1"/>
        <v>-2.2908646473752907</v>
      </c>
      <c r="X7077" s="2">
        <f ca="1"/>
        <v>33.888164979750897</v>
      </c>
      <c r="AG7077" s="2">
        <f ca="1"/>
        <v>0.59618302571534776</v>
      </c>
      <c r="AH7077" s="2" t="str">
        <f ca="1"/>
        <v>Bad</v>
      </c>
    </row>
    <row r="7078" spans="2:34">
      <c r="B7078" s="2">
        <f ca="1"/>
        <v>8.2183908091663316E-2</v>
      </c>
      <c r="O7078" s="2">
        <f ca="1"/>
        <v>2.428135875493175</v>
      </c>
      <c r="X7078" s="2">
        <f ca="1"/>
        <v>88.685308164317661</v>
      </c>
      <c r="AG7078" s="2">
        <f ca="1"/>
        <v>0.22379743527457996</v>
      </c>
      <c r="AH7078" s="2" t="str">
        <f ca="1"/>
        <v>OK</v>
      </c>
    </row>
    <row r="7079" spans="2:34">
      <c r="B7079" s="2">
        <f ca="1"/>
        <v>0.95805281909541251</v>
      </c>
      <c r="O7079" s="2">
        <f ca="1"/>
        <v>1.0346194504946868</v>
      </c>
      <c r="X7079" s="2">
        <f ca="1"/>
        <v>45.559160584861218</v>
      </c>
      <c r="AG7079" s="2">
        <f ca="1"/>
        <v>0.18214221915278439</v>
      </c>
      <c r="AH7079" s="2" t="str">
        <f ca="1"/>
        <v>OK</v>
      </c>
    </row>
    <row r="7080" spans="2:34">
      <c r="B7080" s="2">
        <f ca="1"/>
        <v>0.95679511275718854</v>
      </c>
      <c r="O7080" s="2">
        <f ca="1"/>
        <v>0.50971106275797151</v>
      </c>
      <c r="X7080" s="2">
        <f ca="1"/>
        <v>39.657492182227386</v>
      </c>
      <c r="AG7080" s="2">
        <f ca="1"/>
        <v>0.93297365187040682</v>
      </c>
      <c r="AH7080" s="2" t="str">
        <f ca="1"/>
        <v>Bad</v>
      </c>
    </row>
    <row r="7081" spans="2:34">
      <c r="B7081" s="2">
        <f ca="1"/>
        <v>0.10708071684536891</v>
      </c>
      <c r="O7081" s="2">
        <f ca="1"/>
        <v>-1.544551282272181</v>
      </c>
      <c r="X7081" s="2">
        <f ca="1"/>
        <v>53.459148302495976</v>
      </c>
      <c r="AG7081" s="2">
        <f ca="1"/>
        <v>3.7394365231656623E-2</v>
      </c>
      <c r="AH7081" s="2" t="str">
        <f ca="1"/>
        <v>Good</v>
      </c>
    </row>
    <row r="7082" spans="2:34">
      <c r="B7082" s="2">
        <f ca="1"/>
        <v>0.22447841805806878</v>
      </c>
      <c r="O7082" s="2">
        <f ca="1"/>
        <v>-1.0577756777444598</v>
      </c>
      <c r="X7082" s="2">
        <f ca="1"/>
        <v>51.708378172620627</v>
      </c>
      <c r="AG7082" s="2">
        <f ca="1"/>
        <v>0.66302851132690543</v>
      </c>
      <c r="AH7082" s="2" t="str">
        <f ca="1"/>
        <v>Bad</v>
      </c>
    </row>
    <row r="7083" spans="2:34">
      <c r="B7083" s="2">
        <f ca="1"/>
        <v>0.22642722710826368</v>
      </c>
      <c r="O7083" s="2">
        <f ca="1"/>
        <v>-0.28099548321197837</v>
      </c>
      <c r="X7083" s="2">
        <f ca="1"/>
        <v>25.49722315921818</v>
      </c>
      <c r="AG7083" s="2">
        <f ca="1"/>
        <v>0.37270380722159224</v>
      </c>
      <c r="AH7083" s="2" t="str">
        <f ca="1"/>
        <v>OK</v>
      </c>
    </row>
    <row r="7084" spans="2:34">
      <c r="B7084" s="2">
        <f ca="1"/>
        <v>0.6940508806638197</v>
      </c>
      <c r="O7084" s="2">
        <f ca="1"/>
        <v>1.3244727248174373</v>
      </c>
      <c r="X7084" s="2">
        <f ca="1"/>
        <v>31.307397896121046</v>
      </c>
      <c r="AG7084" s="2">
        <f ca="1"/>
        <v>0.71882238286564237</v>
      </c>
      <c r="AH7084" s="2" t="str">
        <f ca="1"/>
        <v>Bad</v>
      </c>
    </row>
    <row r="7085" spans="2:34">
      <c r="B7085" s="2">
        <f ca="1"/>
        <v>0.91238742974631792</v>
      </c>
      <c r="O7085" s="2">
        <f ca="1"/>
        <v>1.1927601551890723</v>
      </c>
      <c r="X7085" s="2">
        <f ca="1"/>
        <v>44.160561034846921</v>
      </c>
      <c r="AG7085" s="2">
        <f ca="1"/>
        <v>0.86576602032915373</v>
      </c>
      <c r="AH7085" s="2" t="str">
        <f ca="1"/>
        <v>Bad</v>
      </c>
    </row>
    <row r="7086" spans="2:34">
      <c r="B7086" s="2">
        <f ca="1"/>
        <v>0.64622310221057178</v>
      </c>
      <c r="O7086" s="2">
        <f ca="1"/>
        <v>1.4912155547857282</v>
      </c>
      <c r="X7086" s="2">
        <f ca="1"/>
        <v>48.89738703941336</v>
      </c>
      <c r="AG7086" s="2">
        <f ca="1"/>
        <v>0.91604411422748155</v>
      </c>
      <c r="AH7086" s="2" t="str">
        <f ca="1"/>
        <v>Bad</v>
      </c>
    </row>
    <row r="7087" spans="2:34">
      <c r="B7087" s="2">
        <f ca="1"/>
        <v>0.10399168560677685</v>
      </c>
      <c r="O7087" s="2">
        <f ca="1"/>
        <v>-0.58591747855393861</v>
      </c>
      <c r="X7087" s="2">
        <f ca="1"/>
        <v>44.084279781067785</v>
      </c>
      <c r="AG7087" s="2">
        <f ca="1"/>
        <v>0.36183667355966742</v>
      </c>
      <c r="AH7087" s="2" t="str">
        <f ca="1"/>
        <v>OK</v>
      </c>
    </row>
    <row r="7088" spans="2:34">
      <c r="B7088" s="2">
        <f ca="1"/>
        <v>0.7285204102612286</v>
      </c>
      <c r="O7088" s="2">
        <f ca="1"/>
        <v>1.1317563614243917</v>
      </c>
      <c r="X7088" s="2">
        <f ca="1"/>
        <v>47.736175220715282</v>
      </c>
      <c r="AG7088" s="2">
        <f ca="1"/>
        <v>0.36838862107421533</v>
      </c>
      <c r="AH7088" s="2" t="str">
        <f ca="1"/>
        <v>OK</v>
      </c>
    </row>
    <row r="7089" spans="2:34">
      <c r="B7089" s="2">
        <f ca="1"/>
        <v>0.74278448090247329</v>
      </c>
      <c r="O7089" s="2">
        <f ca="1"/>
        <v>0.51412311628909013</v>
      </c>
      <c r="X7089" s="2">
        <f ca="1"/>
        <v>40.711194890304505</v>
      </c>
      <c r="AG7089" s="2">
        <f ca="1"/>
        <v>0.60228526331405186</v>
      </c>
      <c r="AH7089" s="2" t="str">
        <f ca="1"/>
        <v>Bad</v>
      </c>
    </row>
    <row r="7090" spans="2:34">
      <c r="B7090" s="2">
        <f ca="1"/>
        <v>0.77241025152097298</v>
      </c>
      <c r="O7090" s="2">
        <f ca="1"/>
        <v>1.0522783489288763</v>
      </c>
      <c r="X7090" s="2">
        <f ca="1"/>
        <v>38.385784695952005</v>
      </c>
      <c r="AG7090" s="2">
        <f ca="1"/>
        <v>0.64617552235422848</v>
      </c>
      <c r="AH7090" s="2" t="str">
        <f ca="1"/>
        <v>Bad</v>
      </c>
    </row>
    <row r="7091" spans="2:34">
      <c r="B7091" s="2">
        <f ca="1"/>
        <v>9.0496443407489968E-2</v>
      </c>
      <c r="O7091" s="2">
        <f ca="1"/>
        <v>-0.55855951878683008</v>
      </c>
      <c r="X7091" s="2">
        <f ca="1"/>
        <v>53.329326859785802</v>
      </c>
      <c r="AG7091" s="2">
        <f ca="1"/>
        <v>0.4672247380458705</v>
      </c>
      <c r="AH7091" s="2" t="str">
        <f ca="1"/>
        <v>Bad</v>
      </c>
    </row>
    <row r="7092" spans="2:34">
      <c r="B7092" s="2">
        <f ca="1"/>
        <v>0.8148662181376356</v>
      </c>
      <c r="O7092" s="2">
        <f ca="1"/>
        <v>-0.66623827487271703</v>
      </c>
      <c r="X7092" s="2">
        <f ca="1"/>
        <v>49.033862088910467</v>
      </c>
      <c r="AG7092" s="2">
        <f ca="1"/>
        <v>0.17423725317712724</v>
      </c>
      <c r="AH7092" s="2" t="str">
        <f ca="1"/>
        <v>OK</v>
      </c>
    </row>
    <row r="7093" spans="2:34">
      <c r="B7093" s="2">
        <f ca="1"/>
        <v>0.4115282818449304</v>
      </c>
      <c r="O7093" s="2">
        <f ca="1"/>
        <v>4.2922020307765402E-2</v>
      </c>
      <c r="X7093" s="2">
        <f ca="1"/>
        <v>47.361366849235644</v>
      </c>
      <c r="AG7093" s="2">
        <f ca="1"/>
        <v>0.53722596949668322</v>
      </c>
      <c r="AH7093" s="2" t="str">
        <f ca="1"/>
        <v>Bad</v>
      </c>
    </row>
    <row r="7094" spans="2:34">
      <c r="B7094" s="2">
        <f ca="1"/>
        <v>0.30396884710921834</v>
      </c>
      <c r="O7094" s="2">
        <f ca="1"/>
        <v>-0.55575440875775051</v>
      </c>
      <c r="X7094" s="2">
        <f ca="1"/>
        <v>41.983266409765967</v>
      </c>
      <c r="AG7094" s="2">
        <f ca="1"/>
        <v>0.36574934855737951</v>
      </c>
      <c r="AH7094" s="2" t="str">
        <f ca="1"/>
        <v>OK</v>
      </c>
    </row>
    <row r="7095" spans="2:34">
      <c r="B7095" s="2">
        <f ca="1"/>
        <v>0.23162495869526234</v>
      </c>
      <c r="O7095" s="2">
        <f ca="1"/>
        <v>-1.1444094772896316</v>
      </c>
      <c r="X7095" s="2">
        <f ca="1"/>
        <v>89.7103683331799</v>
      </c>
      <c r="AG7095" s="2">
        <f ca="1"/>
        <v>0.82592507076609545</v>
      </c>
      <c r="AH7095" s="2" t="str">
        <f ca="1"/>
        <v>Bad</v>
      </c>
    </row>
    <row r="7096" spans="2:34">
      <c r="B7096" s="2">
        <f ca="1"/>
        <v>0.75408595790517863</v>
      </c>
      <c r="O7096" s="2">
        <f ca="1"/>
        <v>0.67168363311279777</v>
      </c>
      <c r="X7096" s="2">
        <f ca="1"/>
        <v>42.541994025156782</v>
      </c>
      <c r="AG7096" s="2">
        <f ca="1"/>
        <v>0.416475431408178</v>
      </c>
      <c r="AH7096" s="2" t="str">
        <f ca="1"/>
        <v>Bad</v>
      </c>
    </row>
    <row r="7097" spans="2:34">
      <c r="B7097" s="2">
        <f ca="1"/>
        <v>0.49182611116288788</v>
      </c>
      <c r="O7097" s="2">
        <f ca="1"/>
        <v>-1.1155926741242381</v>
      </c>
      <c r="X7097" s="2">
        <f ca="1"/>
        <v>74.518760252098431</v>
      </c>
      <c r="AG7097" s="2">
        <f ca="1"/>
        <v>6.5889627741411161E-4</v>
      </c>
      <c r="AH7097" s="2" t="str">
        <f ca="1"/>
        <v>Good</v>
      </c>
    </row>
    <row r="7098" spans="2:34">
      <c r="B7098" s="2">
        <f ca="1"/>
        <v>0.59396801335437321</v>
      </c>
      <c r="O7098" s="2">
        <f ca="1"/>
        <v>-1.8192898681712142</v>
      </c>
      <c r="X7098" s="2">
        <f ca="1"/>
        <v>58.402514022481768</v>
      </c>
      <c r="AG7098" s="2">
        <f ca="1"/>
        <v>0.7650959749647781</v>
      </c>
      <c r="AH7098" s="2" t="str">
        <f ca="1"/>
        <v>Bad</v>
      </c>
    </row>
    <row r="7099" spans="2:34">
      <c r="B7099" s="2">
        <f ca="1"/>
        <v>0.27262732444759652</v>
      </c>
      <c r="O7099" s="2">
        <f ca="1"/>
        <v>-0.39886561760190875</v>
      </c>
      <c r="X7099" s="2">
        <f ca="1"/>
        <v>39.136221890747308</v>
      </c>
      <c r="AG7099" s="2">
        <f ca="1"/>
        <v>0.21636276046428526</v>
      </c>
      <c r="AH7099" s="2" t="str">
        <f ca="1"/>
        <v>OK</v>
      </c>
    </row>
    <row r="7100" spans="2:34">
      <c r="B7100" s="2">
        <f ca="1"/>
        <v>0.89235407022718483</v>
      </c>
      <c r="O7100" s="2">
        <f ca="1"/>
        <v>1.1748340787802478</v>
      </c>
      <c r="X7100" s="2">
        <f ca="1"/>
        <v>73.693934822936185</v>
      </c>
      <c r="AG7100" s="2">
        <f ca="1"/>
        <v>0.57928039475527604</v>
      </c>
      <c r="AH7100" s="2" t="str">
        <f ca="1"/>
        <v>Bad</v>
      </c>
    </row>
    <row r="7101" spans="2:34">
      <c r="B7101" s="2">
        <f ca="1"/>
        <v>0.50941704544386024</v>
      </c>
      <c r="O7101" s="2">
        <f ca="1"/>
        <v>-0.17586522755039022</v>
      </c>
      <c r="X7101" s="2">
        <f ca="1"/>
        <v>76.611421008668742</v>
      </c>
      <c r="AG7101" s="2">
        <f ca="1"/>
        <v>0.12874887563739157</v>
      </c>
      <c r="AH7101" s="2" t="str">
        <f ca="1"/>
        <v>OK</v>
      </c>
    </row>
    <row r="7102" spans="2:34">
      <c r="B7102" s="2">
        <f ca="1"/>
        <v>0.97627304673321524</v>
      </c>
      <c r="O7102" s="2">
        <f ca="1"/>
        <v>-0.59207979234098795</v>
      </c>
      <c r="X7102" s="2">
        <f ca="1"/>
        <v>30.27541349138518</v>
      </c>
      <c r="AG7102" s="2">
        <f ca="1"/>
        <v>0.62434075872401307</v>
      </c>
      <c r="AH7102" s="2" t="str">
        <f ca="1"/>
        <v>Bad</v>
      </c>
    </row>
    <row r="7103" spans="2:34">
      <c r="B7103" s="2">
        <f ca="1"/>
        <v>0.27961258807029887</v>
      </c>
      <c r="O7103" s="2">
        <f ca="1"/>
        <v>0.18838185486553466</v>
      </c>
      <c r="X7103" s="2">
        <f ca="1"/>
        <v>41.848886118974789</v>
      </c>
      <c r="AG7103" s="2">
        <f ca="1"/>
        <v>1.8526919532436681E-2</v>
      </c>
      <c r="AH7103" s="2" t="str">
        <f ca="1"/>
        <v>Good</v>
      </c>
    </row>
    <row r="7104" spans="2:34">
      <c r="B7104" s="2">
        <f ca="1"/>
        <v>0.73817147059992738</v>
      </c>
      <c r="O7104" s="2">
        <f ca="1"/>
        <v>1.7209216676033374</v>
      </c>
      <c r="X7104" s="2">
        <f ca="1"/>
        <v>64.759679827312709</v>
      </c>
      <c r="AG7104" s="2">
        <f ca="1"/>
        <v>0.83094039102520134</v>
      </c>
      <c r="AH7104" s="2" t="str">
        <f ca="1"/>
        <v>Bad</v>
      </c>
    </row>
    <row r="7105" spans="2:34">
      <c r="B7105" s="2">
        <f ca="1"/>
        <v>0.39234074600314806</v>
      </c>
      <c r="O7105" s="2">
        <f ca="1"/>
        <v>-1.485927378463556</v>
      </c>
      <c r="X7105" s="2">
        <f ca="1"/>
        <v>57.423439277685418</v>
      </c>
      <c r="AG7105" s="2">
        <f ca="1"/>
        <v>0.72801128235677304</v>
      </c>
      <c r="AH7105" s="2" t="str">
        <f ca="1"/>
        <v>Bad</v>
      </c>
    </row>
    <row r="7106" spans="2:34">
      <c r="B7106" s="2">
        <f ca="1"/>
        <v>0.36038892872316874</v>
      </c>
      <c r="O7106" s="2">
        <f ca="1"/>
        <v>1.0241674349785608</v>
      </c>
      <c r="X7106" s="2">
        <f ca="1"/>
        <v>55.326512213057448</v>
      </c>
      <c r="AG7106" s="2">
        <f ca="1"/>
        <v>0.61561619855987271</v>
      </c>
      <c r="AH7106" s="2" t="str">
        <f ca="1"/>
        <v>Bad</v>
      </c>
    </row>
    <row r="7107" spans="2:34">
      <c r="B7107" s="2">
        <f ca="1"/>
        <v>0.98805045188699081</v>
      </c>
      <c r="O7107" s="2">
        <f ca="1"/>
        <v>0.44081911077176311</v>
      </c>
      <c r="X7107" s="2">
        <f ca="1"/>
        <v>46.666665939861645</v>
      </c>
      <c r="AG7107" s="2">
        <f ca="1"/>
        <v>0.90384134407739736</v>
      </c>
      <c r="AH7107" s="2" t="str">
        <f ca="1"/>
        <v>Bad</v>
      </c>
    </row>
    <row r="7108" spans="2:34">
      <c r="B7108" s="2">
        <f ca="1"/>
        <v>6.2501615613508088E-2</v>
      </c>
      <c r="O7108" s="2">
        <f ca="1"/>
        <v>-2.0027297309199752</v>
      </c>
      <c r="X7108" s="2">
        <f ca="1"/>
        <v>23.404456195295754</v>
      </c>
      <c r="AG7108" s="2">
        <f ca="1"/>
        <v>0.61658705663847413</v>
      </c>
      <c r="AH7108" s="2" t="str">
        <f ca="1"/>
        <v>Bad</v>
      </c>
    </row>
    <row r="7109" spans="2:34">
      <c r="B7109" s="2">
        <f ca="1"/>
        <v>9.9495121810696752E-2</v>
      </c>
      <c r="O7109" s="2">
        <f ca="1"/>
        <v>-0.71637816899288842</v>
      </c>
      <c r="X7109" s="2">
        <f ca="1"/>
        <v>47.835256862713855</v>
      </c>
      <c r="AG7109" s="2">
        <f ca="1"/>
        <v>0.75510525190585231</v>
      </c>
      <c r="AH7109" s="2" t="str">
        <f ca="1"/>
        <v>Bad</v>
      </c>
    </row>
    <row r="7110" spans="2:34">
      <c r="B7110" s="2">
        <f ca="1"/>
        <v>0.70922413294357067</v>
      </c>
      <c r="O7110" s="2">
        <f ca="1"/>
        <v>-0.87459733408200224</v>
      </c>
      <c r="X7110" s="2">
        <f ca="1"/>
        <v>44.962812369225944</v>
      </c>
      <c r="AG7110" s="2">
        <f ca="1"/>
        <v>8.5834378973712822E-2</v>
      </c>
      <c r="AH7110" s="2" t="str">
        <f ca="1"/>
        <v>OK</v>
      </c>
    </row>
    <row r="7111" spans="2:34">
      <c r="B7111" s="2">
        <f ca="1"/>
        <v>0.44458494790212599</v>
      </c>
      <c r="O7111" s="2">
        <f ca="1"/>
        <v>1.0070140311680429</v>
      </c>
      <c r="X7111" s="2">
        <f ca="1"/>
        <v>70.211418164228689</v>
      </c>
      <c r="AG7111" s="2">
        <f ca="1"/>
        <v>0.4225957613613196</v>
      </c>
      <c r="AH7111" s="2" t="str">
        <f ca="1"/>
        <v>Bad</v>
      </c>
    </row>
    <row r="7112" spans="2:34">
      <c r="B7112" s="2">
        <f ca="1"/>
        <v>0.5374978229145293</v>
      </c>
      <c r="O7112" s="2">
        <f ca="1"/>
        <v>-2.2126389820847172</v>
      </c>
      <c r="X7112" s="2">
        <f ca="1"/>
        <v>41.876110638695216</v>
      </c>
      <c r="AG7112" s="2">
        <f ca="1"/>
        <v>0.33630892916255872</v>
      </c>
      <c r="AH7112" s="2" t="str">
        <f ca="1"/>
        <v>OK</v>
      </c>
    </row>
    <row r="7113" spans="2:34">
      <c r="B7113" s="2">
        <f ca="1"/>
        <v>0.54443616604623335</v>
      </c>
      <c r="O7113" s="2">
        <f ca="1"/>
        <v>0.22695492967328645</v>
      </c>
      <c r="X7113" s="2">
        <f ca="1"/>
        <v>33.679770062802682</v>
      </c>
      <c r="AG7113" s="2">
        <f ca="1"/>
        <v>0.47674037911187073</v>
      </c>
      <c r="AH7113" s="2" t="str">
        <f ca="1"/>
        <v>Bad</v>
      </c>
    </row>
    <row r="7114" spans="2:34">
      <c r="B7114" s="2">
        <f ca="1"/>
        <v>9.5410236724373654E-3</v>
      </c>
      <c r="O7114" s="2">
        <f ca="1"/>
        <v>-0.21342622665807762</v>
      </c>
      <c r="X7114" s="2">
        <f ca="1"/>
        <v>45.44811792757352</v>
      </c>
      <c r="AG7114" s="2">
        <f ca="1"/>
        <v>0.58763188573702174</v>
      </c>
      <c r="AH7114" s="2" t="str">
        <f ca="1"/>
        <v>Bad</v>
      </c>
    </row>
    <row r="7115" spans="2:34">
      <c r="B7115" s="2">
        <f ca="1"/>
        <v>0.35408097215806533</v>
      </c>
      <c r="O7115" s="2">
        <f ca="1"/>
        <v>0.24864690115673635</v>
      </c>
      <c r="X7115" s="2">
        <f ca="1"/>
        <v>43.155231069099983</v>
      </c>
      <c r="AG7115" s="2">
        <f ca="1"/>
        <v>0.2864638627124072</v>
      </c>
      <c r="AH7115" s="2" t="str">
        <f ca="1"/>
        <v>OK</v>
      </c>
    </row>
    <row r="7116" spans="2:34">
      <c r="B7116" s="2">
        <f ca="1"/>
        <v>0.97491351473688925</v>
      </c>
      <c r="O7116" s="2">
        <f ca="1"/>
        <v>1.0335292950580541</v>
      </c>
      <c r="X7116" s="2">
        <f ca="1"/>
        <v>38.116269883143907</v>
      </c>
      <c r="AG7116" s="2">
        <f ca="1"/>
        <v>4.4962052401669395E-2</v>
      </c>
      <c r="AH7116" s="2" t="str">
        <f ca="1"/>
        <v>Good</v>
      </c>
    </row>
    <row r="7117" spans="2:34">
      <c r="B7117" s="2">
        <f ca="1"/>
        <v>0.32227884091481029</v>
      </c>
      <c r="O7117" s="2">
        <f ca="1"/>
        <v>-1.3789410305220138</v>
      </c>
      <c r="X7117" s="2">
        <f ca="1"/>
        <v>45.947478532152189</v>
      </c>
      <c r="AG7117" s="2">
        <f ca="1"/>
        <v>0.33913601020876061</v>
      </c>
      <c r="AH7117" s="2" t="str">
        <f ca="1"/>
        <v>OK</v>
      </c>
    </row>
    <row r="7118" spans="2:34">
      <c r="B7118" s="2">
        <f ca="1"/>
        <v>8.0124457706699737E-2</v>
      </c>
      <c r="O7118" s="2">
        <f ca="1"/>
        <v>-0.42942708341825458</v>
      </c>
      <c r="X7118" s="2">
        <f ca="1"/>
        <v>25.994546833304</v>
      </c>
      <c r="AG7118" s="2">
        <f ca="1"/>
        <v>0.63907852554769629</v>
      </c>
      <c r="AH7118" s="2" t="str">
        <f ca="1"/>
        <v>Bad</v>
      </c>
    </row>
    <row r="7119" spans="2:34">
      <c r="B7119" s="2">
        <f ca="1"/>
        <v>0.63584890006944028</v>
      </c>
      <c r="O7119" s="2">
        <f ca="1"/>
        <v>-1.8141489650457092</v>
      </c>
      <c r="X7119" s="2">
        <f ca="1"/>
        <v>46.83973800038487</v>
      </c>
      <c r="AG7119" s="2">
        <f ca="1"/>
        <v>0.46718266145294129</v>
      </c>
      <c r="AH7119" s="2" t="str">
        <f ca="1"/>
        <v>Bad</v>
      </c>
    </row>
    <row r="7120" spans="2:34">
      <c r="B7120" s="2">
        <f ca="1"/>
        <v>0.25248545545293588</v>
      </c>
      <c r="O7120" s="2">
        <f ca="1"/>
        <v>-1.8785381206194127</v>
      </c>
      <c r="X7120" s="2">
        <f ca="1"/>
        <v>40.158015524752258</v>
      </c>
      <c r="AG7120" s="2">
        <f ca="1"/>
        <v>0.30208996693346246</v>
      </c>
      <c r="AH7120" s="2" t="str">
        <f ca="1"/>
        <v>OK</v>
      </c>
    </row>
    <row r="7121" spans="2:34">
      <c r="B7121" s="2">
        <f ca="1"/>
        <v>0.66538508274483443</v>
      </c>
      <c r="O7121" s="2">
        <f ca="1"/>
        <v>-0.35644782384632384</v>
      </c>
      <c r="X7121" s="2">
        <f ca="1"/>
        <v>47.186547486362372</v>
      </c>
      <c r="AG7121" s="2">
        <f ca="1"/>
        <v>1.4764647449051704E-2</v>
      </c>
      <c r="AH7121" s="2" t="str">
        <f ca="1"/>
        <v>Good</v>
      </c>
    </row>
    <row r="7122" spans="2:34">
      <c r="B7122" s="2">
        <f ca="1"/>
        <v>0.10399586746273815</v>
      </c>
      <c r="O7122" s="2">
        <f ca="1"/>
        <v>-0.57320427387648998</v>
      </c>
      <c r="X7122" s="2">
        <f ca="1"/>
        <v>39.779334175100033</v>
      </c>
      <c r="AG7122" s="2">
        <f ca="1"/>
        <v>0.56976771270662052</v>
      </c>
      <c r="AH7122" s="2" t="str">
        <f ca="1"/>
        <v>Bad</v>
      </c>
    </row>
    <row r="7123" spans="2:34">
      <c r="B7123" s="2">
        <f ca="1"/>
        <v>0.39597584401208796</v>
      </c>
      <c r="O7123" s="2">
        <f ca="1"/>
        <v>0.98221382942461966</v>
      </c>
      <c r="X7123" s="2">
        <f ca="1"/>
        <v>44.779477022380398</v>
      </c>
      <c r="AG7123" s="2">
        <f ca="1"/>
        <v>0.50420573423012782</v>
      </c>
      <c r="AH7123" s="2" t="str">
        <f ca="1"/>
        <v>Bad</v>
      </c>
    </row>
    <row r="7124" spans="2:34">
      <c r="B7124" s="2">
        <f ca="1"/>
        <v>0.2904164179796962</v>
      </c>
      <c r="O7124" s="2">
        <f ca="1"/>
        <v>6.1179130463103505E-2</v>
      </c>
      <c r="X7124" s="2">
        <f ca="1"/>
        <v>36.175486300380335</v>
      </c>
      <c r="AG7124" s="2">
        <f ca="1"/>
        <v>0.92100469961340226</v>
      </c>
      <c r="AH7124" s="2" t="str">
        <f ca="1"/>
        <v>Bad</v>
      </c>
    </row>
    <row r="7125" spans="2:34">
      <c r="B7125" s="2">
        <f ca="1"/>
        <v>0.54594656507041783</v>
      </c>
      <c r="O7125" s="2">
        <f ca="1"/>
        <v>-1.2161108544264654</v>
      </c>
      <c r="X7125" s="2">
        <f ca="1"/>
        <v>44.858152981646704</v>
      </c>
      <c r="AG7125" s="2">
        <f ca="1"/>
        <v>0.68561723278741726</v>
      </c>
      <c r="AH7125" s="2" t="str">
        <f ca="1"/>
        <v>Bad</v>
      </c>
    </row>
    <row r="7126" spans="2:34">
      <c r="B7126" s="2">
        <f ca="1"/>
        <v>0.96764214014627381</v>
      </c>
      <c r="O7126" s="2">
        <f ca="1"/>
        <v>-0.25669671709716479</v>
      </c>
      <c r="X7126" s="2">
        <f ca="1"/>
        <v>58.31291781696865</v>
      </c>
      <c r="AG7126" s="2">
        <f ca="1"/>
        <v>0.74672697072142413</v>
      </c>
      <c r="AH7126" s="2" t="str">
        <f ca="1"/>
        <v>Bad</v>
      </c>
    </row>
    <row r="7127" spans="2:34">
      <c r="B7127" s="2">
        <f ca="1"/>
        <v>0.7903454820437783</v>
      </c>
      <c r="O7127" s="2">
        <f ca="1"/>
        <v>-1.2092596038594836</v>
      </c>
      <c r="X7127" s="2">
        <f ca="1"/>
        <v>57.459661762851638</v>
      </c>
      <c r="AG7127" s="2">
        <f ca="1"/>
        <v>0.48746466942540101</v>
      </c>
      <c r="AH7127" s="2" t="str">
        <f ca="1"/>
        <v>Bad</v>
      </c>
    </row>
    <row r="7128" spans="2:34">
      <c r="B7128" s="2">
        <f ca="1"/>
        <v>0.57368891915386211</v>
      </c>
      <c r="O7128" s="2">
        <f ca="1"/>
        <v>-0.48690559265304484</v>
      </c>
      <c r="X7128" s="2">
        <f ca="1"/>
        <v>70.674299875434755</v>
      </c>
      <c r="AG7128" s="2">
        <f ca="1"/>
        <v>0.31120416307431809</v>
      </c>
      <c r="AH7128" s="2" t="str">
        <f ca="1"/>
        <v>OK</v>
      </c>
    </row>
    <row r="7129" spans="2:34">
      <c r="B7129" s="2">
        <f ca="1"/>
        <v>0.31992143467580236</v>
      </c>
      <c r="O7129" s="2">
        <f ca="1"/>
        <v>0.92809409555912836</v>
      </c>
      <c r="X7129" s="2">
        <f ca="1"/>
        <v>68.655924489690193</v>
      </c>
      <c r="AG7129" s="2">
        <f ca="1"/>
        <v>7.2054572458133404E-3</v>
      </c>
      <c r="AH7129" s="2" t="str">
        <f ca="1"/>
        <v>Good</v>
      </c>
    </row>
    <row r="7130" spans="2:34">
      <c r="B7130" s="2">
        <f ca="1"/>
        <v>0.7767067798067242</v>
      </c>
      <c r="O7130" s="2">
        <f ca="1"/>
        <v>0.18109719450134384</v>
      </c>
      <c r="X7130" s="2">
        <f ca="1"/>
        <v>42.746117837143046</v>
      </c>
      <c r="AG7130" s="2">
        <f ca="1"/>
        <v>0.74204455610255837</v>
      </c>
      <c r="AH7130" s="2" t="str">
        <f ca="1"/>
        <v>Bad</v>
      </c>
    </row>
    <row r="7131" spans="2:34">
      <c r="B7131" s="2">
        <f ca="1"/>
        <v>0.5951992964665016</v>
      </c>
      <c r="O7131" s="2">
        <f ca="1"/>
        <v>-2.5038899605654237</v>
      </c>
      <c r="X7131" s="2">
        <f ca="1"/>
        <v>49.131699743461319</v>
      </c>
      <c r="AG7131" s="2">
        <f ca="1"/>
        <v>0.26625904309207749</v>
      </c>
      <c r="AH7131" s="2" t="str">
        <f ca="1"/>
        <v>OK</v>
      </c>
    </row>
    <row r="7132" spans="2:34">
      <c r="B7132" s="2">
        <f ca="1"/>
        <v>0.67546482445747968</v>
      </c>
      <c r="O7132" s="2">
        <f ca="1"/>
        <v>-0.37368195727371201</v>
      </c>
      <c r="X7132" s="2">
        <f ca="1"/>
        <v>45.874982733401318</v>
      </c>
      <c r="AG7132" s="2">
        <f ca="1"/>
        <v>0.6892300468959669</v>
      </c>
      <c r="AH7132" s="2" t="str">
        <f ca="1"/>
        <v>Bad</v>
      </c>
    </row>
    <row r="7133" spans="2:34">
      <c r="B7133" s="2">
        <f ca="1"/>
        <v>0.35380548928710343</v>
      </c>
      <c r="O7133" s="2">
        <f ca="1"/>
        <v>0.60377896471528658</v>
      </c>
      <c r="X7133" s="2">
        <f ca="1"/>
        <v>31.198792468483099</v>
      </c>
      <c r="AG7133" s="2">
        <f ca="1"/>
        <v>0.6325040830326456</v>
      </c>
      <c r="AH7133" s="2" t="str">
        <f ca="1"/>
        <v>Bad</v>
      </c>
    </row>
    <row r="7134" spans="2:34">
      <c r="B7134" s="2">
        <f ca="1"/>
        <v>0.64966816169680142</v>
      </c>
      <c r="O7134" s="2">
        <f ca="1"/>
        <v>0.98730431155660581</v>
      </c>
      <c r="X7134" s="2">
        <f ca="1"/>
        <v>47.27224567271135</v>
      </c>
      <c r="AG7134" s="2">
        <f ca="1"/>
        <v>0.21632186375473594</v>
      </c>
      <c r="AH7134" s="2" t="str">
        <f ca="1"/>
        <v>OK</v>
      </c>
    </row>
    <row r="7135" spans="2:34">
      <c r="B7135" s="2">
        <f ca="1"/>
        <v>1.4085586971788189E-2</v>
      </c>
      <c r="O7135" s="2">
        <f ca="1"/>
        <v>0.42387153053072596</v>
      </c>
      <c r="X7135" s="2">
        <f ca="1"/>
        <v>56.639608393434145</v>
      </c>
      <c r="AG7135" s="2">
        <f ca="1"/>
        <v>7.1804186790508151E-2</v>
      </c>
      <c r="AH7135" s="2" t="str">
        <f ca="1"/>
        <v>OK</v>
      </c>
    </row>
    <row r="7136" spans="2:34">
      <c r="B7136" s="2">
        <f ca="1"/>
        <v>0.14904386525044089</v>
      </c>
      <c r="O7136" s="2">
        <f ca="1"/>
        <v>0.60483799959077633</v>
      </c>
      <c r="X7136" s="2">
        <f ca="1"/>
        <v>58.231894149944019</v>
      </c>
      <c r="AG7136" s="2">
        <f ca="1"/>
        <v>3.2378909347063001E-2</v>
      </c>
      <c r="AH7136" s="2" t="str">
        <f ca="1"/>
        <v>Good</v>
      </c>
    </row>
    <row r="7137" spans="2:34">
      <c r="B7137" s="2">
        <f ca="1"/>
        <v>0.78582547613978804</v>
      </c>
      <c r="O7137" s="2">
        <f ca="1"/>
        <v>8.4401040395797572E-2</v>
      </c>
      <c r="X7137" s="2">
        <f ca="1"/>
        <v>47.217339759257712</v>
      </c>
      <c r="AG7137" s="2">
        <f ca="1"/>
        <v>0.2474323608620741</v>
      </c>
      <c r="AH7137" s="2" t="str">
        <f ca="1"/>
        <v>OK</v>
      </c>
    </row>
    <row r="7138" spans="2:34">
      <c r="B7138" s="2">
        <f ca="1"/>
        <v>0.25776725075089746</v>
      </c>
      <c r="O7138" s="2">
        <f ca="1"/>
        <v>-0.17599638358792768</v>
      </c>
      <c r="X7138" s="2">
        <f ca="1"/>
        <v>33.634718503234609</v>
      </c>
      <c r="AG7138" s="2">
        <f ca="1"/>
        <v>0.71013146706426067</v>
      </c>
      <c r="AH7138" s="2" t="str">
        <f ca="1"/>
        <v>Bad</v>
      </c>
    </row>
    <row r="7139" spans="2:34">
      <c r="B7139" s="2">
        <f ca="1"/>
        <v>0.64513460070374662</v>
      </c>
      <c r="O7139" s="2">
        <f ca="1"/>
        <v>0.3741251521304722</v>
      </c>
      <c r="X7139" s="2">
        <f ca="1"/>
        <v>65.372713477726151</v>
      </c>
      <c r="AG7139" s="2">
        <f ca="1"/>
        <v>2.8098969886453329E-2</v>
      </c>
      <c r="AH7139" s="2" t="str">
        <f ca="1"/>
        <v>Good</v>
      </c>
    </row>
    <row r="7140" spans="2:34">
      <c r="B7140" s="2">
        <f ca="1"/>
        <v>0.4523063044122142</v>
      </c>
      <c r="O7140" s="2">
        <f ca="1"/>
        <v>9.6792147175563531E-3</v>
      </c>
      <c r="X7140" s="2">
        <f ca="1"/>
        <v>31.256266121757413</v>
      </c>
      <c r="AG7140" s="2">
        <f ca="1"/>
        <v>0.90016317767444098</v>
      </c>
      <c r="AH7140" s="2" t="str">
        <f ca="1"/>
        <v>Bad</v>
      </c>
    </row>
    <row r="7141" spans="2:34">
      <c r="B7141" s="2">
        <f ca="1"/>
        <v>0.53105944591259835</v>
      </c>
      <c r="O7141" s="2">
        <f ca="1"/>
        <v>-4.287063466126605E-3</v>
      </c>
      <c r="X7141" s="2">
        <f ca="1"/>
        <v>29.389839823637519</v>
      </c>
      <c r="AG7141" s="2">
        <f ca="1"/>
        <v>0.58328261040726659</v>
      </c>
      <c r="AH7141" s="2" t="str">
        <f ca="1"/>
        <v>Bad</v>
      </c>
    </row>
    <row r="7142" spans="2:34">
      <c r="B7142" s="2">
        <f ca="1"/>
        <v>0.65336948373492887</v>
      </c>
      <c r="O7142" s="2">
        <f ca="1"/>
        <v>-1.0171036346377198</v>
      </c>
      <c r="X7142" s="2">
        <f ca="1"/>
        <v>58.911613853503503</v>
      </c>
      <c r="AG7142" s="2">
        <f ca="1"/>
        <v>0.37732865847201968</v>
      </c>
      <c r="AH7142" s="2" t="str">
        <f ca="1"/>
        <v>OK</v>
      </c>
    </row>
    <row r="7143" spans="2:34">
      <c r="B7143" s="2">
        <f ca="1"/>
        <v>0.9483807123096355</v>
      </c>
      <c r="O7143" s="2">
        <f ca="1"/>
        <v>0.14740953452425307</v>
      </c>
      <c r="X7143" s="2">
        <f ca="1"/>
        <v>36.227568645643366</v>
      </c>
      <c r="AG7143" s="2">
        <f ca="1"/>
        <v>8.5057687348699673E-3</v>
      </c>
      <c r="AH7143" s="2" t="str">
        <f ca="1"/>
        <v>Good</v>
      </c>
    </row>
    <row r="7144" spans="2:34">
      <c r="B7144" s="2">
        <f ca="1"/>
        <v>0.75104380780478852</v>
      </c>
      <c r="O7144" s="2">
        <f ca="1"/>
        <v>0.45044282832552612</v>
      </c>
      <c r="X7144" s="2">
        <f ca="1"/>
        <v>41.178580602630177</v>
      </c>
      <c r="AG7144" s="2">
        <f ca="1"/>
        <v>0.47357799451168647</v>
      </c>
      <c r="AH7144" s="2" t="str">
        <f ca="1"/>
        <v>Bad</v>
      </c>
    </row>
    <row r="7145" spans="2:34">
      <c r="B7145" s="2">
        <f ca="1"/>
        <v>0.52936909799310294</v>
      </c>
      <c r="O7145" s="2">
        <f ca="1"/>
        <v>0.46131064913126635</v>
      </c>
      <c r="X7145" s="2">
        <f ca="1"/>
        <v>76.11965143646222</v>
      </c>
      <c r="AG7145" s="2">
        <f ca="1"/>
        <v>0.1376237207640254</v>
      </c>
      <c r="AH7145" s="2" t="str">
        <f ca="1"/>
        <v>OK</v>
      </c>
    </row>
    <row r="7146" spans="2:34">
      <c r="B7146" s="2">
        <f ca="1"/>
        <v>0.34662309405440883</v>
      </c>
      <c r="O7146" s="2">
        <f ca="1"/>
        <v>-0.87313961138491381</v>
      </c>
      <c r="X7146" s="2">
        <f ca="1"/>
        <v>45.211527210937525</v>
      </c>
      <c r="AG7146" s="2">
        <f ca="1"/>
        <v>0.1880467943803501</v>
      </c>
      <c r="AH7146" s="2" t="str">
        <f ca="1"/>
        <v>OK</v>
      </c>
    </row>
    <row r="7147" spans="2:34">
      <c r="B7147" s="2">
        <f ca="1"/>
        <v>0.74453751188815342</v>
      </c>
      <c r="O7147" s="2">
        <f ca="1"/>
        <v>-0.33887859209655902</v>
      </c>
      <c r="X7147" s="2">
        <f ca="1"/>
        <v>36.838110677815159</v>
      </c>
      <c r="AG7147" s="2">
        <f ca="1"/>
        <v>0.96576378679467267</v>
      </c>
      <c r="AH7147" s="2" t="str">
        <f ca="1"/>
        <v>Bad</v>
      </c>
    </row>
    <row r="7148" spans="2:34">
      <c r="B7148" s="2">
        <f ca="1"/>
        <v>0.17140024356463024</v>
      </c>
      <c r="O7148" s="2">
        <f ca="1"/>
        <v>0.51155126953219521</v>
      </c>
      <c r="X7148" s="2">
        <f ca="1"/>
        <v>54.461881614898132</v>
      </c>
      <c r="AG7148" s="2">
        <f ca="1"/>
        <v>9.7578786744868751E-2</v>
      </c>
      <c r="AH7148" s="2" t="str">
        <f ca="1"/>
        <v>OK</v>
      </c>
    </row>
    <row r="7149" spans="2:34">
      <c r="B7149" s="2">
        <f ca="1"/>
        <v>0.17271836483481451</v>
      </c>
      <c r="O7149" s="2">
        <f ca="1"/>
        <v>-1.6608578277872568</v>
      </c>
      <c r="X7149" s="2">
        <f ca="1"/>
        <v>67.688267403394107</v>
      </c>
      <c r="AG7149" s="2">
        <f ca="1"/>
        <v>0.93113196570709622</v>
      </c>
      <c r="AH7149" s="2" t="str">
        <f ca="1"/>
        <v>Bad</v>
      </c>
    </row>
    <row r="7150" spans="2:34">
      <c r="B7150" s="2">
        <f ca="1"/>
        <v>0.77202833577129071</v>
      </c>
      <c r="O7150" s="2">
        <f ca="1"/>
        <v>-2.4456586582911419</v>
      </c>
      <c r="X7150" s="2">
        <f ca="1"/>
        <v>75.409618941599845</v>
      </c>
      <c r="AG7150" s="2">
        <f ca="1"/>
        <v>0.8448885925131755</v>
      </c>
      <c r="AH7150" s="2" t="str">
        <f ca="1"/>
        <v>Bad</v>
      </c>
    </row>
    <row r="7151" spans="2:34">
      <c r="B7151" s="2">
        <f ca="1"/>
        <v>0.94746238768428093</v>
      </c>
      <c r="O7151" s="2">
        <f ca="1"/>
        <v>0.62527528803942756</v>
      </c>
      <c r="X7151" s="2">
        <f ca="1"/>
        <v>19.317506691842063</v>
      </c>
      <c r="AG7151" s="2">
        <f ca="1"/>
        <v>0.73544461834626129</v>
      </c>
      <c r="AH7151" s="2" t="str">
        <f ca="1"/>
        <v>Bad</v>
      </c>
    </row>
    <row r="7152" spans="2:34">
      <c r="B7152" s="2">
        <f ca="1"/>
        <v>0.21588015470897504</v>
      </c>
      <c r="O7152" s="2">
        <f ca="1"/>
        <v>-0.53596591637971236</v>
      </c>
      <c r="X7152" s="2">
        <f ca="1"/>
        <v>37.170496443954477</v>
      </c>
      <c r="AG7152" s="2">
        <f ca="1"/>
        <v>0.52961471350172906</v>
      </c>
      <c r="AH7152" s="2" t="str">
        <f ca="1"/>
        <v>Bad</v>
      </c>
    </row>
    <row r="7153" spans="2:34">
      <c r="B7153" s="2">
        <f ca="1"/>
        <v>0.44574928885427978</v>
      </c>
      <c r="O7153" s="2">
        <f ca="1"/>
        <v>0.20909502892371598</v>
      </c>
      <c r="X7153" s="2">
        <f ca="1"/>
        <v>30.34333501954146</v>
      </c>
      <c r="AG7153" s="2">
        <f ca="1"/>
        <v>0.5581083545817187</v>
      </c>
      <c r="AH7153" s="2" t="str">
        <f ca="1"/>
        <v>Bad</v>
      </c>
    </row>
    <row r="7154" spans="2:34">
      <c r="B7154" s="2">
        <f ca="1"/>
        <v>0.19868368738055753</v>
      </c>
      <c r="O7154" s="2">
        <f ca="1"/>
        <v>-0.3613525953778553</v>
      </c>
      <c r="X7154" s="2">
        <f ca="1"/>
        <v>38.922675952981621</v>
      </c>
      <c r="AG7154" s="2">
        <f ca="1"/>
        <v>0.67958614792310112</v>
      </c>
      <c r="AH7154" s="2" t="str">
        <f ca="1"/>
        <v>Bad</v>
      </c>
    </row>
    <row r="7155" spans="2:34">
      <c r="B7155" s="2">
        <f ca="1"/>
        <v>0.17546166318157264</v>
      </c>
      <c r="O7155" s="2">
        <f ca="1"/>
        <v>2.2314259946755732</v>
      </c>
      <c r="X7155" s="2">
        <f ca="1"/>
        <v>47.594625327644465</v>
      </c>
      <c r="AG7155" s="2">
        <f ca="1"/>
        <v>0.78168303291825336</v>
      </c>
      <c r="AH7155" s="2" t="str">
        <f ca="1"/>
        <v>Bad</v>
      </c>
    </row>
    <row r="7156" spans="2:34">
      <c r="B7156" s="2">
        <f ca="1"/>
        <v>0.34778721184794259</v>
      </c>
      <c r="O7156" s="2">
        <f ca="1"/>
        <v>-1.0722880659110168</v>
      </c>
      <c r="X7156" s="2">
        <f ca="1"/>
        <v>41.771353681442037</v>
      </c>
      <c r="AG7156" s="2">
        <f ca="1"/>
        <v>0.55495236406985082</v>
      </c>
      <c r="AH7156" s="2" t="str">
        <f ca="1"/>
        <v>Bad</v>
      </c>
    </row>
    <row r="7157" spans="2:34">
      <c r="B7157" s="2">
        <f ca="1"/>
        <v>0.41673072123917909</v>
      </c>
      <c r="O7157" s="2">
        <f ca="1"/>
        <v>0.40652818819056841</v>
      </c>
      <c r="X7157" s="2">
        <f ca="1"/>
        <v>45.049518470949025</v>
      </c>
      <c r="AG7157" s="2">
        <f ca="1"/>
        <v>0.89524877889465104</v>
      </c>
      <c r="AH7157" s="2" t="str">
        <f ca="1"/>
        <v>Bad</v>
      </c>
    </row>
    <row r="7158" spans="2:34">
      <c r="B7158" s="2">
        <f ca="1"/>
        <v>0.36918010945902857</v>
      </c>
      <c r="O7158" s="2">
        <f ca="1"/>
        <v>0.3110477502729907</v>
      </c>
      <c r="X7158" s="2">
        <f ca="1"/>
        <v>64.657019684732134</v>
      </c>
      <c r="AG7158" s="2">
        <f ca="1"/>
        <v>0.89840876176371576</v>
      </c>
      <c r="AH7158" s="2" t="str">
        <f ca="1"/>
        <v>Bad</v>
      </c>
    </row>
    <row r="7159" spans="2:34">
      <c r="B7159" s="2">
        <f ca="1"/>
        <v>0.94905720536093985</v>
      </c>
      <c r="O7159" s="2">
        <f ca="1"/>
        <v>0.71453949167825814</v>
      </c>
      <c r="X7159" s="2">
        <f ca="1"/>
        <v>113.66345621025266</v>
      </c>
      <c r="AG7159" s="2">
        <f ca="1"/>
        <v>0.94612456730632721</v>
      </c>
      <c r="AH7159" s="2" t="str">
        <f ca="1"/>
        <v>Bad</v>
      </c>
    </row>
    <row r="7160" spans="2:34">
      <c r="B7160" s="2">
        <f ca="1"/>
        <v>0.65121654016801522</v>
      </c>
      <c r="O7160" s="2">
        <f ca="1"/>
        <v>0.56788554506057443</v>
      </c>
      <c r="X7160" s="2">
        <f ca="1"/>
        <v>37.606947377039532</v>
      </c>
      <c r="AG7160" s="2">
        <f ca="1"/>
        <v>0.35380181521144216</v>
      </c>
      <c r="AH7160" s="2" t="str">
        <f ca="1"/>
        <v>OK</v>
      </c>
    </row>
    <row r="7161" spans="2:34">
      <c r="B7161" s="2">
        <f ca="1"/>
        <v>0.47272841076068794</v>
      </c>
      <c r="O7161" s="2">
        <f ca="1"/>
        <v>-0.59476656961394547</v>
      </c>
      <c r="X7161" s="2">
        <f ca="1"/>
        <v>50.224288255808204</v>
      </c>
      <c r="AG7161" s="2">
        <f ca="1"/>
        <v>0.94147353568908532</v>
      </c>
      <c r="AH7161" s="2" t="str">
        <f ca="1"/>
        <v>Bad</v>
      </c>
    </row>
    <row r="7162" spans="2:34">
      <c r="B7162" s="2">
        <f ca="1"/>
        <v>0.99584905801826484</v>
      </c>
      <c r="O7162" s="2">
        <f ca="1"/>
        <v>-0.11525314335347653</v>
      </c>
      <c r="X7162" s="2">
        <f ca="1"/>
        <v>51.00277040562942</v>
      </c>
      <c r="AG7162" s="2">
        <f ca="1"/>
        <v>0.78580647570162609</v>
      </c>
      <c r="AH7162" s="2" t="str">
        <f ca="1"/>
        <v>Bad</v>
      </c>
    </row>
    <row r="7163" spans="2:34">
      <c r="B7163" s="2">
        <f ca="1"/>
        <v>0.72861558143657534</v>
      </c>
      <c r="O7163" s="2">
        <f ca="1"/>
        <v>0.69479128745949337</v>
      </c>
      <c r="X7163" s="2">
        <f ca="1"/>
        <v>27.335785164337114</v>
      </c>
      <c r="AG7163" s="2">
        <f ca="1"/>
        <v>0.14992187682480695</v>
      </c>
      <c r="AH7163" s="2" t="str">
        <f ca="1"/>
        <v>OK</v>
      </c>
    </row>
    <row r="7164" spans="2:34">
      <c r="B7164" s="2">
        <f ca="1"/>
        <v>0.68680939425625054</v>
      </c>
      <c r="O7164" s="2">
        <f ca="1"/>
        <v>-1.2301785645887928</v>
      </c>
      <c r="X7164" s="2">
        <f ca="1"/>
        <v>69.441509042064638</v>
      </c>
      <c r="AG7164" s="2">
        <f ca="1"/>
        <v>0.10980964248581149</v>
      </c>
      <c r="AH7164" s="2" t="str">
        <f ca="1"/>
        <v>OK</v>
      </c>
    </row>
    <row r="7165" spans="2:34">
      <c r="B7165" s="2">
        <f ca="1"/>
        <v>9.8567003192202796E-2</v>
      </c>
      <c r="O7165" s="2">
        <f ca="1"/>
        <v>5.6885121608120079E-2</v>
      </c>
      <c r="X7165" s="2">
        <f ca="1"/>
        <v>38.838682752856656</v>
      </c>
      <c r="AG7165" s="2">
        <f ca="1"/>
        <v>0.98883035473921144</v>
      </c>
      <c r="AH7165" s="2" t="str">
        <f ca="1"/>
        <v>Bad</v>
      </c>
    </row>
    <row r="7166" spans="2:34">
      <c r="B7166" s="2">
        <f ca="1"/>
        <v>0.40817325599357512</v>
      </c>
      <c r="O7166" s="2">
        <f ca="1"/>
        <v>-0.41059346940194302</v>
      </c>
      <c r="X7166" s="2">
        <f ca="1"/>
        <v>68.518646272116769</v>
      </c>
      <c r="AG7166" s="2">
        <f ca="1"/>
        <v>6.9730382256740775E-2</v>
      </c>
      <c r="AH7166" s="2" t="str">
        <f ca="1"/>
        <v>OK</v>
      </c>
    </row>
    <row r="7167" spans="2:34">
      <c r="B7167" s="2">
        <f ca="1"/>
        <v>0.35310362981902932</v>
      </c>
      <c r="O7167" s="2">
        <f ca="1"/>
        <v>0.61971688081230414</v>
      </c>
      <c r="X7167" s="2">
        <f ca="1"/>
        <v>41.509036482797946</v>
      </c>
      <c r="AG7167" s="2">
        <f ca="1"/>
        <v>7.0581724176211891E-2</v>
      </c>
      <c r="AH7167" s="2" t="str">
        <f ca="1"/>
        <v>OK</v>
      </c>
    </row>
    <row r="7168" spans="2:34">
      <c r="B7168" s="2">
        <f ca="1"/>
        <v>0.22595267284802545</v>
      </c>
      <c r="O7168" s="2">
        <f ca="1"/>
        <v>-0.32285954956819818</v>
      </c>
      <c r="X7168" s="2">
        <f ca="1"/>
        <v>64.950467993875094</v>
      </c>
      <c r="AG7168" s="2">
        <f ca="1"/>
        <v>0.1623678259486494</v>
      </c>
      <c r="AH7168" s="2" t="str">
        <f ca="1"/>
        <v>OK</v>
      </c>
    </row>
    <row r="7169" spans="2:34">
      <c r="B7169" s="2">
        <f ca="1"/>
        <v>0.73506877263398573</v>
      </c>
      <c r="O7169" s="2">
        <f ca="1"/>
        <v>-0.55308899519358556</v>
      </c>
      <c r="X7169" s="2">
        <f ca="1"/>
        <v>38.639561156939742</v>
      </c>
      <c r="AG7169" s="2">
        <f ca="1"/>
        <v>8.8671135409748025E-3</v>
      </c>
      <c r="AH7169" s="2" t="str">
        <f ca="1"/>
        <v>Good</v>
      </c>
    </row>
    <row r="7170" spans="2:34">
      <c r="B7170" s="2">
        <f ca="1"/>
        <v>0.48486574679836525</v>
      </c>
      <c r="O7170" s="2">
        <f ca="1"/>
        <v>-0.24406352641173876</v>
      </c>
      <c r="X7170" s="2">
        <f ca="1"/>
        <v>48.437874107177691</v>
      </c>
      <c r="AG7170" s="2">
        <f ca="1"/>
        <v>0.79114099079811639</v>
      </c>
      <c r="AH7170" s="2" t="str">
        <f ca="1"/>
        <v>Bad</v>
      </c>
    </row>
    <row r="7171" spans="2:34">
      <c r="B7171" s="2">
        <f ca="1"/>
        <v>0.96128320067324347</v>
      </c>
      <c r="O7171" s="2">
        <f ca="1"/>
        <v>0.37256218298660748</v>
      </c>
      <c r="X7171" s="2">
        <f ca="1"/>
        <v>40.074308938505901</v>
      </c>
      <c r="AG7171" s="2">
        <f ca="1"/>
        <v>0.95525314942445405</v>
      </c>
      <c r="AH7171" s="2" t="str">
        <f ca="1"/>
        <v>Bad</v>
      </c>
    </row>
    <row r="7172" spans="2:34">
      <c r="B7172" s="2">
        <f ca="1"/>
        <v>0.9469745291720848</v>
      </c>
      <c r="O7172" s="2">
        <f ca="1"/>
        <v>0.49028732830531385</v>
      </c>
      <c r="X7172" s="2">
        <f ca="1"/>
        <v>48.716561990456249</v>
      </c>
      <c r="AG7172" s="2">
        <f ca="1"/>
        <v>0.707125930608695</v>
      </c>
      <c r="AH7172" s="2" t="str">
        <f ca="1"/>
        <v>Bad</v>
      </c>
    </row>
    <row r="7173" spans="2:34">
      <c r="B7173" s="2">
        <f ca="1"/>
        <v>0.52150810710514373</v>
      </c>
      <c r="O7173" s="2">
        <f ca="1"/>
        <v>0.79951292111966588</v>
      </c>
      <c r="X7173" s="2">
        <f ca="1"/>
        <v>24.151210619867506</v>
      </c>
      <c r="AG7173" s="2">
        <f ca="1"/>
        <v>0.32031144871512818</v>
      </c>
      <c r="AH7173" s="2" t="str">
        <f ca="1"/>
        <v>OK</v>
      </c>
    </row>
    <row r="7174" spans="2:34">
      <c r="B7174" s="2">
        <f ca="1"/>
        <v>0.59619586014207315</v>
      </c>
      <c r="O7174" s="2">
        <f ca="1"/>
        <v>0.11083004157049837</v>
      </c>
      <c r="X7174" s="2">
        <f ca="1"/>
        <v>42.319960405987857</v>
      </c>
      <c r="AG7174" s="2">
        <f ca="1"/>
        <v>0.22788610325818381</v>
      </c>
      <c r="AH7174" s="2" t="str">
        <f ca="1"/>
        <v>OK</v>
      </c>
    </row>
    <row r="7175" spans="2:34">
      <c r="B7175" s="2">
        <f ca="1"/>
        <v>0.90119961830464623</v>
      </c>
      <c r="O7175" s="2">
        <f ca="1"/>
        <v>0.66563011448083054</v>
      </c>
      <c r="X7175" s="2">
        <f ca="1"/>
        <v>33.532708029352449</v>
      </c>
      <c r="AG7175" s="2">
        <f ca="1"/>
        <v>0.50214434174754174</v>
      </c>
      <c r="AH7175" s="2" t="str">
        <f ca="1"/>
        <v>Bad</v>
      </c>
    </row>
    <row r="7176" spans="2:34">
      <c r="B7176" s="2">
        <f ca="1"/>
        <v>0.1380160990833037</v>
      </c>
      <c r="O7176" s="2">
        <f ca="1"/>
        <v>-0.83656291539080618</v>
      </c>
      <c r="X7176" s="2">
        <f ca="1"/>
        <v>62.808901231041489</v>
      </c>
      <c r="AG7176" s="2">
        <f ca="1"/>
        <v>0.22247663818867114</v>
      </c>
      <c r="AH7176" s="2" t="str">
        <f ca="1"/>
        <v>OK</v>
      </c>
    </row>
    <row r="7177" spans="2:34">
      <c r="B7177" s="2">
        <f ca="1"/>
        <v>0.65794288286875213</v>
      </c>
      <c r="O7177" s="2">
        <f ca="1"/>
        <v>0.9619759505911929</v>
      </c>
      <c r="X7177" s="2">
        <f ca="1"/>
        <v>57.528241030511936</v>
      </c>
      <c r="AG7177" s="2">
        <f ca="1"/>
        <v>6.5954410792955276E-2</v>
      </c>
      <c r="AH7177" s="2" t="str">
        <f ca="1"/>
        <v>OK</v>
      </c>
    </row>
    <row r="7178" spans="2:34">
      <c r="B7178" s="2">
        <f ca="1"/>
        <v>7.6372335054868845E-2</v>
      </c>
      <c r="O7178" s="2">
        <f ca="1"/>
        <v>-0.5182912802739561</v>
      </c>
      <c r="X7178" s="2">
        <f ca="1"/>
        <v>56.553643523378426</v>
      </c>
      <c r="AG7178" s="2">
        <f ca="1"/>
        <v>0.26335562369760113</v>
      </c>
      <c r="AH7178" s="2" t="str">
        <f ca="1"/>
        <v>OK</v>
      </c>
    </row>
    <row r="7179" spans="2:34">
      <c r="B7179" s="2">
        <f ca="1"/>
        <v>0.40812642159569945</v>
      </c>
      <c r="O7179" s="2">
        <f ca="1"/>
        <v>0.50446402517187083</v>
      </c>
      <c r="X7179" s="2">
        <f ca="1"/>
        <v>71.963327829512977</v>
      </c>
      <c r="AG7179" s="2">
        <f ca="1"/>
        <v>0.75125631405069959</v>
      </c>
      <c r="AH7179" s="2" t="str">
        <f ca="1"/>
        <v>Bad</v>
      </c>
    </row>
    <row r="7180" spans="2:34">
      <c r="B7180" s="2">
        <f ca="1"/>
        <v>0.49185125136594099</v>
      </c>
      <c r="O7180" s="2">
        <f ca="1"/>
        <v>-0.1581533205844842</v>
      </c>
      <c r="X7180" s="2">
        <f ca="1"/>
        <v>38.060823995653351</v>
      </c>
      <c r="AG7180" s="2">
        <f ca="1"/>
        <v>1.8673833651386973E-2</v>
      </c>
      <c r="AH7180" s="2" t="str">
        <f ca="1"/>
        <v>Good</v>
      </c>
    </row>
    <row r="7181" spans="2:34">
      <c r="B7181" s="2">
        <f ca="1"/>
        <v>7.23162367713992E-3</v>
      </c>
      <c r="O7181" s="2">
        <f ca="1"/>
        <v>-2.6267380755471341E-3</v>
      </c>
      <c r="X7181" s="2">
        <f ca="1"/>
        <v>48.363557977549092</v>
      </c>
      <c r="AG7181" s="2">
        <f ca="1"/>
        <v>0.99424809383767543</v>
      </c>
      <c r="AH7181" s="2" t="str">
        <f ca="1"/>
        <v>Bad</v>
      </c>
    </row>
    <row r="7182" spans="2:34">
      <c r="B7182" s="2">
        <f ca="1"/>
        <v>0.51016732248881391</v>
      </c>
      <c r="O7182" s="2">
        <f ca="1"/>
        <v>2.2782428503727696</v>
      </c>
      <c r="X7182" s="2">
        <f ca="1"/>
        <v>63.896849752554125</v>
      </c>
      <c r="AG7182" s="2">
        <f ca="1"/>
        <v>0.9607717561732747</v>
      </c>
      <c r="AH7182" s="2" t="str">
        <f ca="1"/>
        <v>Bad</v>
      </c>
    </row>
    <row r="7183" spans="2:34">
      <c r="B7183" s="2">
        <f ca="1"/>
        <v>2.2262443924851105E-2</v>
      </c>
      <c r="O7183" s="2">
        <f ca="1"/>
        <v>0.5888804863898639</v>
      </c>
      <c r="X7183" s="2">
        <f ca="1"/>
        <v>41.46139383856724</v>
      </c>
      <c r="AG7183" s="2">
        <f ca="1"/>
        <v>0.18236429528924414</v>
      </c>
      <c r="AH7183" s="2" t="str">
        <f ca="1"/>
        <v>OK</v>
      </c>
    </row>
    <row r="7184" spans="2:34">
      <c r="B7184" s="2">
        <f ca="1"/>
        <v>0.79015142033128849</v>
      </c>
      <c r="O7184" s="2">
        <f ca="1"/>
        <v>0.93504782279927323</v>
      </c>
      <c r="X7184" s="2">
        <f ca="1"/>
        <v>38.665161105587323</v>
      </c>
      <c r="AG7184" s="2">
        <f ca="1"/>
        <v>0.72770071560733052</v>
      </c>
      <c r="AH7184" s="2" t="str">
        <f ca="1"/>
        <v>Bad</v>
      </c>
    </row>
    <row r="7185" spans="2:34">
      <c r="B7185" s="2">
        <f ca="1"/>
        <v>0.3584898008061681</v>
      </c>
      <c r="O7185" s="2">
        <f ca="1"/>
        <v>-0.44917789775835637</v>
      </c>
      <c r="X7185" s="2">
        <f ca="1"/>
        <v>57.845830569092129</v>
      </c>
      <c r="AG7185" s="2">
        <f ca="1"/>
        <v>6.3485052033205092E-2</v>
      </c>
      <c r="AH7185" s="2" t="str">
        <f ca="1"/>
        <v>OK</v>
      </c>
    </row>
    <row r="7186" spans="2:34">
      <c r="B7186" s="2">
        <f ca="1"/>
        <v>0.81761965866658759</v>
      </c>
      <c r="O7186" s="2">
        <f ca="1"/>
        <v>-0.66636744153506566</v>
      </c>
      <c r="X7186" s="2">
        <f ca="1"/>
        <v>55.862888087291971</v>
      </c>
      <c r="AG7186" s="2">
        <f ca="1"/>
        <v>0.44190295044300609</v>
      </c>
      <c r="AH7186" s="2" t="str">
        <f ca="1"/>
        <v>Bad</v>
      </c>
    </row>
    <row r="7187" spans="2:34">
      <c r="B7187" s="2">
        <f ca="1"/>
        <v>0.82440325055906638</v>
      </c>
      <c r="O7187" s="2">
        <f ca="1"/>
        <v>1.2318133776914009</v>
      </c>
      <c r="X7187" s="2">
        <f ca="1"/>
        <v>67.361956406037834</v>
      </c>
      <c r="AG7187" s="2">
        <f ca="1"/>
        <v>0.27398809228508836</v>
      </c>
      <c r="AH7187" s="2" t="str">
        <f ca="1"/>
        <v>OK</v>
      </c>
    </row>
    <row r="7188" spans="2:34">
      <c r="B7188" s="2">
        <f ca="1"/>
        <v>0.87617817056967762</v>
      </c>
      <c r="O7188" s="2">
        <f ca="1"/>
        <v>1.0908726815180492</v>
      </c>
      <c r="X7188" s="2">
        <f ca="1"/>
        <v>48.186882677713683</v>
      </c>
      <c r="AG7188" s="2">
        <f ca="1"/>
        <v>0.80074568413500247</v>
      </c>
      <c r="AH7188" s="2" t="str">
        <f ca="1"/>
        <v>Bad</v>
      </c>
    </row>
    <row r="7189" spans="2:34">
      <c r="B7189" s="2">
        <f ca="1"/>
        <v>0.63179949060674523</v>
      </c>
      <c r="O7189" s="2">
        <f ca="1"/>
        <v>-0.33647569817093848</v>
      </c>
      <c r="X7189" s="2">
        <f ca="1"/>
        <v>62.624544815070955</v>
      </c>
      <c r="AG7189" s="2">
        <f ca="1"/>
        <v>0.42402761661455002</v>
      </c>
      <c r="AH7189" s="2" t="str">
        <f ca="1"/>
        <v>Bad</v>
      </c>
    </row>
    <row r="7190" spans="2:34">
      <c r="B7190" s="2">
        <f ca="1"/>
        <v>0.64380093833969076</v>
      </c>
      <c r="O7190" s="2">
        <f ca="1"/>
        <v>3.4179885289869955E-2</v>
      </c>
      <c r="X7190" s="2">
        <f ca="1"/>
        <v>58.922784257022933</v>
      </c>
      <c r="AG7190" s="2">
        <f ca="1"/>
        <v>0.18363839116359859</v>
      </c>
      <c r="AH7190" s="2" t="str">
        <f ca="1"/>
        <v>OK</v>
      </c>
    </row>
    <row r="7191" spans="2:34">
      <c r="B7191" s="2">
        <f ca="1"/>
        <v>0.81220890882616326</v>
      </c>
      <c r="O7191" s="2">
        <f ca="1"/>
        <v>0.78084272770137164</v>
      </c>
      <c r="X7191" s="2">
        <f ca="1"/>
        <v>51.812774541665654</v>
      </c>
      <c r="AG7191" s="2">
        <f ca="1"/>
        <v>0.94041988176944491</v>
      </c>
      <c r="AH7191" s="2" t="str">
        <f ca="1"/>
        <v>Bad</v>
      </c>
    </row>
    <row r="7192" spans="2:34">
      <c r="B7192" s="2">
        <f ca="1"/>
        <v>5.9323538933832243E-2</v>
      </c>
      <c r="O7192" s="2">
        <f ca="1"/>
        <v>-0.85864628083435213</v>
      </c>
      <c r="X7192" s="2">
        <f ca="1"/>
        <v>39.70719471326899</v>
      </c>
      <c r="AG7192" s="2">
        <f ca="1"/>
        <v>8.3082951172930075E-2</v>
      </c>
      <c r="AH7192" s="2" t="str">
        <f ca="1"/>
        <v>OK</v>
      </c>
    </row>
    <row r="7193" spans="2:34">
      <c r="B7193" s="2">
        <f ca="1"/>
        <v>4.9043012325575841E-3</v>
      </c>
      <c r="O7193" s="2">
        <f ca="1"/>
        <v>0.5581358854021844</v>
      </c>
      <c r="X7193" s="2">
        <f ca="1"/>
        <v>47.812119101928836</v>
      </c>
      <c r="AG7193" s="2">
        <f ca="1"/>
        <v>0.41368425491595673</v>
      </c>
      <c r="AH7193" s="2" t="str">
        <f ca="1"/>
        <v>Bad</v>
      </c>
    </row>
    <row r="7194" spans="2:34">
      <c r="B7194" s="2">
        <f ca="1"/>
        <v>0.72800774491947418</v>
      </c>
      <c r="O7194" s="2">
        <f ca="1"/>
        <v>-1.5949656461401804</v>
      </c>
      <c r="X7194" s="2">
        <f ca="1"/>
        <v>63.417221697632939</v>
      </c>
      <c r="AG7194" s="2">
        <f ca="1"/>
        <v>0.45212056087921315</v>
      </c>
      <c r="AH7194" s="2" t="str">
        <f ca="1"/>
        <v>Bad</v>
      </c>
    </row>
    <row r="7195" spans="2:34">
      <c r="B7195" s="2">
        <f ca="1"/>
        <v>0.98588127411271409</v>
      </c>
      <c r="O7195" s="2">
        <f ca="1"/>
        <v>-0.6360121697670289</v>
      </c>
      <c r="X7195" s="2">
        <f ca="1"/>
        <v>51.192800682421336</v>
      </c>
      <c r="AG7195" s="2">
        <f ca="1"/>
        <v>0.19255622623958235</v>
      </c>
      <c r="AH7195" s="2" t="str">
        <f ca="1"/>
        <v>OK</v>
      </c>
    </row>
    <row r="7196" spans="2:34">
      <c r="B7196" s="2">
        <f ca="1"/>
        <v>0.21852713657912193</v>
      </c>
      <c r="O7196" s="2">
        <f ca="1"/>
        <v>1.0919572640354025</v>
      </c>
      <c r="X7196" s="2">
        <f ca="1"/>
        <v>45.451318719076184</v>
      </c>
      <c r="AG7196" s="2">
        <f ca="1"/>
        <v>6.4446839213752716E-2</v>
      </c>
      <c r="AH7196" s="2" t="str">
        <f ca="1"/>
        <v>OK</v>
      </c>
    </row>
    <row r="7197" spans="2:34">
      <c r="B7197" s="2">
        <f ca="1"/>
        <v>0.57550088099332952</v>
      </c>
      <c r="O7197" s="2">
        <f ca="1"/>
        <v>0.17364650956227382</v>
      </c>
      <c r="X7197" s="2">
        <f ca="1"/>
        <v>54.822212494965619</v>
      </c>
      <c r="AG7197" s="2">
        <f ca="1"/>
        <v>0.58908213863420289</v>
      </c>
      <c r="AH7197" s="2" t="str">
        <f ca="1"/>
        <v>Bad</v>
      </c>
    </row>
    <row r="7198" spans="2:34">
      <c r="B7198" s="2">
        <f ca="1"/>
        <v>0.71255482798476977</v>
      </c>
      <c r="O7198" s="2">
        <f ca="1"/>
        <v>-1.1878311374098571</v>
      </c>
      <c r="X7198" s="2">
        <f ca="1"/>
        <v>45.008324033565813</v>
      </c>
      <c r="AG7198" s="2">
        <f ca="1"/>
        <v>0.48206903196507533</v>
      </c>
      <c r="AH7198" s="2" t="str">
        <f ca="1"/>
        <v>Bad</v>
      </c>
    </row>
    <row r="7199" spans="2:34">
      <c r="B7199" s="2">
        <f ca="1"/>
        <v>2.9624427634194594E-2</v>
      </c>
      <c r="O7199" s="2">
        <f ca="1"/>
        <v>-1.0804833731205494</v>
      </c>
      <c r="X7199" s="2">
        <f ca="1"/>
        <v>58.088783768096263</v>
      </c>
      <c r="AG7199" s="2">
        <f ca="1"/>
        <v>0.88403683360237939</v>
      </c>
      <c r="AH7199" s="2" t="str">
        <f ca="1"/>
        <v>Bad</v>
      </c>
    </row>
    <row r="7200" spans="2:34">
      <c r="B7200" s="2">
        <f ca="1"/>
        <v>0.26135731399065576</v>
      </c>
      <c r="O7200" s="2">
        <f ca="1"/>
        <v>0.57456877449865396</v>
      </c>
      <c r="X7200" s="2">
        <f ca="1"/>
        <v>40.542021977098884</v>
      </c>
      <c r="AG7200" s="2">
        <f ca="1"/>
        <v>0.28501027169347326</v>
      </c>
      <c r="AH7200" s="2" t="str">
        <f ca="1"/>
        <v>OK</v>
      </c>
    </row>
    <row r="7201" spans="2:34">
      <c r="B7201" s="2">
        <f ca="1"/>
        <v>0.92801965748505566</v>
      </c>
      <c r="O7201" s="2">
        <f ca="1"/>
        <v>0.65327946545360183</v>
      </c>
      <c r="X7201" s="2">
        <f ca="1"/>
        <v>62.450371548001051</v>
      </c>
      <c r="AG7201" s="2">
        <f ca="1"/>
        <v>0.16333789410314781</v>
      </c>
      <c r="AH7201" s="2" t="str">
        <f ca="1"/>
        <v>OK</v>
      </c>
    </row>
    <row r="7202" spans="2:34">
      <c r="B7202" s="2">
        <f ca="1"/>
        <v>0.49766461511560922</v>
      </c>
      <c r="O7202" s="2">
        <f ca="1"/>
        <v>-1.2559174031839386</v>
      </c>
      <c r="X7202" s="2">
        <f ca="1"/>
        <v>49.257155482308903</v>
      </c>
      <c r="AG7202" s="2">
        <f ca="1"/>
        <v>0.5219650206472124</v>
      </c>
      <c r="AH7202" s="2" t="str">
        <f ca="1"/>
        <v>Bad</v>
      </c>
    </row>
    <row r="7203" spans="2:34">
      <c r="B7203" s="2">
        <f ca="1"/>
        <v>0.14413220128700766</v>
      </c>
      <c r="O7203" s="2">
        <f ca="1"/>
        <v>0.18780432200802036</v>
      </c>
      <c r="X7203" s="2">
        <f ca="1"/>
        <v>47.74484849440627</v>
      </c>
      <c r="AG7203" s="2">
        <f ca="1"/>
        <v>0.66189935130050181</v>
      </c>
      <c r="AH7203" s="2" t="str">
        <f ca="1"/>
        <v>Bad</v>
      </c>
    </row>
    <row r="7204" spans="2:34">
      <c r="B7204" s="2">
        <f ca="1"/>
        <v>0.99969782592581646</v>
      </c>
      <c r="O7204" s="2">
        <f ca="1"/>
        <v>-0.71376611902073961</v>
      </c>
      <c r="X7204" s="2">
        <f ca="1"/>
        <v>49.87203978987958</v>
      </c>
      <c r="AG7204" s="2">
        <f ca="1"/>
        <v>0.4842094717694414</v>
      </c>
      <c r="AH7204" s="2" t="str">
        <f ca="1"/>
        <v>Bad</v>
      </c>
    </row>
    <row r="7205" spans="2:34">
      <c r="B7205" s="2">
        <f ca="1"/>
        <v>0.73932245711694544</v>
      </c>
      <c r="O7205" s="2">
        <f ca="1"/>
        <v>-2.0814705502600188</v>
      </c>
      <c r="X7205" s="2">
        <f ca="1"/>
        <v>58.446917130401943</v>
      </c>
      <c r="AG7205" s="2">
        <f ca="1"/>
        <v>0.79749747763731427</v>
      </c>
      <c r="AH7205" s="2" t="str">
        <f ca="1"/>
        <v>Bad</v>
      </c>
    </row>
    <row r="7206" spans="2:34">
      <c r="B7206" s="2">
        <f ca="1"/>
        <v>0.4541211052242049</v>
      </c>
      <c r="O7206" s="2">
        <f ca="1"/>
        <v>-1.019610847319586</v>
      </c>
      <c r="X7206" s="2">
        <f ca="1"/>
        <v>59.362292023703048</v>
      </c>
      <c r="AG7206" s="2">
        <f ca="1"/>
        <v>0.25842668358416931</v>
      </c>
      <c r="AH7206" s="2" t="str">
        <f ca="1"/>
        <v>OK</v>
      </c>
    </row>
    <row r="7207" spans="2:34">
      <c r="B7207" s="2">
        <f ca="1"/>
        <v>0.26203939434701584</v>
      </c>
      <c r="O7207" s="2">
        <f ca="1"/>
        <v>0.30578437582628487</v>
      </c>
      <c r="X7207" s="2">
        <f ca="1"/>
        <v>51.014286041478002</v>
      </c>
      <c r="AG7207" s="2">
        <f ca="1"/>
        <v>0.4654669841843988</v>
      </c>
      <c r="AH7207" s="2" t="str">
        <f ca="1"/>
        <v>Bad</v>
      </c>
    </row>
    <row r="7208" spans="2:34">
      <c r="B7208" s="2">
        <f ca="1"/>
        <v>0.65944176301927659</v>
      </c>
      <c r="O7208" s="2">
        <f ca="1"/>
        <v>-1.1912024316418448</v>
      </c>
      <c r="X7208" s="2">
        <f ca="1"/>
        <v>33.459394222811405</v>
      </c>
      <c r="AG7208" s="2">
        <f ca="1"/>
        <v>0.83909509735033372</v>
      </c>
      <c r="AH7208" s="2" t="str">
        <f ca="1"/>
        <v>Bad</v>
      </c>
    </row>
    <row r="7209" spans="2:34">
      <c r="B7209" s="2">
        <f ca="1"/>
        <v>0.30315366715334036</v>
      </c>
      <c r="O7209" s="2">
        <f ca="1"/>
        <v>0.96100715505912893</v>
      </c>
      <c r="X7209" s="2">
        <f ca="1"/>
        <v>29.274201490335415</v>
      </c>
      <c r="AG7209" s="2">
        <f ca="1"/>
        <v>0.17085836726978365</v>
      </c>
      <c r="AH7209" s="2" t="str">
        <f ca="1"/>
        <v>OK</v>
      </c>
    </row>
    <row r="7210" spans="2:34">
      <c r="B7210" s="2">
        <f ca="1"/>
        <v>0.17008753610659766</v>
      </c>
      <c r="O7210" s="2">
        <f ca="1"/>
        <v>-1.9668305867336362</v>
      </c>
      <c r="X7210" s="2">
        <f ca="1"/>
        <v>55.063378614991905</v>
      </c>
      <c r="AG7210" s="2">
        <f ca="1"/>
        <v>4.733297593130148E-2</v>
      </c>
      <c r="AH7210" s="2" t="str">
        <f ca="1"/>
        <v>Good</v>
      </c>
    </row>
    <row r="7211" spans="2:34">
      <c r="B7211" s="2">
        <f ca="1"/>
        <v>0.64849650893115141</v>
      </c>
      <c r="O7211" s="2">
        <f ca="1"/>
        <v>-0.50104911686153519</v>
      </c>
      <c r="X7211" s="2">
        <f ca="1"/>
        <v>49.624152533218705</v>
      </c>
      <c r="AG7211" s="2">
        <f ca="1"/>
        <v>0.53434020082619127</v>
      </c>
      <c r="AH7211" s="2" t="str">
        <f ca="1"/>
        <v>Bad</v>
      </c>
    </row>
    <row r="7212" spans="2:34">
      <c r="B7212" s="2">
        <f ca="1"/>
        <v>0.38120694849645576</v>
      </c>
      <c r="O7212" s="2">
        <f ca="1"/>
        <v>1.5826613462290038</v>
      </c>
      <c r="X7212" s="2">
        <f ca="1"/>
        <v>60.844649456758447</v>
      </c>
      <c r="AG7212" s="2">
        <f ca="1"/>
        <v>0.55857938054130418</v>
      </c>
      <c r="AH7212" s="2" t="str">
        <f ca="1"/>
        <v>Bad</v>
      </c>
    </row>
    <row r="7213" spans="2:34">
      <c r="B7213" s="2">
        <f ca="1"/>
        <v>3.5278055021663146E-2</v>
      </c>
      <c r="O7213" s="2">
        <f ca="1"/>
        <v>-0.37641820861066766</v>
      </c>
      <c r="X7213" s="2">
        <f ca="1"/>
        <v>57.059334744762097</v>
      </c>
      <c r="AG7213" s="2">
        <f ca="1"/>
        <v>0.10479002718914243</v>
      </c>
      <c r="AH7213" s="2" t="str">
        <f ca="1"/>
        <v>OK</v>
      </c>
    </row>
    <row r="7214" spans="2:34">
      <c r="B7214" s="2">
        <f ca="1"/>
        <v>0.92821750213689702</v>
      </c>
      <c r="O7214" s="2">
        <f ca="1"/>
        <v>-1.3440611942543004</v>
      </c>
      <c r="X7214" s="2">
        <f ca="1"/>
        <v>30.300637544466579</v>
      </c>
      <c r="AG7214" s="2">
        <f ca="1"/>
        <v>0.98526469443332054</v>
      </c>
      <c r="AH7214" s="2" t="str">
        <f ca="1"/>
        <v>Bad</v>
      </c>
    </row>
    <row r="7215" spans="2:34">
      <c r="B7215" s="2">
        <f ca="1"/>
        <v>0.93031657357199204</v>
      </c>
      <c r="O7215" s="2">
        <f ca="1"/>
        <v>0.66594084807715481</v>
      </c>
      <c r="X7215" s="2">
        <f ca="1"/>
        <v>42.079245916872381</v>
      </c>
      <c r="AG7215" s="2">
        <f ca="1"/>
        <v>0.21030168566486851</v>
      </c>
      <c r="AH7215" s="2" t="str">
        <f ca="1"/>
        <v>OK</v>
      </c>
    </row>
    <row r="7216" spans="2:34">
      <c r="B7216" s="2">
        <f ca="1"/>
        <v>0.23747950827912967</v>
      </c>
      <c r="O7216" s="2">
        <f ca="1"/>
        <v>-0.16096229513449295</v>
      </c>
      <c r="X7216" s="2">
        <f ca="1"/>
        <v>30.052207385116063</v>
      </c>
      <c r="AG7216" s="2">
        <f ca="1"/>
        <v>0.31256421754190766</v>
      </c>
      <c r="AH7216" s="2" t="str">
        <f ca="1"/>
        <v>OK</v>
      </c>
    </row>
    <row r="7217" spans="2:34">
      <c r="B7217" s="2">
        <f ca="1"/>
        <v>0.24290150088797269</v>
      </c>
      <c r="O7217" s="2">
        <f ca="1"/>
        <v>1.214468845016579</v>
      </c>
      <c r="X7217" s="2">
        <f ca="1"/>
        <v>23.908798579810679</v>
      </c>
      <c r="AG7217" s="2">
        <f ca="1"/>
        <v>0.32924785071283025</v>
      </c>
      <c r="AH7217" s="2" t="str">
        <f ca="1"/>
        <v>OK</v>
      </c>
    </row>
    <row r="7218" spans="2:34">
      <c r="B7218" s="2">
        <f ca="1"/>
        <v>9.0728340310642475E-2</v>
      </c>
      <c r="O7218" s="2">
        <f ca="1"/>
        <v>-0.12612907172934842</v>
      </c>
      <c r="X7218" s="2">
        <f ca="1"/>
        <v>22.819785452251466</v>
      </c>
      <c r="AG7218" s="2">
        <f ca="1"/>
        <v>0.58973940638934041</v>
      </c>
      <c r="AH7218" s="2" t="str">
        <f ca="1"/>
        <v>Bad</v>
      </c>
    </row>
    <row r="7219" spans="2:34">
      <c r="B7219" s="2">
        <f ca="1"/>
        <v>1.8600490847373585E-3</v>
      </c>
      <c r="O7219" s="2">
        <f ca="1"/>
        <v>-0.37106736574928345</v>
      </c>
      <c r="X7219" s="2">
        <f ca="1"/>
        <v>76.300910867689282</v>
      </c>
      <c r="AG7219" s="2">
        <f ca="1"/>
        <v>0.44273732970513224</v>
      </c>
      <c r="AH7219" s="2" t="str">
        <f ca="1"/>
        <v>Bad</v>
      </c>
    </row>
    <row r="7220" spans="2:34">
      <c r="B7220" s="2">
        <f ca="1"/>
        <v>0.90149510097580743</v>
      </c>
      <c r="O7220" s="2">
        <f ca="1"/>
        <v>-0.54820993602173362</v>
      </c>
      <c r="X7220" s="2">
        <f ca="1"/>
        <v>28.572034424897069</v>
      </c>
      <c r="AG7220" s="2">
        <f ca="1"/>
        <v>0.93292253225992794</v>
      </c>
      <c r="AH7220" s="2" t="str">
        <f ca="1"/>
        <v>Bad</v>
      </c>
    </row>
    <row r="7221" spans="2:34">
      <c r="B7221" s="2">
        <f ca="1"/>
        <v>0.59919213840492125</v>
      </c>
      <c r="O7221" s="2">
        <f ca="1"/>
        <v>-0.18276818202260725</v>
      </c>
      <c r="X7221" s="2">
        <f ca="1"/>
        <v>57.43264564121133</v>
      </c>
      <c r="AG7221" s="2">
        <f ca="1"/>
        <v>0.50244515439203585</v>
      </c>
      <c r="AH7221" s="2" t="str">
        <f ca="1"/>
        <v>Bad</v>
      </c>
    </row>
    <row r="7222" spans="2:34">
      <c r="B7222" s="2">
        <f ca="1"/>
        <v>0.35866032572356787</v>
      </c>
      <c r="O7222" s="2">
        <f ca="1"/>
        <v>0.17456433755388817</v>
      </c>
      <c r="X7222" s="2">
        <f ca="1"/>
        <v>24.584442033321</v>
      </c>
      <c r="AG7222" s="2">
        <f ca="1"/>
        <v>0.37778753054079739</v>
      </c>
      <c r="AH7222" s="2" t="str">
        <f ca="1"/>
        <v>OK</v>
      </c>
    </row>
    <row r="7223" spans="2:34">
      <c r="B7223" s="2">
        <f ca="1"/>
        <v>8.8839823573057197E-2</v>
      </c>
      <c r="O7223" s="2">
        <f ca="1"/>
        <v>-0.68652506073024477</v>
      </c>
      <c r="X7223" s="2">
        <f ca="1"/>
        <v>48.096058234744355</v>
      </c>
      <c r="AG7223" s="2">
        <f ca="1"/>
        <v>0.21842440362936033</v>
      </c>
      <c r="AH7223" s="2" t="str">
        <f ca="1"/>
        <v>OK</v>
      </c>
    </row>
    <row r="7224" spans="2:34">
      <c r="B7224" s="2">
        <f ca="1"/>
        <v>8.2641720881136083E-2</v>
      </c>
      <c r="O7224" s="2">
        <f ca="1"/>
        <v>0.87300616981532564</v>
      </c>
      <c r="X7224" s="2">
        <f ca="1"/>
        <v>38.962212007479529</v>
      </c>
      <c r="AG7224" s="2">
        <f ca="1"/>
        <v>0.91117190485105892</v>
      </c>
      <c r="AH7224" s="2" t="str">
        <f ca="1"/>
        <v>Bad</v>
      </c>
    </row>
    <row r="7225" spans="2:34">
      <c r="B7225" s="2">
        <f ca="1"/>
        <v>0.24165447263031181</v>
      </c>
      <c r="O7225" s="2">
        <f ca="1"/>
        <v>0.93675059508225678</v>
      </c>
      <c r="X7225" s="2">
        <f ca="1"/>
        <v>47.157316643690159</v>
      </c>
      <c r="AG7225" s="2">
        <f ca="1"/>
        <v>0.40903470615815696</v>
      </c>
      <c r="AH7225" s="2" t="str">
        <f ca="1"/>
        <v>Bad</v>
      </c>
    </row>
    <row r="7226" spans="2:34">
      <c r="B7226" s="2">
        <f ca="1"/>
        <v>0.9741093491697228</v>
      </c>
      <c r="O7226" s="2">
        <f ca="1"/>
        <v>-1.2567387064968016</v>
      </c>
      <c r="X7226" s="2">
        <f ca="1"/>
        <v>27.947190059673048</v>
      </c>
      <c r="AG7226" s="2">
        <f ca="1"/>
        <v>0.28862256804046305</v>
      </c>
      <c r="AH7226" s="2" t="str">
        <f ca="1"/>
        <v>OK</v>
      </c>
    </row>
    <row r="7227" spans="2:34">
      <c r="B7227" s="2">
        <f ca="1"/>
        <v>0.96323761705580035</v>
      </c>
      <c r="O7227" s="2">
        <f ca="1"/>
        <v>0.87751459640939011</v>
      </c>
      <c r="X7227" s="2">
        <f ca="1"/>
        <v>41.878832291695517</v>
      </c>
      <c r="AG7227" s="2">
        <f ca="1"/>
        <v>0.18375747246437246</v>
      </c>
      <c r="AH7227" s="2" t="str">
        <f ca="1"/>
        <v>OK</v>
      </c>
    </row>
    <row r="7228" spans="2:34">
      <c r="B7228" s="2">
        <f ca="1"/>
        <v>0.13998810021051367</v>
      </c>
      <c r="O7228" s="2">
        <f ca="1"/>
        <v>-0.52064854751707368</v>
      </c>
      <c r="X7228" s="2">
        <f ca="1"/>
        <v>38.533577438617833</v>
      </c>
      <c r="AG7228" s="2">
        <f ca="1"/>
        <v>0.76884386792926795</v>
      </c>
      <c r="AH7228" s="2" t="str">
        <f ca="1"/>
        <v>Bad</v>
      </c>
    </row>
    <row r="7229" spans="2:34">
      <c r="B7229" s="2">
        <f ca="1"/>
        <v>0.98575111088610434</v>
      </c>
      <c r="O7229" s="2">
        <f ca="1"/>
        <v>0.22611867810193351</v>
      </c>
      <c r="X7229" s="2">
        <f ca="1"/>
        <v>63.745246823864825</v>
      </c>
      <c r="AG7229" s="2">
        <f ca="1"/>
        <v>1.8177297219788668E-2</v>
      </c>
      <c r="AH7229" s="2" t="str">
        <f ca="1"/>
        <v>Good</v>
      </c>
    </row>
    <row r="7230" spans="2:34">
      <c r="B7230" s="2">
        <f ca="1"/>
        <v>0.28433838999315908</v>
      </c>
      <c r="O7230" s="2">
        <f ca="1"/>
        <v>-1.6762388336992646</v>
      </c>
      <c r="X7230" s="2">
        <f ca="1"/>
        <v>33.338887326382533</v>
      </c>
      <c r="AG7230" s="2">
        <f ca="1"/>
        <v>0.54145446635330763</v>
      </c>
      <c r="AH7230" s="2" t="str">
        <f ca="1"/>
        <v>Bad</v>
      </c>
    </row>
    <row r="7231" spans="2:34">
      <c r="B7231" s="2">
        <f ca="1"/>
        <v>0.67112644331693083</v>
      </c>
      <c r="O7231" s="2">
        <f ca="1"/>
        <v>-0.63081310945772806</v>
      </c>
      <c r="X7231" s="2">
        <f ca="1"/>
        <v>54.497003590659567</v>
      </c>
      <c r="AG7231" s="2">
        <f ca="1"/>
        <v>0.79549188025910889</v>
      </c>
      <c r="AH7231" s="2" t="str">
        <f ca="1"/>
        <v>Bad</v>
      </c>
    </row>
    <row r="7232" spans="2:34">
      <c r="B7232" s="2">
        <f ca="1"/>
        <v>0.88019187376588315</v>
      </c>
      <c r="O7232" s="2">
        <f ca="1"/>
        <v>1.3454935436719193</v>
      </c>
      <c r="X7232" s="2">
        <f ca="1"/>
        <v>28.641036869927682</v>
      </c>
      <c r="AG7232" s="2">
        <f ca="1"/>
        <v>0.62003437810944795</v>
      </c>
      <c r="AH7232" s="2" t="str">
        <f ca="1"/>
        <v>Bad</v>
      </c>
    </row>
    <row r="7233" spans="2:34">
      <c r="B7233" s="2">
        <f ca="1"/>
        <v>0.40994223271154517</v>
      </c>
      <c r="O7233" s="2">
        <f ca="1"/>
        <v>-0.38521352336418735</v>
      </c>
      <c r="X7233" s="2">
        <f ca="1"/>
        <v>36.487338187500612</v>
      </c>
      <c r="AG7233" s="2">
        <f ca="1"/>
        <v>0.55640328873808365</v>
      </c>
      <c r="AH7233" s="2" t="str">
        <f ca="1"/>
        <v>Bad</v>
      </c>
    </row>
    <row r="7234" spans="2:34">
      <c r="B7234" s="2">
        <f ca="1"/>
        <v>0.90987850723495534</v>
      </c>
      <c r="O7234" s="2">
        <f ca="1"/>
        <v>0.97608362096102941</v>
      </c>
      <c r="X7234" s="2">
        <f ca="1"/>
        <v>28.234415952742168</v>
      </c>
      <c r="AG7234" s="2">
        <f ca="1"/>
        <v>0.46910002177587806</v>
      </c>
      <c r="AH7234" s="2" t="str">
        <f ca="1"/>
        <v>Bad</v>
      </c>
    </row>
    <row r="7235" spans="2:34">
      <c r="B7235" s="2">
        <f ca="1"/>
        <v>0.45295486700767351</v>
      </c>
      <c r="O7235" s="2">
        <f ca="1"/>
        <v>-2.2585995368872358</v>
      </c>
      <c r="X7235" s="2">
        <f ca="1"/>
        <v>55.576829125145004</v>
      </c>
      <c r="AG7235" s="2">
        <f ca="1"/>
        <v>0.67173628478759539</v>
      </c>
      <c r="AH7235" s="2" t="str">
        <f ca="1"/>
        <v>Bad</v>
      </c>
    </row>
    <row r="7236" spans="2:34">
      <c r="B7236" s="2">
        <f ca="1"/>
        <v>0.46364065086720241</v>
      </c>
      <c r="O7236" s="2">
        <f ca="1"/>
        <v>-1.347786494745896</v>
      </c>
      <c r="X7236" s="2">
        <f ca="1"/>
        <v>34.620954951581659</v>
      </c>
      <c r="AG7236" s="2">
        <f ca="1"/>
        <v>0.45340938884568804</v>
      </c>
      <c r="AH7236" s="2" t="str">
        <f ca="1"/>
        <v>Bad</v>
      </c>
    </row>
    <row r="7237" spans="2:34">
      <c r="B7237" s="2">
        <f ca="1"/>
        <v>0.387284693609939</v>
      </c>
      <c r="O7237" s="2">
        <f ca="1"/>
        <v>0.89520192745721305</v>
      </c>
      <c r="X7237" s="2">
        <f ca="1"/>
        <v>35.568064211592734</v>
      </c>
      <c r="AG7237" s="2">
        <f ca="1"/>
        <v>0.41135944586944317</v>
      </c>
      <c r="AH7237" s="2" t="str">
        <f ca="1"/>
        <v>Bad</v>
      </c>
    </row>
    <row r="7238" spans="2:34">
      <c r="B7238" s="2">
        <f ca="1"/>
        <v>0.89067480073895555</v>
      </c>
      <c r="O7238" s="2">
        <f ca="1"/>
        <v>-0.62842867630884414</v>
      </c>
      <c r="X7238" s="2">
        <f ca="1"/>
        <v>38.172963268841571</v>
      </c>
      <c r="AG7238" s="2">
        <f ca="1"/>
        <v>7.295191019129188E-2</v>
      </c>
      <c r="AH7238" s="2" t="str">
        <f ca="1"/>
        <v>OK</v>
      </c>
    </row>
    <row r="7239" spans="2:34">
      <c r="B7239" s="2">
        <f ca="1"/>
        <v>0.32198010096797969</v>
      </c>
      <c r="O7239" s="2">
        <f ca="1"/>
        <v>-0.46050178811392012</v>
      </c>
      <c r="X7239" s="2">
        <f ca="1"/>
        <v>52.805702938294701</v>
      </c>
      <c r="AG7239" s="2">
        <f ca="1"/>
        <v>0.38305513373168343</v>
      </c>
      <c r="AH7239" s="2" t="str">
        <f ca="1"/>
        <v>OK</v>
      </c>
    </row>
    <row r="7240" spans="2:34">
      <c r="B7240" s="2">
        <f ca="1"/>
        <v>0.86279369534396655</v>
      </c>
      <c r="O7240" s="2">
        <f ca="1"/>
        <v>-0.35918733059816182</v>
      </c>
      <c r="X7240" s="2">
        <f ca="1"/>
        <v>59.244204688574875</v>
      </c>
      <c r="AG7240" s="2">
        <f ca="1"/>
        <v>0.15606987955892482</v>
      </c>
      <c r="AH7240" s="2" t="str">
        <f ca="1"/>
        <v>OK</v>
      </c>
    </row>
    <row r="7241" spans="2:34">
      <c r="B7241" s="2">
        <f ca="1"/>
        <v>8.5978826089338378E-2</v>
      </c>
      <c r="O7241" s="2">
        <f ca="1"/>
        <v>-0.77435030598410604</v>
      </c>
      <c r="X7241" s="2">
        <f ca="1"/>
        <v>59.430281313606912</v>
      </c>
      <c r="AG7241" s="2">
        <f ca="1"/>
        <v>0.79846947273689683</v>
      </c>
      <c r="AH7241" s="2" t="str">
        <f ca="1"/>
        <v>Bad</v>
      </c>
    </row>
    <row r="7242" spans="2:34">
      <c r="B7242" s="2">
        <f ca="1"/>
        <v>0.73857455615272682</v>
      </c>
      <c r="O7242" s="2">
        <f ca="1"/>
        <v>0.36572105988946696</v>
      </c>
      <c r="X7242" s="2">
        <f ca="1"/>
        <v>35.941101344609208</v>
      </c>
      <c r="AG7242" s="2">
        <f ca="1"/>
        <v>0.82057911044581622</v>
      </c>
      <c r="AH7242" s="2" t="str">
        <f ca="1"/>
        <v>Bad</v>
      </c>
    </row>
    <row r="7243" spans="2:34">
      <c r="B7243" s="2">
        <f ca="1"/>
        <v>0.90905258133147693</v>
      </c>
      <c r="O7243" s="2">
        <f ca="1"/>
        <v>0.588470153041041</v>
      </c>
      <c r="X7243" s="2">
        <f ca="1"/>
        <v>41.80405580932625</v>
      </c>
      <c r="AG7243" s="2">
        <f ca="1"/>
        <v>0.48690403933035498</v>
      </c>
      <c r="AH7243" s="2" t="str">
        <f ca="1"/>
        <v>Bad</v>
      </c>
    </row>
    <row r="7244" spans="2:34">
      <c r="B7244" s="2">
        <f ca="1"/>
        <v>0.83346462309241653</v>
      </c>
      <c r="O7244" s="2">
        <f ca="1"/>
        <v>0.37466085688833772</v>
      </c>
      <c r="X7244" s="2">
        <f ca="1"/>
        <v>36.778725020405076</v>
      </c>
      <c r="AG7244" s="2">
        <f ca="1"/>
        <v>0.69550325869956597</v>
      </c>
      <c r="AH7244" s="2" t="str">
        <f ca="1"/>
        <v>Bad</v>
      </c>
    </row>
    <row r="7245" spans="2:34">
      <c r="B7245" s="2">
        <f ca="1"/>
        <v>0.64345923118313375</v>
      </c>
      <c r="O7245" s="2">
        <f ca="1"/>
        <v>1.4889594458131488</v>
      </c>
      <c r="X7245" s="2">
        <f ca="1"/>
        <v>44.276782504390411</v>
      </c>
      <c r="AG7245" s="2">
        <f ca="1"/>
        <v>0.22790679347647047</v>
      </c>
      <c r="AH7245" s="2" t="str">
        <f ca="1"/>
        <v>OK</v>
      </c>
    </row>
    <row r="7246" spans="2:34">
      <c r="B7246" s="2">
        <f ca="1"/>
        <v>0.41467649339289747</v>
      </c>
      <c r="O7246" s="2">
        <f ca="1"/>
        <v>0.92963088041987207</v>
      </c>
      <c r="X7246" s="2">
        <f ca="1"/>
        <v>43.424730277608312</v>
      </c>
      <c r="AG7246" s="2">
        <f ca="1"/>
        <v>0.11198220786316559</v>
      </c>
      <c r="AH7246" s="2" t="str">
        <f ca="1"/>
        <v>OK</v>
      </c>
    </row>
    <row r="7247" spans="2:34">
      <c r="B7247" s="2">
        <f ca="1"/>
        <v>0.96615908194814915</v>
      </c>
      <c r="O7247" s="2">
        <f ca="1"/>
        <v>-1.3297281109358188</v>
      </c>
      <c r="X7247" s="2">
        <f ca="1"/>
        <v>67.671401318454485</v>
      </c>
      <c r="AG7247" s="2">
        <f ca="1"/>
        <v>0.2890576014180597</v>
      </c>
      <c r="AH7247" s="2" t="str">
        <f ca="1"/>
        <v>OK</v>
      </c>
    </row>
    <row r="7248" spans="2:34">
      <c r="B7248" s="2">
        <f ca="1"/>
        <v>0.1242603385817298</v>
      </c>
      <c r="O7248" s="2">
        <f ca="1"/>
        <v>6.0033229751701188E-2</v>
      </c>
      <c r="X7248" s="2">
        <f ca="1"/>
        <v>79.11052207572807</v>
      </c>
      <c r="AG7248" s="2">
        <f ca="1"/>
        <v>0.73301546933372141</v>
      </c>
      <c r="AH7248" s="2" t="str">
        <f ca="1"/>
        <v>Bad</v>
      </c>
    </row>
    <row r="7249" spans="2:34">
      <c r="B7249" s="2">
        <f ca="1"/>
        <v>0.53513610274576773</v>
      </c>
      <c r="O7249" s="2">
        <f ca="1"/>
        <v>-0.93191082044681994</v>
      </c>
      <c r="X7249" s="2">
        <f ca="1"/>
        <v>59.938360518657248</v>
      </c>
      <c r="AG7249" s="2">
        <f ca="1"/>
        <v>0.62964102489048068</v>
      </c>
      <c r="AH7249" s="2" t="str">
        <f ca="1"/>
        <v>Bad</v>
      </c>
    </row>
    <row r="7250" spans="2:34">
      <c r="B7250" s="2">
        <f ca="1"/>
        <v>0.79163217703829702</v>
      </c>
      <c r="O7250" s="2">
        <f ca="1"/>
        <v>-0.17300190717206732</v>
      </c>
      <c r="X7250" s="2">
        <f ca="1"/>
        <v>38.358080998735872</v>
      </c>
      <c r="AG7250" s="2">
        <f ca="1"/>
        <v>4.8334321641039901E-2</v>
      </c>
      <c r="AH7250" s="2" t="str">
        <f ca="1"/>
        <v>Good</v>
      </c>
    </row>
    <row r="7251" spans="2:34">
      <c r="B7251" s="2">
        <f ca="1"/>
        <v>0.79145147447398023</v>
      </c>
      <c r="O7251" s="2">
        <f ca="1"/>
        <v>1.0888412612338589</v>
      </c>
      <c r="X7251" s="2">
        <f ca="1"/>
        <v>47.119138877146341</v>
      </c>
      <c r="AG7251" s="2">
        <f ca="1"/>
        <v>0.39367359370424837</v>
      </c>
      <c r="AH7251" s="2" t="str">
        <f ca="1"/>
        <v>OK</v>
      </c>
    </row>
    <row r="7252" spans="2:34">
      <c r="B7252" s="2">
        <f ca="1"/>
        <v>0.59532342031533414</v>
      </c>
      <c r="O7252" s="2">
        <f ca="1"/>
        <v>-1.5855085521111678</v>
      </c>
      <c r="X7252" s="2">
        <f ca="1"/>
        <v>24.465080641069083</v>
      </c>
      <c r="AG7252" s="2">
        <f ca="1"/>
        <v>0.17383560506689766</v>
      </c>
      <c r="AH7252" s="2" t="str">
        <f ca="1"/>
        <v>OK</v>
      </c>
    </row>
    <row r="7253" spans="2:34">
      <c r="B7253" s="2">
        <f ca="1"/>
        <v>0.26764775066455426</v>
      </c>
      <c r="O7253" s="2">
        <f ca="1"/>
        <v>-0.23962331801858056</v>
      </c>
      <c r="X7253" s="2">
        <f ca="1"/>
        <v>28.49500605444662</v>
      </c>
      <c r="AG7253" s="2">
        <f ca="1"/>
        <v>0.13358672718090925</v>
      </c>
      <c r="AH7253" s="2" t="str">
        <f ca="1"/>
        <v>OK</v>
      </c>
    </row>
    <row r="7254" spans="2:34">
      <c r="B7254" s="2">
        <f ca="1"/>
        <v>0.81975812283177008</v>
      </c>
      <c r="O7254" s="2">
        <f ca="1"/>
        <v>-0.1952040528805086</v>
      </c>
      <c r="X7254" s="2">
        <f ca="1"/>
        <v>37.172011854453316</v>
      </c>
      <c r="AG7254" s="2">
        <f ca="1"/>
        <v>0.82408330722018719</v>
      </c>
      <c r="AH7254" s="2" t="str">
        <f ca="1"/>
        <v>Bad</v>
      </c>
    </row>
    <row r="7255" spans="2:34">
      <c r="B7255" s="2">
        <f ca="1"/>
        <v>0.96336234981659796</v>
      </c>
      <c r="O7255" s="2">
        <f ca="1"/>
        <v>0.12191523798789829</v>
      </c>
      <c r="X7255" s="2">
        <f ca="1"/>
        <v>31.382945350995449</v>
      </c>
      <c r="AG7255" s="2">
        <f ca="1"/>
        <v>0.10475970892575059</v>
      </c>
      <c r="AH7255" s="2" t="str">
        <f ca="1"/>
        <v>OK</v>
      </c>
    </row>
    <row r="7256" spans="2:34">
      <c r="B7256" s="2">
        <f ca="1"/>
        <v>3.6120715750748822E-2</v>
      </c>
      <c r="O7256" s="2">
        <f ca="1"/>
        <v>0.49726482696373059</v>
      </c>
      <c r="X7256" s="2">
        <f ca="1"/>
        <v>51.519333261727063</v>
      </c>
      <c r="AG7256" s="2">
        <f ca="1"/>
        <v>0.72501743202027047</v>
      </c>
      <c r="AH7256" s="2" t="str">
        <f ca="1"/>
        <v>Bad</v>
      </c>
    </row>
    <row r="7257" spans="2:34">
      <c r="B7257" s="2">
        <f ca="1"/>
        <v>0.59118897915356006</v>
      </c>
      <c r="O7257" s="2">
        <f ca="1"/>
        <v>0.32966605316358355</v>
      </c>
      <c r="X7257" s="2">
        <f ca="1"/>
        <v>62.72886858912446</v>
      </c>
      <c r="AG7257" s="2">
        <f ca="1"/>
        <v>0.70448756552822922</v>
      </c>
      <c r="AH7257" s="2" t="str">
        <f ca="1"/>
        <v>Bad</v>
      </c>
    </row>
    <row r="7258" spans="2:34">
      <c r="B7258" s="2">
        <f ca="1"/>
        <v>0.98923213235869878</v>
      </c>
      <c r="O7258" s="2">
        <f ca="1"/>
        <v>1.6401109328915664</v>
      </c>
      <c r="X7258" s="2">
        <f ca="1"/>
        <v>57.669238874590917</v>
      </c>
      <c r="AG7258" s="2">
        <f ca="1"/>
        <v>0.26443647588622343</v>
      </c>
      <c r="AH7258" s="2" t="str">
        <f ca="1"/>
        <v>OK</v>
      </c>
    </row>
    <row r="7259" spans="2:34">
      <c r="B7259" s="2">
        <f ca="1"/>
        <v>0.77428096958909376</v>
      </c>
      <c r="O7259" s="2">
        <f ca="1"/>
        <v>0.65723144716660042</v>
      </c>
      <c r="X7259" s="2">
        <f ca="1"/>
        <v>28.915837144866682</v>
      </c>
      <c r="AG7259" s="2">
        <f ca="1"/>
        <v>0.2828830830833533</v>
      </c>
      <c r="AH7259" s="2" t="str">
        <f ca="1"/>
        <v>OK</v>
      </c>
    </row>
    <row r="7260" spans="2:34">
      <c r="B7260" s="2">
        <f ca="1"/>
        <v>0.36078391005612676</v>
      </c>
      <c r="O7260" s="2">
        <f ca="1"/>
        <v>0.91013782700765766</v>
      </c>
      <c r="X7260" s="2">
        <f ca="1"/>
        <v>33.976833107247138</v>
      </c>
      <c r="AG7260" s="2">
        <f ca="1"/>
        <v>0.66022840157732743</v>
      </c>
      <c r="AH7260" s="2" t="str">
        <f ca="1"/>
        <v>Bad</v>
      </c>
    </row>
    <row r="7261" spans="2:34">
      <c r="B7261" s="2">
        <f ca="1"/>
        <v>0.8990303411880074</v>
      </c>
      <c r="O7261" s="2">
        <f ca="1"/>
        <v>0.90653895376694171</v>
      </c>
      <c r="X7261" s="2">
        <f ca="1"/>
        <v>23.361249496590595</v>
      </c>
      <c r="AG7261" s="2">
        <f ca="1"/>
        <v>0.52408533576402916</v>
      </c>
      <c r="AH7261" s="2" t="str">
        <f ca="1"/>
        <v>Bad</v>
      </c>
    </row>
    <row r="7262" spans="2:34">
      <c r="B7262" s="2">
        <f ca="1"/>
        <v>0.35735539158770302</v>
      </c>
      <c r="O7262" s="2">
        <f ca="1"/>
        <v>1.4710371514653231</v>
      </c>
      <c r="X7262" s="2">
        <f ca="1"/>
        <v>33.403200783991458</v>
      </c>
      <c r="AG7262" s="2">
        <f ca="1"/>
        <v>0.8421166372189679</v>
      </c>
      <c r="AH7262" s="2" t="str">
        <f ca="1"/>
        <v>Bad</v>
      </c>
    </row>
    <row r="7263" spans="2:34">
      <c r="B7263" s="2">
        <f ca="1"/>
        <v>0.16372023289552051</v>
      </c>
      <c r="O7263" s="2">
        <f ca="1"/>
        <v>-2.5410429729744606</v>
      </c>
      <c r="X7263" s="2">
        <f ca="1"/>
        <v>42.552411160158456</v>
      </c>
      <c r="AG7263" s="2">
        <f ca="1"/>
        <v>3.1016270082907083E-2</v>
      </c>
      <c r="AH7263" s="2" t="str">
        <f ca="1"/>
        <v>Good</v>
      </c>
    </row>
    <row r="7264" spans="2:34">
      <c r="B7264" s="2">
        <f ca="1"/>
        <v>0.8414024684803989</v>
      </c>
      <c r="O7264" s="2">
        <f ca="1"/>
        <v>0.91192877603882816</v>
      </c>
      <c r="X7264" s="2">
        <f ca="1"/>
        <v>58.801984994380433</v>
      </c>
      <c r="AG7264" s="2">
        <f ca="1"/>
        <v>0.82137056696961963</v>
      </c>
      <c r="AH7264" s="2" t="str">
        <f ca="1"/>
        <v>Bad</v>
      </c>
    </row>
    <row r="7265" spans="2:34">
      <c r="B7265" s="2">
        <f ca="1"/>
        <v>0.93302628452609415</v>
      </c>
      <c r="O7265" s="2">
        <f ca="1"/>
        <v>0.17204736076604221</v>
      </c>
      <c r="X7265" s="2">
        <f ca="1"/>
        <v>37.759329856201454</v>
      </c>
      <c r="AG7265" s="2">
        <f ca="1"/>
        <v>0.23282945350203343</v>
      </c>
      <c r="AH7265" s="2" t="str">
        <f ca="1"/>
        <v>OK</v>
      </c>
    </row>
    <row r="7266" spans="2:34">
      <c r="B7266" s="2">
        <f ca="1"/>
        <v>0.45581612681842532</v>
      </c>
      <c r="O7266" s="2">
        <f ca="1"/>
        <v>1.7360529095957307</v>
      </c>
      <c r="X7266" s="2">
        <f ca="1"/>
        <v>38.857516201543525</v>
      </c>
      <c r="AG7266" s="2">
        <f ca="1"/>
        <v>0.18379450611863124</v>
      </c>
      <c r="AH7266" s="2" t="str">
        <f ca="1"/>
        <v>OK</v>
      </c>
    </row>
    <row r="7267" spans="2:34">
      <c r="B7267" s="2">
        <f ca="1"/>
        <v>0.48615301885086404</v>
      </c>
      <c r="O7267" s="2">
        <f ca="1"/>
        <v>-0.52524378783611947</v>
      </c>
      <c r="X7267" s="2">
        <f ca="1"/>
        <v>54.791911849343286</v>
      </c>
      <c r="AG7267" s="2">
        <f ca="1"/>
        <v>0.45281117396515036</v>
      </c>
      <c r="AH7267" s="2" t="str">
        <f ca="1"/>
        <v>Bad</v>
      </c>
    </row>
    <row r="7268" spans="2:34">
      <c r="B7268" s="2">
        <f ca="1"/>
        <v>0.84257139098204337</v>
      </c>
      <c r="O7268" s="2">
        <f ca="1"/>
        <v>-0.81708275059079494</v>
      </c>
      <c r="X7268" s="2">
        <f ca="1"/>
        <v>50.983124948743779</v>
      </c>
      <c r="AG7268" s="2">
        <f ca="1"/>
        <v>8.8477627336231546E-2</v>
      </c>
      <c r="AH7268" s="2" t="str">
        <f ca="1"/>
        <v>OK</v>
      </c>
    </row>
    <row r="7269" spans="2:34">
      <c r="B7269" s="2">
        <f ca="1"/>
        <v>0.52768915074439104</v>
      </c>
      <c r="O7269" s="2">
        <f ca="1"/>
        <v>0.57697663948019784</v>
      </c>
      <c r="X7269" s="2">
        <f ca="1"/>
        <v>33.548366181144267</v>
      </c>
      <c r="AG7269" s="2">
        <f ca="1"/>
        <v>0.83528741884359103</v>
      </c>
      <c r="AH7269" s="2" t="str">
        <f ca="1"/>
        <v>Bad</v>
      </c>
    </row>
    <row r="7270" spans="2:34">
      <c r="B7270" s="2">
        <f ca="1"/>
        <v>0.19883501094399092</v>
      </c>
      <c r="O7270" s="2">
        <f ca="1"/>
        <v>0.75741213797085716</v>
      </c>
      <c r="X7270" s="2">
        <f ca="1"/>
        <v>34.572572056160446</v>
      </c>
      <c r="AG7270" s="2">
        <f ca="1"/>
        <v>5.0240048971704976E-2</v>
      </c>
      <c r="AH7270" s="2" t="str">
        <f ca="1"/>
        <v>OK</v>
      </c>
    </row>
    <row r="7271" spans="2:34">
      <c r="B7271" s="2">
        <f ca="1"/>
        <v>0.85182642030783806</v>
      </c>
      <c r="O7271" s="2">
        <f ca="1"/>
        <v>-0.21369586570249569</v>
      </c>
      <c r="X7271" s="2">
        <f ca="1"/>
        <v>41.400287056145956</v>
      </c>
      <c r="AG7271" s="2">
        <f ca="1"/>
        <v>0.96658488240443452</v>
      </c>
      <c r="AH7271" s="2" t="str">
        <f ca="1"/>
        <v>Bad</v>
      </c>
    </row>
    <row r="7272" spans="2:34">
      <c r="B7272" s="2">
        <f ca="1"/>
        <v>0.55116467870780306</v>
      </c>
      <c r="O7272" s="2">
        <f ca="1"/>
        <v>0.99497021581147838</v>
      </c>
      <c r="X7272" s="2">
        <f ca="1"/>
        <v>77.17124882951606</v>
      </c>
      <c r="AG7272" s="2">
        <f ca="1"/>
        <v>0.40204009612667835</v>
      </c>
      <c r="AH7272" s="2" t="str">
        <f ca="1"/>
        <v>Bad</v>
      </c>
    </row>
    <row r="7273" spans="2:34">
      <c r="B7273" s="2">
        <f ca="1"/>
        <v>0.24271856194927954</v>
      </c>
      <c r="O7273" s="2">
        <f ca="1"/>
        <v>-0.26886202249196367</v>
      </c>
      <c r="X7273" s="2">
        <f ca="1"/>
        <v>54.782217986464985</v>
      </c>
      <c r="AG7273" s="2">
        <f ca="1"/>
        <v>0.76636388281505408</v>
      </c>
      <c r="AH7273" s="2" t="str">
        <f ca="1"/>
        <v>Bad</v>
      </c>
    </row>
    <row r="7274" spans="2:34">
      <c r="B7274" s="2">
        <f ca="1"/>
        <v>0.88895066141603318</v>
      </c>
      <c r="O7274" s="2">
        <f ca="1"/>
        <v>2.1432147908007448</v>
      </c>
      <c r="X7274" s="2">
        <f ca="1"/>
        <v>63.456686899654891</v>
      </c>
      <c r="AG7274" s="2">
        <f ca="1"/>
        <v>0.35173915226578933</v>
      </c>
      <c r="AH7274" s="2" t="str">
        <f ca="1"/>
        <v>OK</v>
      </c>
    </row>
    <row r="7275" spans="2:34">
      <c r="B7275" s="2">
        <f ca="1"/>
        <v>0.76896217390427379</v>
      </c>
      <c r="O7275" s="2">
        <f ca="1"/>
        <v>-1.2039889723744277</v>
      </c>
      <c r="X7275" s="2">
        <f ca="1"/>
        <v>21.265892839801886</v>
      </c>
      <c r="AG7275" s="2">
        <f ca="1"/>
        <v>0.84697928210700546</v>
      </c>
      <c r="AH7275" s="2" t="str">
        <f ca="1"/>
        <v>Bad</v>
      </c>
    </row>
    <row r="7276" spans="2:34">
      <c r="B7276" s="2">
        <f ca="1"/>
        <v>0.13953933540443764</v>
      </c>
      <c r="O7276" s="2">
        <f ca="1"/>
        <v>0.63633165201886632</v>
      </c>
      <c r="X7276" s="2">
        <f ca="1"/>
        <v>55.863185830431298</v>
      </c>
      <c r="AG7276" s="2">
        <f ca="1"/>
        <v>0.41715994471667028</v>
      </c>
      <c r="AH7276" s="2" t="str">
        <f ca="1"/>
        <v>Bad</v>
      </c>
    </row>
    <row r="7277" spans="2:34">
      <c r="B7277" s="2">
        <f ca="1"/>
        <v>0.75392606864110934</v>
      </c>
      <c r="O7277" s="2">
        <f ca="1"/>
        <v>-1.1197360596707919</v>
      </c>
      <c r="X7277" s="2">
        <f ca="1"/>
        <v>56.001988394470139</v>
      </c>
      <c r="AG7277" s="2">
        <f ca="1"/>
        <v>0.99082032820173227</v>
      </c>
      <c r="AH7277" s="2" t="str">
        <f ca="1"/>
        <v>Bad</v>
      </c>
    </row>
    <row r="7278" spans="2:34">
      <c r="B7278" s="2">
        <f ca="1"/>
        <v>0.81597848486579472</v>
      </c>
      <c r="O7278" s="2">
        <f ca="1"/>
        <v>-1.5151090687802911</v>
      </c>
      <c r="X7278" s="2">
        <f ca="1"/>
        <v>45.456989709906921</v>
      </c>
      <c r="AG7278" s="2">
        <f ca="1"/>
        <v>0.86543158331979098</v>
      </c>
      <c r="AH7278" s="2" t="str">
        <f ca="1"/>
        <v>Bad</v>
      </c>
    </row>
    <row r="7279" spans="2:34">
      <c r="B7279" s="2">
        <f ca="1"/>
        <v>0.79398880784132109</v>
      </c>
      <c r="O7279" s="2">
        <f ca="1"/>
        <v>0.40683298798721601</v>
      </c>
      <c r="X7279" s="2">
        <f ca="1"/>
        <v>54.062059915692934</v>
      </c>
      <c r="AG7279" s="2">
        <f ca="1"/>
        <v>0.78406709592321389</v>
      </c>
      <c r="AH7279" s="2" t="str">
        <f ca="1"/>
        <v>Bad</v>
      </c>
    </row>
    <row r="7280" spans="2:34">
      <c r="B7280" s="2">
        <f ca="1"/>
        <v>0.36419263114496703</v>
      </c>
      <c r="O7280" s="2">
        <f ca="1"/>
        <v>1.6423282293226205</v>
      </c>
      <c r="X7280" s="2">
        <f ca="1"/>
        <v>68.044031049854667</v>
      </c>
      <c r="AG7280" s="2">
        <f ca="1"/>
        <v>0.39486940874519316</v>
      </c>
      <c r="AH7280" s="2" t="str">
        <f ca="1"/>
        <v>OK</v>
      </c>
    </row>
    <row r="7281" spans="2:34">
      <c r="B7281" s="2">
        <f ca="1"/>
        <v>0.1361392576044429</v>
      </c>
      <c r="O7281" s="2">
        <f ca="1"/>
        <v>1.0914087020799619</v>
      </c>
      <c r="X7281" s="2">
        <f ca="1"/>
        <v>37.283566091542092</v>
      </c>
      <c r="AG7281" s="2">
        <f ca="1"/>
        <v>0.96183932531241045</v>
      </c>
      <c r="AH7281" s="2" t="str">
        <f ca="1"/>
        <v>Bad</v>
      </c>
    </row>
    <row r="7282" spans="2:34">
      <c r="B7282" s="2">
        <f ca="1"/>
        <v>0.836761902135013</v>
      </c>
      <c r="O7282" s="2">
        <f ca="1"/>
        <v>2.2909622909327514E-2</v>
      </c>
      <c r="X7282" s="2">
        <f ca="1"/>
        <v>30.932668716798265</v>
      </c>
      <c r="AG7282" s="2">
        <f ca="1"/>
        <v>0.28740610231955155</v>
      </c>
      <c r="AH7282" s="2" t="str">
        <f ca="1"/>
        <v>OK</v>
      </c>
    </row>
    <row r="7283" spans="2:34">
      <c r="B7283" s="2">
        <f ca="1"/>
        <v>0.4210831252201066</v>
      </c>
      <c r="O7283" s="2">
        <f ca="1"/>
        <v>-0.33455699713763903</v>
      </c>
      <c r="X7283" s="2">
        <f ca="1"/>
        <v>63.940918267285781</v>
      </c>
      <c r="AG7283" s="2">
        <f ca="1"/>
        <v>0.49395041177513233</v>
      </c>
      <c r="AH7283" s="2" t="str">
        <f ca="1"/>
        <v>Bad</v>
      </c>
    </row>
    <row r="7284" spans="2:34">
      <c r="B7284" s="2">
        <f ca="1"/>
        <v>0.18090214469231825</v>
      </c>
      <c r="O7284" s="2">
        <f ca="1"/>
        <v>2.7258839017361568E-3</v>
      </c>
      <c r="X7284" s="2">
        <f ca="1"/>
        <v>45.054834685329098</v>
      </c>
      <c r="AG7284" s="2">
        <f ca="1"/>
        <v>0.90380559704105567</v>
      </c>
      <c r="AH7284" s="2" t="str">
        <f ca="1"/>
        <v>Bad</v>
      </c>
    </row>
    <row r="7285" spans="2:34">
      <c r="B7285" s="2">
        <f ca="1"/>
        <v>0.13882990407324614</v>
      </c>
      <c r="O7285" s="2">
        <f ca="1"/>
        <v>-1.3346803643250831</v>
      </c>
      <c r="X7285" s="2">
        <f ca="1"/>
        <v>51.681236966594788</v>
      </c>
      <c r="AG7285" s="2">
        <f ca="1"/>
        <v>0.76857061842203733</v>
      </c>
      <c r="AH7285" s="2" t="str">
        <f ca="1"/>
        <v>Bad</v>
      </c>
    </row>
    <row r="7286" spans="2:34">
      <c r="B7286" s="2">
        <f ca="1"/>
        <v>0.90260122167705936</v>
      </c>
      <c r="O7286" s="2">
        <f ca="1"/>
        <v>1.4559982784891572</v>
      </c>
      <c r="X7286" s="2">
        <f ca="1"/>
        <v>94.617575109425957</v>
      </c>
      <c r="AG7286" s="2">
        <f ca="1"/>
        <v>0.99130635124191291</v>
      </c>
      <c r="AH7286" s="2" t="str">
        <f ca="1"/>
        <v>Bad</v>
      </c>
    </row>
    <row r="7287" spans="2:34">
      <c r="B7287" s="2">
        <f ca="1"/>
        <v>0.5374305725558981</v>
      </c>
      <c r="O7287" s="2">
        <f ca="1"/>
        <v>1.071404774910272</v>
      </c>
      <c r="X7287" s="2">
        <f ca="1"/>
        <v>67.125858031695586</v>
      </c>
      <c r="AG7287" s="2">
        <f ca="1"/>
        <v>0.86762204879946259</v>
      </c>
      <c r="AH7287" s="2" t="str">
        <f ca="1"/>
        <v>Bad</v>
      </c>
    </row>
    <row r="7288" spans="2:34">
      <c r="B7288" s="2">
        <f ca="1"/>
        <v>0.11528252103030323</v>
      </c>
      <c r="O7288" s="2">
        <f ca="1"/>
        <v>4.782982142205878E-3</v>
      </c>
      <c r="X7288" s="2">
        <f ca="1"/>
        <v>76.637091440061269</v>
      </c>
      <c r="AG7288" s="2">
        <f ca="1"/>
        <v>0.58819457342696158</v>
      </c>
      <c r="AH7288" s="2" t="str">
        <f ca="1"/>
        <v>Bad</v>
      </c>
    </row>
    <row r="7289" spans="2:34">
      <c r="B7289" s="2">
        <f ca="1"/>
        <v>0.50009304080177164</v>
      </c>
      <c r="O7289" s="2">
        <f ca="1"/>
        <v>-1.022642126114029</v>
      </c>
      <c r="X7289" s="2">
        <f ca="1"/>
        <v>49.427760230386994</v>
      </c>
      <c r="AG7289" s="2">
        <f ca="1"/>
        <v>0.68208055844323057</v>
      </c>
      <c r="AH7289" s="2" t="str">
        <f ca="1"/>
        <v>Bad</v>
      </c>
    </row>
    <row r="7290" spans="2:34">
      <c r="B7290" s="2">
        <f ca="1"/>
        <v>0.92044722537609713</v>
      </c>
      <c r="O7290" s="2">
        <f ca="1"/>
        <v>0.92637010311544721</v>
      </c>
      <c r="X7290" s="2">
        <f ca="1"/>
        <v>38.889769263968752</v>
      </c>
      <c r="AG7290" s="2">
        <f ca="1"/>
        <v>0.55601255625614954</v>
      </c>
      <c r="AH7290" s="2" t="str">
        <f ca="1"/>
        <v>Bad</v>
      </c>
    </row>
    <row r="7291" spans="2:34">
      <c r="B7291" s="2">
        <f ca="1"/>
        <v>0.88568220793543295</v>
      </c>
      <c r="O7291" s="2">
        <f ca="1"/>
        <v>-0.69818604750753943</v>
      </c>
      <c r="X7291" s="2">
        <f ca="1"/>
        <v>40.721068434676738</v>
      </c>
      <c r="AG7291" s="2">
        <f ca="1"/>
        <v>0.42734947668925161</v>
      </c>
      <c r="AH7291" s="2" t="str">
        <f ca="1"/>
        <v>Bad</v>
      </c>
    </row>
    <row r="7292" spans="2:34">
      <c r="B7292" s="2">
        <f ca="1"/>
        <v>0.72061007079833628</v>
      </c>
      <c r="O7292" s="2">
        <f ca="1"/>
        <v>0.56009944620206686</v>
      </c>
      <c r="X7292" s="2">
        <f ca="1"/>
        <v>86.655586495334092</v>
      </c>
      <c r="AG7292" s="2">
        <f ca="1"/>
        <v>0.19173902790535724</v>
      </c>
      <c r="AH7292" s="2" t="str">
        <f ca="1"/>
        <v>OK</v>
      </c>
    </row>
    <row r="7293" spans="2:34">
      <c r="B7293" s="2">
        <f ca="1"/>
        <v>0.6100758982828498</v>
      </c>
      <c r="O7293" s="2">
        <f ca="1"/>
        <v>0.70661579440426137</v>
      </c>
      <c r="X7293" s="2">
        <f ca="1"/>
        <v>56.01134730675529</v>
      </c>
      <c r="AG7293" s="2">
        <f ca="1"/>
        <v>0.53956002552056015</v>
      </c>
      <c r="AH7293" s="2" t="str">
        <f ca="1"/>
        <v>Bad</v>
      </c>
    </row>
    <row r="7294" spans="2:34">
      <c r="B7294" s="2">
        <f ca="1"/>
        <v>0.41179232669816157</v>
      </c>
      <c r="O7294" s="2">
        <f ca="1"/>
        <v>-1.4770962615720185</v>
      </c>
      <c r="X7294" s="2">
        <f ca="1"/>
        <v>45.735985007113996</v>
      </c>
      <c r="AG7294" s="2">
        <f ca="1"/>
        <v>0.69776367076849288</v>
      </c>
      <c r="AH7294" s="2" t="str">
        <f ca="1"/>
        <v>Bad</v>
      </c>
    </row>
    <row r="7295" spans="2:34">
      <c r="B7295" s="2">
        <f ca="1"/>
        <v>0.33861771979896749</v>
      </c>
      <c r="O7295" s="2">
        <f ca="1"/>
        <v>9.0495309585825273E-2</v>
      </c>
      <c r="X7295" s="2">
        <f ca="1"/>
        <v>62.419281118366889</v>
      </c>
      <c r="AG7295" s="2">
        <f ca="1"/>
        <v>0.43817448396180936</v>
      </c>
      <c r="AH7295" s="2" t="str">
        <f ca="1"/>
        <v>Bad</v>
      </c>
    </row>
    <row r="7296" spans="2:34">
      <c r="B7296" s="2">
        <f ca="1"/>
        <v>0.91224467332327031</v>
      </c>
      <c r="O7296" s="2">
        <f ca="1"/>
        <v>1.141623196639503</v>
      </c>
      <c r="X7296" s="2">
        <f ca="1"/>
        <v>33.046866670784595</v>
      </c>
      <c r="AG7296" s="2">
        <f ca="1"/>
        <v>0.78988468474104789</v>
      </c>
      <c r="AH7296" s="2" t="str">
        <f ca="1"/>
        <v>Bad</v>
      </c>
    </row>
    <row r="7297" spans="2:34">
      <c r="B7297" s="2">
        <f ca="1"/>
        <v>0.44432975573141453</v>
      </c>
      <c r="O7297" s="2">
        <f ca="1"/>
        <v>1.837809174859026</v>
      </c>
      <c r="X7297" s="2">
        <f ca="1"/>
        <v>25.406463604572448</v>
      </c>
      <c r="AG7297" s="2">
        <f ca="1"/>
        <v>0.57498753560864824</v>
      </c>
      <c r="AH7297" s="2" t="str">
        <f ca="1"/>
        <v>Bad</v>
      </c>
    </row>
    <row r="7298" spans="2:34">
      <c r="B7298" s="2">
        <f ca="1"/>
        <v>0.75568643494515353</v>
      </c>
      <c r="O7298" s="2">
        <f ca="1"/>
        <v>-0.66141392225170015</v>
      </c>
      <c r="X7298" s="2">
        <f ca="1"/>
        <v>31.245334963989357</v>
      </c>
      <c r="AG7298" s="2">
        <f ca="1"/>
        <v>0.20775758766476504</v>
      </c>
      <c r="AH7298" s="2" t="str">
        <f ca="1"/>
        <v>OK</v>
      </c>
    </row>
    <row r="7299" spans="2:34">
      <c r="B7299" s="2">
        <f ca="1"/>
        <v>0.69985994014696118</v>
      </c>
      <c r="O7299" s="2">
        <f ca="1"/>
        <v>-0.89128522401041133</v>
      </c>
      <c r="X7299" s="2">
        <f ca="1"/>
        <v>87.553547542463605</v>
      </c>
      <c r="AG7299" s="2">
        <f ca="1"/>
        <v>0.36082107296211419</v>
      </c>
      <c r="AH7299" s="2" t="str">
        <f ca="1"/>
        <v>OK</v>
      </c>
    </row>
    <row r="7300" spans="2:34">
      <c r="B7300" s="2">
        <f ca="1"/>
        <v>0.3771778557713743</v>
      </c>
      <c r="O7300" s="2">
        <f ca="1"/>
        <v>1.954131747821914</v>
      </c>
      <c r="X7300" s="2">
        <f ca="1"/>
        <v>49.485699691986028</v>
      </c>
      <c r="AG7300" s="2">
        <f ca="1"/>
        <v>0.30910352308797573</v>
      </c>
      <c r="AH7300" s="2" t="str">
        <f ca="1"/>
        <v>OK</v>
      </c>
    </row>
    <row r="7301" spans="2:34">
      <c r="B7301" s="2">
        <f ca="1"/>
        <v>0.89566750643427606</v>
      </c>
      <c r="O7301" s="2">
        <f ca="1"/>
        <v>-0.88162557314999135</v>
      </c>
      <c r="X7301" s="2">
        <f ca="1"/>
        <v>34.907915710309666</v>
      </c>
      <c r="AG7301" s="2">
        <f ca="1"/>
        <v>8.9272033558212893E-2</v>
      </c>
      <c r="AH7301" s="2" t="str">
        <f ca="1"/>
        <v>OK</v>
      </c>
    </row>
    <row r="7302" spans="2:34">
      <c r="B7302" s="2">
        <f ca="1"/>
        <v>0.4466855291555798</v>
      </c>
      <c r="O7302" s="2">
        <f ca="1"/>
        <v>-0.75527155636885779</v>
      </c>
      <c r="X7302" s="2">
        <f ca="1"/>
        <v>67.018118341024632</v>
      </c>
      <c r="AG7302" s="2">
        <f ca="1"/>
        <v>0.6872626153425101</v>
      </c>
      <c r="AH7302" s="2" t="str">
        <f ca="1"/>
        <v>Bad</v>
      </c>
    </row>
    <row r="7303" spans="2:34">
      <c r="B7303" s="2">
        <f ca="1"/>
        <v>0.55968723518469021</v>
      </c>
      <c r="O7303" s="2">
        <f ca="1"/>
        <v>-1.129493403895542</v>
      </c>
      <c r="X7303" s="2">
        <f ca="1"/>
        <v>31.445474866893832</v>
      </c>
      <c r="AG7303" s="2">
        <f ca="1"/>
        <v>0.93597220763333233</v>
      </c>
      <c r="AH7303" s="2" t="str">
        <f ca="1"/>
        <v>Bad</v>
      </c>
    </row>
    <row r="7304" spans="2:34">
      <c r="B7304" s="2">
        <f ca="1"/>
        <v>0.5093405720019859</v>
      </c>
      <c r="O7304" s="2">
        <f ca="1"/>
        <v>1.0281777622550934</v>
      </c>
      <c r="X7304" s="2">
        <f ca="1"/>
        <v>60.368973605942323</v>
      </c>
      <c r="AG7304" s="2">
        <f ca="1"/>
        <v>0.6434512827778589</v>
      </c>
      <c r="AH7304" s="2" t="str">
        <f ca="1"/>
        <v>Bad</v>
      </c>
    </row>
    <row r="7305" spans="2:34">
      <c r="B7305" s="2">
        <f ca="1"/>
        <v>0.41504021946541592</v>
      </c>
      <c r="O7305" s="2">
        <f ca="1"/>
        <v>-0.47350676093212263</v>
      </c>
      <c r="X7305" s="2">
        <f ca="1"/>
        <v>41.261046627401051</v>
      </c>
      <c r="AG7305" s="2">
        <f ca="1"/>
        <v>0.32494000866730399</v>
      </c>
      <c r="AH7305" s="2" t="str">
        <f ca="1"/>
        <v>OK</v>
      </c>
    </row>
    <row r="7306" spans="2:34">
      <c r="B7306" s="2">
        <f ca="1"/>
        <v>0.89189675945431679</v>
      </c>
      <c r="O7306" s="2">
        <f ca="1"/>
        <v>0.80602251578594697</v>
      </c>
      <c r="X7306" s="2">
        <f ca="1"/>
        <v>34.687976738799215</v>
      </c>
      <c r="AG7306" s="2">
        <f ca="1"/>
        <v>0.62447883332483123</v>
      </c>
      <c r="AH7306" s="2" t="str">
        <f ca="1"/>
        <v>Bad</v>
      </c>
    </row>
    <row r="7307" spans="2:34">
      <c r="B7307" s="2">
        <f ca="1"/>
        <v>0.38631295550550226</v>
      </c>
      <c r="O7307" s="2">
        <f ca="1"/>
        <v>0.73167809522096838</v>
      </c>
      <c r="X7307" s="2">
        <f ca="1"/>
        <v>88.60175987119122</v>
      </c>
      <c r="AG7307" s="2">
        <f ca="1"/>
        <v>0.29945148365258278</v>
      </c>
      <c r="AH7307" s="2" t="str">
        <f ca="1"/>
        <v>OK</v>
      </c>
    </row>
    <row r="7308" spans="2:34">
      <c r="B7308" s="2">
        <f ca="1"/>
        <v>0.18213479169671531</v>
      </c>
      <c r="O7308" s="2">
        <f ca="1"/>
        <v>-1.2080320371213253</v>
      </c>
      <c r="X7308" s="2">
        <f ca="1"/>
        <v>27.581126940178542</v>
      </c>
      <c r="AG7308" s="2">
        <f ca="1"/>
        <v>0.98706289676240866</v>
      </c>
      <c r="AH7308" s="2" t="str">
        <f ca="1"/>
        <v>Bad</v>
      </c>
    </row>
    <row r="7309" spans="2:34">
      <c r="B7309" s="2">
        <f ca="1"/>
        <v>0.50185314058515451</v>
      </c>
      <c r="O7309" s="2">
        <f ca="1"/>
        <v>-1.0991431634839479</v>
      </c>
      <c r="X7309" s="2">
        <f ca="1"/>
        <v>28.17217653448597</v>
      </c>
      <c r="AG7309" s="2">
        <f ca="1"/>
        <v>0.12429232100985121</v>
      </c>
      <c r="AH7309" s="2" t="str">
        <f ca="1"/>
        <v>OK</v>
      </c>
    </row>
    <row r="7310" spans="2:34">
      <c r="B7310" s="2">
        <f ca="1"/>
        <v>0.90974966033623605</v>
      </c>
      <c r="O7310" s="2">
        <f ca="1"/>
        <v>-1.6468586902114357</v>
      </c>
      <c r="X7310" s="2">
        <f ca="1"/>
        <v>32.646642950635339</v>
      </c>
      <c r="AG7310" s="2">
        <f ca="1"/>
        <v>0.93965848776276095</v>
      </c>
      <c r="AH7310" s="2" t="str">
        <f ca="1"/>
        <v>Bad</v>
      </c>
    </row>
    <row r="7311" spans="2:34">
      <c r="B7311" s="2">
        <f ca="1"/>
        <v>0.98663270927116087</v>
      </c>
      <c r="O7311" s="2">
        <f ca="1"/>
        <v>-0.61369956443818685</v>
      </c>
      <c r="X7311" s="2">
        <f ca="1"/>
        <v>44.605787575107257</v>
      </c>
      <c r="AG7311" s="2">
        <f ca="1"/>
        <v>0.41372956121537285</v>
      </c>
      <c r="AH7311" s="2" t="str">
        <f ca="1"/>
        <v>Bad</v>
      </c>
    </row>
    <row r="7312" spans="2:34">
      <c r="B7312" s="2">
        <f ca="1"/>
        <v>0.77887804224615276</v>
      </c>
      <c r="O7312" s="2">
        <f ca="1"/>
        <v>0.13891350414988829</v>
      </c>
      <c r="X7312" s="2">
        <f ca="1"/>
        <v>45.060255792492605</v>
      </c>
      <c r="AG7312" s="2">
        <f ca="1"/>
        <v>0.63481524581897952</v>
      </c>
      <c r="AH7312" s="2" t="str">
        <f ca="1"/>
        <v>Bad</v>
      </c>
    </row>
    <row r="7313" spans="2:34">
      <c r="B7313" s="2">
        <f ca="1"/>
        <v>0.44582702897478299</v>
      </c>
      <c r="O7313" s="2">
        <f ca="1"/>
        <v>2.4647088034246254</v>
      </c>
      <c r="X7313" s="2">
        <f ca="1"/>
        <v>70.65019116030571</v>
      </c>
      <c r="AG7313" s="2">
        <f ca="1"/>
        <v>0.64602135706931696</v>
      </c>
      <c r="AH7313" s="2" t="str">
        <f ca="1"/>
        <v>Bad</v>
      </c>
    </row>
    <row r="7314" spans="2:34">
      <c r="B7314" s="2">
        <f ca="1"/>
        <v>0.52754263416497271</v>
      </c>
      <c r="O7314" s="2">
        <f ca="1"/>
        <v>-1.8783934896113497</v>
      </c>
      <c r="X7314" s="2">
        <f ca="1"/>
        <v>20.088087602172774</v>
      </c>
      <c r="AG7314" s="2">
        <f ca="1"/>
        <v>0.67506815143277454</v>
      </c>
      <c r="AH7314" s="2" t="str">
        <f ca="1"/>
        <v>Bad</v>
      </c>
    </row>
    <row r="7315" spans="2:34">
      <c r="B7315" s="2">
        <f ca="1"/>
        <v>0.67784497391948628</v>
      </c>
      <c r="O7315" s="2">
        <f ca="1"/>
        <v>5.9203462223461456E-2</v>
      </c>
      <c r="X7315" s="2">
        <f ca="1"/>
        <v>37.55494647591388</v>
      </c>
      <c r="AG7315" s="2">
        <f ca="1"/>
        <v>0.61505803094517741</v>
      </c>
      <c r="AH7315" s="2" t="str">
        <f ca="1"/>
        <v>Bad</v>
      </c>
    </row>
    <row r="7316" spans="2:34">
      <c r="B7316" s="2">
        <f ca="1"/>
        <v>0.24104344828578106</v>
      </c>
      <c r="O7316" s="2">
        <f ca="1"/>
        <v>1.1786355358351863</v>
      </c>
      <c r="X7316" s="2">
        <f ca="1"/>
        <v>43.593561316910659</v>
      </c>
      <c r="AG7316" s="2">
        <f ca="1"/>
        <v>0.48629557899649312</v>
      </c>
      <c r="AH7316" s="2" t="str">
        <f ca="1"/>
        <v>Bad</v>
      </c>
    </row>
    <row r="7317" spans="2:34">
      <c r="B7317" s="2">
        <f ca="1"/>
        <v>0.69145489524232562</v>
      </c>
      <c r="O7317" s="2">
        <f ca="1"/>
        <v>2.5249776078361517E-2</v>
      </c>
      <c r="X7317" s="2">
        <f ca="1"/>
        <v>22.141118343628833</v>
      </c>
      <c r="AG7317" s="2">
        <f ca="1"/>
        <v>0.27201717481897925</v>
      </c>
      <c r="AH7317" s="2" t="str">
        <f ca="1"/>
        <v>OK</v>
      </c>
    </row>
    <row r="7318" spans="2:34">
      <c r="B7318" s="2">
        <f ca="1"/>
        <v>0.54156379040927627</v>
      </c>
      <c r="O7318" s="2">
        <f ca="1"/>
        <v>-0.87926302998992845</v>
      </c>
      <c r="X7318" s="2">
        <f ca="1"/>
        <v>43.943100364671338</v>
      </c>
      <c r="AG7318" s="2">
        <f ca="1"/>
        <v>0.54848976604695965</v>
      </c>
      <c r="AH7318" s="2" t="str">
        <f ca="1"/>
        <v>Bad</v>
      </c>
    </row>
    <row r="7319" spans="2:34">
      <c r="B7319" s="2">
        <f ca="1"/>
        <v>0.49729720115717657</v>
      </c>
      <c r="O7319" s="2">
        <f ca="1"/>
        <v>-0.4294293797844444</v>
      </c>
      <c r="X7319" s="2">
        <f ca="1"/>
        <v>40.188880075954444</v>
      </c>
      <c r="AG7319" s="2">
        <f ca="1"/>
        <v>0.75142690759326092</v>
      </c>
      <c r="AH7319" s="2" t="str">
        <f ca="1"/>
        <v>Bad</v>
      </c>
    </row>
    <row r="7320" spans="2:34">
      <c r="B7320" s="2">
        <f ca="1"/>
        <v>0.86660121750419417</v>
      </c>
      <c r="O7320" s="2">
        <f ca="1"/>
        <v>2.5269225763682677</v>
      </c>
      <c r="X7320" s="2">
        <f ca="1"/>
        <v>34.784588201473539</v>
      </c>
      <c r="AG7320" s="2">
        <f ca="1"/>
        <v>0.8698074808782188</v>
      </c>
      <c r="AH7320" s="2" t="str">
        <f ca="1"/>
        <v>Bad</v>
      </c>
    </row>
    <row r="7321" spans="2:34">
      <c r="B7321" s="2">
        <f ca="1"/>
        <v>0.59979797113440259</v>
      </c>
      <c r="O7321" s="2">
        <f ca="1"/>
        <v>0.11009623041713903</v>
      </c>
      <c r="X7321" s="2">
        <f ca="1"/>
        <v>34.779134089424403</v>
      </c>
      <c r="AG7321" s="2">
        <f ca="1"/>
        <v>0.90636840531898288</v>
      </c>
      <c r="AH7321" s="2" t="str">
        <f ca="1"/>
        <v>Bad</v>
      </c>
    </row>
    <row r="7322" spans="2:34">
      <c r="B7322" s="2">
        <f ca="1"/>
        <v>0.39800807280092587</v>
      </c>
      <c r="O7322" s="2">
        <f ca="1"/>
        <v>-0.42066841086661383</v>
      </c>
      <c r="X7322" s="2">
        <f ca="1"/>
        <v>37.63609440299971</v>
      </c>
      <c r="AG7322" s="2">
        <f ca="1"/>
        <v>1.6259465711217613E-2</v>
      </c>
      <c r="AH7322" s="2" t="str">
        <f ca="1"/>
        <v>Good</v>
      </c>
    </row>
    <row r="7323" spans="2:34">
      <c r="B7323" s="2">
        <f ca="1"/>
        <v>0.31401602208120782</v>
      </c>
      <c r="O7323" s="2">
        <f ca="1"/>
        <v>-0.44093258360567533</v>
      </c>
      <c r="X7323" s="2">
        <f ca="1"/>
        <v>56.077446964009667</v>
      </c>
      <c r="AG7323" s="2">
        <f ca="1"/>
        <v>0.78434044290426708</v>
      </c>
      <c r="AH7323" s="2" t="str">
        <f ca="1"/>
        <v>Bad</v>
      </c>
    </row>
    <row r="7324" spans="2:34">
      <c r="B7324" s="2">
        <f ca="1"/>
        <v>0.87049171524535485</v>
      </c>
      <c r="O7324" s="2">
        <f ca="1"/>
        <v>-0.68715874927376075</v>
      </c>
      <c r="X7324" s="2">
        <f ca="1"/>
        <v>67.677874675677003</v>
      </c>
      <c r="AG7324" s="2">
        <f ca="1"/>
        <v>0.97979075092979206</v>
      </c>
      <c r="AH7324" s="2" t="str">
        <f ca="1"/>
        <v>Bad</v>
      </c>
    </row>
    <row r="7325" spans="2:34">
      <c r="B7325" s="2">
        <f ca="1"/>
        <v>0.39453580057223503</v>
      </c>
      <c r="O7325" s="2">
        <f ca="1"/>
        <v>-0.86849181308917445</v>
      </c>
      <c r="X7325" s="2">
        <f ca="1"/>
        <v>36.097419832892982</v>
      </c>
      <c r="AG7325" s="2">
        <f ca="1"/>
        <v>0.85321689285469948</v>
      </c>
      <c r="AH7325" s="2" t="str">
        <f ca="1"/>
        <v>Bad</v>
      </c>
    </row>
    <row r="7326" spans="2:34">
      <c r="B7326" s="2">
        <f ca="1"/>
        <v>0.69723244516478222</v>
      </c>
      <c r="O7326" s="2">
        <f ca="1"/>
        <v>0.68999410588726529</v>
      </c>
      <c r="X7326" s="2">
        <f ca="1"/>
        <v>35.220746549419772</v>
      </c>
      <c r="AG7326" s="2">
        <f ca="1"/>
        <v>0.8936168168175076</v>
      </c>
      <c r="AH7326" s="2" t="str">
        <f ca="1"/>
        <v>Bad</v>
      </c>
    </row>
    <row r="7327" spans="2:34">
      <c r="B7327" s="2">
        <f ca="1"/>
        <v>6.454724927245592E-2</v>
      </c>
      <c r="O7327" s="2">
        <f ca="1"/>
        <v>0.9793858971465994</v>
      </c>
      <c r="X7327" s="2">
        <f ca="1"/>
        <v>47.542061291091017</v>
      </c>
      <c r="AG7327" s="2">
        <f ca="1"/>
        <v>1.6534740288609129E-2</v>
      </c>
      <c r="AH7327" s="2" t="str">
        <f ca="1"/>
        <v>Good</v>
      </c>
    </row>
    <row r="7328" spans="2:34">
      <c r="B7328" s="2">
        <f ca="1"/>
        <v>0.62339271065899537</v>
      </c>
      <c r="O7328" s="2">
        <f ca="1"/>
        <v>-0.23901720900268481</v>
      </c>
      <c r="X7328" s="2">
        <f ca="1"/>
        <v>48.366388942506475</v>
      </c>
      <c r="AG7328" s="2">
        <f ca="1"/>
        <v>0.96349431045687783</v>
      </c>
      <c r="AH7328" s="2" t="str">
        <f ca="1"/>
        <v>Bad</v>
      </c>
    </row>
    <row r="7329" spans="2:34">
      <c r="B7329" s="2">
        <f ca="1"/>
        <v>6.171552718317308E-2</v>
      </c>
      <c r="O7329" s="2">
        <f ca="1"/>
        <v>0.62972517896778391</v>
      </c>
      <c r="X7329" s="2">
        <f ca="1"/>
        <v>45.633058066850424</v>
      </c>
      <c r="AG7329" s="2">
        <f ca="1"/>
        <v>0.625509280554994</v>
      </c>
      <c r="AH7329" s="2" t="str">
        <f ca="1"/>
        <v>Bad</v>
      </c>
    </row>
    <row r="7330" spans="2:34">
      <c r="B7330" s="2">
        <f ca="1"/>
        <v>0.21367331649964449</v>
      </c>
      <c r="O7330" s="2">
        <f ca="1"/>
        <v>-1.1109879361664914</v>
      </c>
      <c r="X7330" s="2">
        <f ca="1"/>
        <v>69.432146291159512</v>
      </c>
      <c r="AG7330" s="2">
        <f ca="1"/>
        <v>0.47376886634535587</v>
      </c>
      <c r="AH7330" s="2" t="str">
        <f ca="1"/>
        <v>Bad</v>
      </c>
    </row>
    <row r="7331" spans="2:34">
      <c r="B7331" s="2">
        <f ca="1"/>
        <v>0.86498626758762631</v>
      </c>
      <c r="O7331" s="2">
        <f ca="1"/>
        <v>0.44886813907134865</v>
      </c>
      <c r="X7331" s="2">
        <f ca="1"/>
        <v>43.093088737318382</v>
      </c>
      <c r="AG7331" s="2">
        <f ca="1"/>
        <v>0.1037537216314417</v>
      </c>
      <c r="AH7331" s="2" t="str">
        <f ca="1"/>
        <v>OK</v>
      </c>
    </row>
    <row r="7332" spans="2:34">
      <c r="B7332" s="2">
        <f ca="1"/>
        <v>0.96535222755067807</v>
      </c>
      <c r="O7332" s="2">
        <f ca="1"/>
        <v>-2.3064972607466578</v>
      </c>
      <c r="X7332" s="2">
        <f ca="1"/>
        <v>40.764878208638144</v>
      </c>
      <c r="AG7332" s="2">
        <f ca="1"/>
        <v>0.14023479668280392</v>
      </c>
      <c r="AH7332" s="2" t="str">
        <f ca="1"/>
        <v>OK</v>
      </c>
    </row>
    <row r="7333" spans="2:34">
      <c r="B7333" s="2">
        <f ca="1"/>
        <v>0.30433253273425853</v>
      </c>
      <c r="O7333" s="2">
        <f ca="1"/>
        <v>0.40738605035187508</v>
      </c>
      <c r="X7333" s="2">
        <f ca="1"/>
        <v>58.695235063651182</v>
      </c>
      <c r="AG7333" s="2">
        <f ca="1"/>
        <v>0.36176886032360778</v>
      </c>
      <c r="AH7333" s="2" t="str">
        <f ca="1"/>
        <v>OK</v>
      </c>
    </row>
    <row r="7334" spans="2:34">
      <c r="B7334" s="2">
        <f ca="1"/>
        <v>0.72699969368466388</v>
      </c>
      <c r="O7334" s="2">
        <f ca="1"/>
        <v>8.5816653645794091E-2</v>
      </c>
      <c r="X7334" s="2">
        <f ca="1"/>
        <v>49.519318854101812</v>
      </c>
      <c r="AG7334" s="2">
        <f ca="1"/>
        <v>0.71020581336271293</v>
      </c>
      <c r="AH7334" s="2" t="str">
        <f ca="1"/>
        <v>Bad</v>
      </c>
    </row>
    <row r="7335" spans="2:34">
      <c r="B7335" s="2">
        <f ca="1"/>
        <v>0.22178019131980142</v>
      </c>
      <c r="O7335" s="2">
        <f ca="1"/>
        <v>-0.56274781800103013</v>
      </c>
      <c r="X7335" s="2">
        <f ca="1"/>
        <v>36.644813750070313</v>
      </c>
      <c r="AG7335" s="2">
        <f ca="1"/>
        <v>0.73641183479938999</v>
      </c>
      <c r="AH7335" s="2" t="str">
        <f ca="1"/>
        <v>Bad</v>
      </c>
    </row>
    <row r="7336" spans="2:34">
      <c r="B7336" s="2">
        <f ca="1"/>
        <v>0.71111220401790276</v>
      </c>
      <c r="O7336" s="2">
        <f ca="1"/>
        <v>-0.1631765241141763</v>
      </c>
      <c r="X7336" s="2">
        <f ca="1"/>
        <v>72.026644159492321</v>
      </c>
      <c r="AG7336" s="2">
        <f ca="1"/>
        <v>4.9310832941015015E-2</v>
      </c>
      <c r="AH7336" s="2" t="str">
        <f ca="1"/>
        <v>Good</v>
      </c>
    </row>
    <row r="7337" spans="2:34">
      <c r="B7337" s="2">
        <f ca="1"/>
        <v>0.50882682284788694</v>
      </c>
      <c r="O7337" s="2">
        <f ca="1"/>
        <v>-0.19279469981836389</v>
      </c>
      <c r="X7337" s="2">
        <f ca="1"/>
        <v>40.84780390319434</v>
      </c>
      <c r="AG7337" s="2">
        <f ca="1"/>
        <v>0.8862677082915269</v>
      </c>
      <c r="AH7337" s="2" t="str">
        <f ca="1"/>
        <v>Bad</v>
      </c>
    </row>
    <row r="7338" spans="2:34">
      <c r="B7338" s="2">
        <f ca="1"/>
        <v>0.66560660960281215</v>
      </c>
      <c r="O7338" s="2">
        <f ca="1"/>
        <v>-0.36657754948169563</v>
      </c>
      <c r="X7338" s="2">
        <f ca="1"/>
        <v>70.070745700001268</v>
      </c>
      <c r="AG7338" s="2">
        <f ca="1"/>
        <v>0.98693351208091973</v>
      </c>
      <c r="AH7338" s="2" t="str">
        <f ca="1"/>
        <v>Bad</v>
      </c>
    </row>
    <row r="7339" spans="2:34">
      <c r="B7339" s="2">
        <f ca="1"/>
        <v>0.70730235330251823</v>
      </c>
      <c r="O7339" s="2">
        <f ca="1"/>
        <v>-1.0260300977545713</v>
      </c>
      <c r="X7339" s="2">
        <f ca="1"/>
        <v>46.151357206893984</v>
      </c>
      <c r="AG7339" s="2">
        <f ca="1"/>
        <v>9.5158376132810529E-2</v>
      </c>
      <c r="AH7339" s="2" t="str">
        <f ca="1"/>
        <v>OK</v>
      </c>
    </row>
    <row r="7340" spans="2:34">
      <c r="B7340" s="2">
        <f ca="1"/>
        <v>0.27347022776524654</v>
      </c>
      <c r="O7340" s="2">
        <f ca="1"/>
        <v>0.44168512338231658</v>
      </c>
      <c r="X7340" s="2">
        <f ca="1"/>
        <v>40.526366710229055</v>
      </c>
      <c r="AG7340" s="2">
        <f ca="1"/>
        <v>8.8352181361511795E-2</v>
      </c>
      <c r="AH7340" s="2" t="str">
        <f ca="1"/>
        <v>OK</v>
      </c>
    </row>
    <row r="7341" spans="2:34">
      <c r="B7341" s="2">
        <f ca="1"/>
        <v>0.55807717518599964</v>
      </c>
      <c r="O7341" s="2">
        <f ca="1"/>
        <v>-0.46027060320369578</v>
      </c>
      <c r="X7341" s="2">
        <f ca="1"/>
        <v>14.510902387090379</v>
      </c>
      <c r="AG7341" s="2">
        <f ca="1"/>
        <v>0.55967377206925617</v>
      </c>
      <c r="AH7341" s="2" t="str">
        <f ca="1"/>
        <v>Bad</v>
      </c>
    </row>
    <row r="7342" spans="2:34">
      <c r="B7342" s="2">
        <f ca="1"/>
        <v>0.61931236864923545</v>
      </c>
      <c r="O7342" s="2">
        <f ca="1"/>
        <v>0.17143201342096767</v>
      </c>
      <c r="X7342" s="2">
        <f ca="1"/>
        <v>41.996894363940022</v>
      </c>
      <c r="AG7342" s="2">
        <f ca="1"/>
        <v>0.48401485276418299</v>
      </c>
      <c r="AH7342" s="2" t="str">
        <f ca="1"/>
        <v>Bad</v>
      </c>
    </row>
    <row r="7343" spans="2:34">
      <c r="B7343" s="2">
        <f ca="1"/>
        <v>0.7266028899297019</v>
      </c>
      <c r="O7343" s="2">
        <f ca="1"/>
        <v>0.96200017465471965</v>
      </c>
      <c r="X7343" s="2">
        <f ca="1"/>
        <v>79.986497623557653</v>
      </c>
      <c r="AG7343" s="2">
        <f ca="1"/>
        <v>0.1894517452730633</v>
      </c>
      <c r="AH7343" s="2" t="str">
        <f ca="1"/>
        <v>OK</v>
      </c>
    </row>
    <row r="7344" spans="2:34">
      <c r="B7344" s="2">
        <f ca="1"/>
        <v>6.8323106560102431E-2</v>
      </c>
      <c r="O7344" s="2">
        <f ca="1"/>
        <v>0.95255417552158372</v>
      </c>
      <c r="X7344" s="2">
        <f ca="1"/>
        <v>44.002113560320979</v>
      </c>
      <c r="AG7344" s="2">
        <f ca="1"/>
        <v>0.41644874099689799</v>
      </c>
      <c r="AH7344" s="2" t="str">
        <f ca="1"/>
        <v>Bad</v>
      </c>
    </row>
    <row r="7345" spans="2:34">
      <c r="B7345" s="2">
        <f ca="1"/>
        <v>0.14786852234681258</v>
      </c>
      <c r="O7345" s="2">
        <f ca="1"/>
        <v>1.1923951870200313</v>
      </c>
      <c r="X7345" s="2">
        <f ca="1"/>
        <v>58.042783521463548</v>
      </c>
      <c r="AG7345" s="2">
        <f ca="1"/>
        <v>6.6480394437993029E-2</v>
      </c>
      <c r="AH7345" s="2" t="str">
        <f ca="1"/>
        <v>OK</v>
      </c>
    </row>
    <row r="7346" spans="2:34">
      <c r="B7346" s="2">
        <f ca="1"/>
        <v>0.38350697362965946</v>
      </c>
      <c r="O7346" s="2">
        <f ca="1"/>
        <v>-0.57701881176126502</v>
      </c>
      <c r="X7346" s="2">
        <f ca="1"/>
        <v>34.586839793551249</v>
      </c>
      <c r="AG7346" s="2">
        <f ca="1"/>
        <v>0.83863072508565817</v>
      </c>
      <c r="AH7346" s="2" t="str">
        <f ca="1"/>
        <v>Bad</v>
      </c>
    </row>
    <row r="7347" spans="2:34">
      <c r="B7347" s="2">
        <f ca="1"/>
        <v>0.63748494390170718</v>
      </c>
      <c r="O7347" s="2">
        <f ca="1"/>
        <v>0.95484017384639985</v>
      </c>
      <c r="X7347" s="2">
        <f ca="1"/>
        <v>31.10090924777036</v>
      </c>
      <c r="AG7347" s="2">
        <f ca="1"/>
        <v>0.17291074184322031</v>
      </c>
      <c r="AH7347" s="2" t="str">
        <f ca="1"/>
        <v>OK</v>
      </c>
    </row>
    <row r="7348" spans="2:34">
      <c r="B7348" s="2">
        <f ca="1"/>
        <v>0.92796484502355736</v>
      </c>
      <c r="O7348" s="2">
        <f ca="1"/>
        <v>0.90780465936884935</v>
      </c>
      <c r="X7348" s="2">
        <f ca="1"/>
        <v>60.168833445185619</v>
      </c>
      <c r="AG7348" s="2">
        <f ca="1"/>
        <v>0.782551011023781</v>
      </c>
      <c r="AH7348" s="2" t="str">
        <f ca="1"/>
        <v>Bad</v>
      </c>
    </row>
    <row r="7349" spans="2:34">
      <c r="B7349" s="2">
        <f ca="1"/>
        <v>0.70565995298919604</v>
      </c>
      <c r="O7349" s="2">
        <f ca="1"/>
        <v>9.9379170029796293E-2</v>
      </c>
      <c r="X7349" s="2">
        <f ca="1"/>
        <v>25.375434086648724</v>
      </c>
      <c r="AG7349" s="2">
        <f ca="1"/>
        <v>0.69319089042187954</v>
      </c>
      <c r="AH7349" s="2" t="str">
        <f ca="1"/>
        <v>Bad</v>
      </c>
    </row>
    <row r="7350" spans="2:34">
      <c r="B7350" s="2">
        <f ca="1"/>
        <v>0.40033200411417247</v>
      </c>
      <c r="O7350" s="2">
        <f ca="1"/>
        <v>1.8211009427674829</v>
      </c>
      <c r="X7350" s="2">
        <f ca="1"/>
        <v>49.291455607240671</v>
      </c>
      <c r="AG7350" s="2">
        <f ca="1"/>
        <v>0.55411773220948923</v>
      </c>
      <c r="AH7350" s="2" t="str">
        <f ca="1"/>
        <v>Bad</v>
      </c>
    </row>
    <row r="7351" spans="2:34">
      <c r="B7351" s="2">
        <f ca="1"/>
        <v>0.93367565532950869</v>
      </c>
      <c r="O7351" s="2">
        <f ca="1"/>
        <v>0.19857550467738772</v>
      </c>
      <c r="X7351" s="2">
        <f ca="1"/>
        <v>64.165327921692395</v>
      </c>
      <c r="AG7351" s="2">
        <f ca="1"/>
        <v>0.69473305136231822</v>
      </c>
      <c r="AH7351" s="2" t="str">
        <f ca="1"/>
        <v>Bad</v>
      </c>
    </row>
    <row r="7352" spans="2:34">
      <c r="B7352" s="2">
        <f ca="1"/>
        <v>0.86112113498811094</v>
      </c>
      <c r="O7352" s="2">
        <f ca="1"/>
        <v>0.14600161933056705</v>
      </c>
      <c r="X7352" s="2">
        <f ca="1"/>
        <v>57.701386960671883</v>
      </c>
      <c r="AG7352" s="2">
        <f ca="1"/>
        <v>0.1487270498294635</v>
      </c>
      <c r="AH7352" s="2" t="str">
        <f ca="1"/>
        <v>OK</v>
      </c>
    </row>
    <row r="7353" spans="2:34">
      <c r="B7353" s="2">
        <f ca="1"/>
        <v>0.81691824064791474</v>
      </c>
      <c r="O7353" s="2">
        <f ca="1"/>
        <v>-0.57815214464447584</v>
      </c>
      <c r="X7353" s="2">
        <f ca="1"/>
        <v>35.387835752790451</v>
      </c>
      <c r="AG7353" s="2">
        <f ca="1"/>
        <v>8.5991050658525303E-2</v>
      </c>
      <c r="AH7353" s="2" t="str">
        <f ca="1"/>
        <v>OK</v>
      </c>
    </row>
    <row r="7354" spans="2:34">
      <c r="B7354" s="2">
        <f ca="1"/>
        <v>0.32270440268630685</v>
      </c>
      <c r="O7354" s="2">
        <f ca="1"/>
        <v>-0.45152876856507174</v>
      </c>
      <c r="X7354" s="2">
        <f ca="1"/>
        <v>54.225622857904753</v>
      </c>
      <c r="AG7354" s="2">
        <f ca="1"/>
        <v>0.4473237300641637</v>
      </c>
      <c r="AH7354" s="2" t="str">
        <f ca="1"/>
        <v>Bad</v>
      </c>
    </row>
    <row r="7355" spans="2:34">
      <c r="B7355" s="2">
        <f ca="1"/>
        <v>0.19503365048545174</v>
      </c>
      <c r="O7355" s="2">
        <f ca="1"/>
        <v>2.8545846964133421</v>
      </c>
      <c r="X7355" s="2">
        <f ca="1"/>
        <v>37.033774895618919</v>
      </c>
      <c r="AG7355" s="2">
        <f ca="1"/>
        <v>0.92702674561592024</v>
      </c>
      <c r="AH7355" s="2" t="str">
        <f ca="1"/>
        <v>Bad</v>
      </c>
    </row>
    <row r="7356" spans="2:34">
      <c r="B7356" s="2">
        <f ca="1"/>
        <v>0.47514720592722903</v>
      </c>
      <c r="O7356" s="2">
        <f ca="1"/>
        <v>0.48506640045978877</v>
      </c>
      <c r="X7356" s="2">
        <f ca="1"/>
        <v>58.205314657745014</v>
      </c>
      <c r="AG7356" s="2">
        <f ca="1"/>
        <v>0.19467106515884125</v>
      </c>
      <c r="AH7356" s="2" t="str">
        <f ca="1"/>
        <v>OK</v>
      </c>
    </row>
    <row r="7357" spans="2:34">
      <c r="B7357" s="2">
        <f ca="1"/>
        <v>0.84086115778152304</v>
      </c>
      <c r="O7357" s="2">
        <f ca="1"/>
        <v>-0.75096734860525738</v>
      </c>
      <c r="X7357" s="2">
        <f ca="1"/>
        <v>41.331508238812575</v>
      </c>
      <c r="AG7357" s="2">
        <f ca="1"/>
        <v>0.68792006480738088</v>
      </c>
      <c r="AH7357" s="2" t="str">
        <f ca="1"/>
        <v>Bad</v>
      </c>
    </row>
    <row r="7358" spans="2:34">
      <c r="B7358" s="2">
        <f ca="1"/>
        <v>0.6481418027165704</v>
      </c>
      <c r="O7358" s="2">
        <f ca="1"/>
        <v>0.8149219037382831</v>
      </c>
      <c r="X7358" s="2">
        <f ca="1"/>
        <v>43.275374180278156</v>
      </c>
      <c r="AG7358" s="2">
        <f ca="1"/>
        <v>0.37825752341224739</v>
      </c>
      <c r="AH7358" s="2" t="str">
        <f ca="1"/>
        <v>OK</v>
      </c>
    </row>
    <row r="7359" spans="2:34">
      <c r="B7359" s="2">
        <f ca="1"/>
        <v>0.80667820638020604</v>
      </c>
      <c r="O7359" s="2">
        <f ca="1"/>
        <v>0.10978378137002975</v>
      </c>
      <c r="X7359" s="2">
        <f ca="1"/>
        <v>54.677010735040447</v>
      </c>
      <c r="AG7359" s="2">
        <f ca="1"/>
        <v>0.96259806099569545</v>
      </c>
      <c r="AH7359" s="2" t="str">
        <f ca="1"/>
        <v>Bad</v>
      </c>
    </row>
    <row r="7360" spans="2:34">
      <c r="B7360" s="2">
        <f ca="1"/>
        <v>4.1822744981392379E-2</v>
      </c>
      <c r="O7360" s="2">
        <f ca="1"/>
        <v>0.71081078566014821</v>
      </c>
      <c r="X7360" s="2">
        <f ca="1"/>
        <v>43.06873378708584</v>
      </c>
      <c r="AG7360" s="2">
        <f ca="1"/>
        <v>0.99583062968906644</v>
      </c>
      <c r="AH7360" s="2" t="str">
        <f ca="1"/>
        <v>Bad</v>
      </c>
    </row>
    <row r="7361" spans="2:34">
      <c r="B7361" s="2">
        <f ca="1"/>
        <v>0.76130504834200141</v>
      </c>
      <c r="O7361" s="2">
        <f ca="1"/>
        <v>0.62289562617832916</v>
      </c>
      <c r="X7361" s="2">
        <f ca="1"/>
        <v>66.499631650332134</v>
      </c>
      <c r="AG7361" s="2">
        <f ca="1"/>
        <v>0.18735590394543067</v>
      </c>
      <c r="AH7361" s="2" t="str">
        <f ca="1"/>
        <v>OK</v>
      </c>
    </row>
    <row r="7362" spans="2:34">
      <c r="B7362" s="2">
        <f ca="1"/>
        <v>0.46131005828398419</v>
      </c>
      <c r="O7362" s="2">
        <f ca="1"/>
        <v>-0.41817712615976932</v>
      </c>
      <c r="X7362" s="2">
        <f ca="1"/>
        <v>39.639643945706041</v>
      </c>
      <c r="AG7362" s="2">
        <f ca="1"/>
        <v>0.24803241825677347</v>
      </c>
      <c r="AH7362" s="2" t="str">
        <f ca="1"/>
        <v>OK</v>
      </c>
    </row>
    <row r="7363" spans="2:34">
      <c r="B7363" s="2">
        <f ca="1"/>
        <v>0.20365797376109951</v>
      </c>
      <c r="O7363" s="2">
        <f ca="1"/>
        <v>-0.68970192366667837</v>
      </c>
      <c r="X7363" s="2">
        <f ca="1"/>
        <v>67.309693906791779</v>
      </c>
      <c r="AG7363" s="2">
        <f ca="1"/>
        <v>0.97124773515114149</v>
      </c>
      <c r="AH7363" s="2" t="str">
        <f ca="1"/>
        <v>Bad</v>
      </c>
    </row>
    <row r="7364" spans="2:34">
      <c r="B7364" s="2">
        <f ca="1"/>
        <v>3.6239622358221313E-2</v>
      </c>
      <c r="O7364" s="2">
        <f ca="1"/>
        <v>1.5037716557977816</v>
      </c>
      <c r="X7364" s="2">
        <f ca="1"/>
        <v>45.611021220229581</v>
      </c>
      <c r="AG7364" s="2">
        <f ca="1"/>
        <v>0.48963892052686209</v>
      </c>
      <c r="AH7364" s="2" t="str">
        <f ca="1"/>
        <v>Bad</v>
      </c>
    </row>
    <row r="7365" spans="2:34">
      <c r="B7365" s="2">
        <f ca="1"/>
        <v>0.70905708263437695</v>
      </c>
      <c r="O7365" s="2">
        <f ca="1"/>
        <v>-0.32279419695663347</v>
      </c>
      <c r="X7365" s="2">
        <f ca="1"/>
        <v>63.23497367473464</v>
      </c>
      <c r="AG7365" s="2">
        <f ca="1"/>
        <v>0.48123795622377186</v>
      </c>
      <c r="AH7365" s="2" t="str">
        <f ca="1"/>
        <v>Bad</v>
      </c>
    </row>
    <row r="7366" spans="2:34">
      <c r="B7366" s="2">
        <f ca="1"/>
        <v>0.7077877618296462</v>
      </c>
      <c r="O7366" s="2">
        <f ca="1"/>
        <v>-0.58129419559039219</v>
      </c>
      <c r="X7366" s="2">
        <f ca="1"/>
        <v>44.759172565531948</v>
      </c>
      <c r="AG7366" s="2">
        <f ca="1"/>
        <v>0.80667342408976395</v>
      </c>
      <c r="AH7366" s="2" t="str">
        <f ca="1"/>
        <v>Bad</v>
      </c>
    </row>
    <row r="7367" spans="2:34">
      <c r="B7367" s="2">
        <f ca="1"/>
        <v>0.76161121751636873</v>
      </c>
      <c r="O7367" s="2">
        <f ca="1"/>
        <v>-0.28434528976820372</v>
      </c>
      <c r="X7367" s="2">
        <f ca="1"/>
        <v>51.100137752847644</v>
      </c>
      <c r="AG7367" s="2">
        <f ca="1"/>
        <v>0.17346967423972015</v>
      </c>
      <c r="AH7367" s="2" t="str">
        <f ca="1"/>
        <v>OK</v>
      </c>
    </row>
    <row r="7368" spans="2:34">
      <c r="B7368" s="2">
        <f ca="1"/>
        <v>0.51092253068920002</v>
      </c>
      <c r="O7368" s="2">
        <f ca="1"/>
        <v>0.36181585866728549</v>
      </c>
      <c r="X7368" s="2">
        <f ca="1"/>
        <v>40.363966216928226</v>
      </c>
      <c r="AG7368" s="2">
        <f ca="1"/>
        <v>0.62358322156081791</v>
      </c>
      <c r="AH7368" s="2" t="str">
        <f ca="1"/>
        <v>Bad</v>
      </c>
    </row>
    <row r="7369" spans="2:34">
      <c r="B7369" s="2">
        <f ca="1"/>
        <v>0.34837940618363694</v>
      </c>
      <c r="O7369" s="2">
        <f ca="1"/>
        <v>1.0468508852793386</v>
      </c>
      <c r="X7369" s="2">
        <f ca="1"/>
        <v>29.355932165581592</v>
      </c>
      <c r="AG7369" s="2">
        <f ca="1"/>
        <v>0.15917713754791518</v>
      </c>
      <c r="AH7369" s="2" t="str">
        <f ca="1"/>
        <v>OK</v>
      </c>
    </row>
    <row r="7370" spans="2:34">
      <c r="B7370" s="2">
        <f ca="1"/>
        <v>0.37294481672796564</v>
      </c>
      <c r="O7370" s="2">
        <f ca="1"/>
        <v>-1.4125295064944206</v>
      </c>
      <c r="X7370" s="2">
        <f ca="1"/>
        <v>32.535928575428962</v>
      </c>
      <c r="AG7370" s="2">
        <f ca="1"/>
        <v>0.70823257489725688</v>
      </c>
      <c r="AH7370" s="2" t="str">
        <f ca="1"/>
        <v>Bad</v>
      </c>
    </row>
    <row r="7371" spans="2:34">
      <c r="B7371" s="2">
        <f ca="1"/>
        <v>0.64138858984930858</v>
      </c>
      <c r="O7371" s="2">
        <f ca="1"/>
        <v>0.97110400880551739</v>
      </c>
      <c r="X7371" s="2">
        <f ca="1"/>
        <v>67.203363017404968</v>
      </c>
      <c r="AG7371" s="2">
        <f ca="1"/>
        <v>5.1125333337175727E-2</v>
      </c>
      <c r="AH7371" s="2" t="str">
        <f ca="1"/>
        <v>OK</v>
      </c>
    </row>
    <row r="7372" spans="2:34">
      <c r="B7372" s="2">
        <f ca="1"/>
        <v>0.33591010449482717</v>
      </c>
      <c r="O7372" s="2">
        <f ca="1"/>
        <v>-0.26009675313837727</v>
      </c>
      <c r="X7372" s="2">
        <f ca="1"/>
        <v>52.361249630018605</v>
      </c>
      <c r="AG7372" s="2">
        <f ca="1"/>
        <v>0.23096608201830149</v>
      </c>
      <c r="AH7372" s="2" t="str">
        <f ca="1"/>
        <v>OK</v>
      </c>
    </row>
    <row r="7373" spans="2:34">
      <c r="B7373" s="2">
        <f ca="1"/>
        <v>9.5652232595084818E-2</v>
      </c>
      <c r="O7373" s="2">
        <f ca="1"/>
        <v>-2.4182584352533576</v>
      </c>
      <c r="X7373" s="2">
        <f ca="1"/>
        <v>39.849419290564747</v>
      </c>
      <c r="AG7373" s="2">
        <f ca="1"/>
        <v>0.43959630059982113</v>
      </c>
      <c r="AH7373" s="2" t="str">
        <f ca="1"/>
        <v>Bad</v>
      </c>
    </row>
    <row r="7374" spans="2:34">
      <c r="B7374" s="2">
        <f ca="1"/>
        <v>0.6661472086923077</v>
      </c>
      <c r="O7374" s="2">
        <f ca="1"/>
        <v>-1.3010789337062487</v>
      </c>
      <c r="X7374" s="2">
        <f ca="1"/>
        <v>17.562329492840735</v>
      </c>
      <c r="AG7374" s="2">
        <f ca="1"/>
        <v>4.3347537303640493E-2</v>
      </c>
      <c r="AH7374" s="2" t="str">
        <f ca="1"/>
        <v>Good</v>
      </c>
    </row>
    <row r="7375" spans="2:34">
      <c r="B7375" s="2">
        <f ca="1"/>
        <v>0.19206830120205209</v>
      </c>
      <c r="O7375" s="2">
        <f ca="1"/>
        <v>4.0833591051648389E-4</v>
      </c>
      <c r="X7375" s="2">
        <f ca="1"/>
        <v>41.923426394107821</v>
      </c>
      <c r="AG7375" s="2">
        <f ca="1"/>
        <v>9.9113208070766845E-5</v>
      </c>
      <c r="AH7375" s="2" t="str">
        <f ca="1"/>
        <v>Good</v>
      </c>
    </row>
    <row r="7376" spans="2:34">
      <c r="B7376" s="2">
        <f ca="1"/>
        <v>0.72506195061888756</v>
      </c>
      <c r="O7376" s="2">
        <f ca="1"/>
        <v>6.0702757679489745E-2</v>
      </c>
      <c r="X7376" s="2">
        <f ca="1"/>
        <v>45.892516616214451</v>
      </c>
      <c r="AG7376" s="2">
        <f ca="1"/>
        <v>0.33352232603454413</v>
      </c>
      <c r="AH7376" s="2" t="str">
        <f ca="1"/>
        <v>OK</v>
      </c>
    </row>
    <row r="7377" spans="2:34">
      <c r="B7377" s="2">
        <f ca="1"/>
        <v>0.21784486202983278</v>
      </c>
      <c r="O7377" s="2">
        <f ca="1"/>
        <v>1.8614869813087742</v>
      </c>
      <c r="X7377" s="2">
        <f ca="1"/>
        <v>66.312826164111755</v>
      </c>
      <c r="AG7377" s="2">
        <f ca="1"/>
        <v>0.45322692588886393</v>
      </c>
      <c r="AH7377" s="2" t="str">
        <f ca="1"/>
        <v>Bad</v>
      </c>
    </row>
    <row r="7378" spans="2:34">
      <c r="B7378" s="2">
        <f ca="1"/>
        <v>2.9239727209763089E-2</v>
      </c>
      <c r="O7378" s="2">
        <f ca="1"/>
        <v>-0.10866940807546085</v>
      </c>
      <c r="X7378" s="2">
        <f ca="1"/>
        <v>26.446627302068791</v>
      </c>
      <c r="AG7378" s="2">
        <f ca="1"/>
        <v>0.77924385999143797</v>
      </c>
      <c r="AH7378" s="2" t="str">
        <f ca="1"/>
        <v>Bad</v>
      </c>
    </row>
    <row r="7379" spans="2:34">
      <c r="B7379" s="2">
        <f ca="1"/>
        <v>0.90773793915045076</v>
      </c>
      <c r="O7379" s="2">
        <f ca="1"/>
        <v>1.2840214722430756</v>
      </c>
      <c r="X7379" s="2">
        <f ca="1"/>
        <v>31.505790950238293</v>
      </c>
      <c r="AG7379" s="2">
        <f ca="1"/>
        <v>0.24348049739630762</v>
      </c>
      <c r="AH7379" s="2" t="str">
        <f ca="1"/>
        <v>OK</v>
      </c>
    </row>
    <row r="7380" spans="2:34">
      <c r="B7380" s="2">
        <f ca="1"/>
        <v>0.46479917939034743</v>
      </c>
      <c r="O7380" s="2">
        <f ca="1"/>
        <v>0.16636281026705371</v>
      </c>
      <c r="X7380" s="2">
        <f ca="1"/>
        <v>82.577662821265221</v>
      </c>
      <c r="AG7380" s="2">
        <f ca="1"/>
        <v>0.76286841434787034</v>
      </c>
      <c r="AH7380" s="2" t="str">
        <f ca="1"/>
        <v>Bad</v>
      </c>
    </row>
    <row r="7381" spans="2:34">
      <c r="B7381" s="2">
        <f ca="1"/>
        <v>0.453173168731132</v>
      </c>
      <c r="O7381" s="2">
        <f ca="1"/>
        <v>9.3614822284949134E-2</v>
      </c>
      <c r="X7381" s="2">
        <f ca="1"/>
        <v>46.261679430745886</v>
      </c>
      <c r="AG7381" s="2">
        <f ca="1"/>
        <v>7.5001916995359741E-2</v>
      </c>
      <c r="AH7381" s="2" t="str">
        <f ca="1"/>
        <v>OK</v>
      </c>
    </row>
    <row r="7382" spans="2:34">
      <c r="B7382" s="2">
        <f ca="1"/>
        <v>0.3597447627414323</v>
      </c>
      <c r="O7382" s="2">
        <f ca="1"/>
        <v>0.5905437214029623</v>
      </c>
      <c r="X7382" s="2">
        <f ca="1"/>
        <v>24.021837511577008</v>
      </c>
      <c r="AG7382" s="2">
        <f ca="1"/>
        <v>0.58526275773244341</v>
      </c>
      <c r="AH7382" s="2" t="str">
        <f ca="1"/>
        <v>Bad</v>
      </c>
    </row>
    <row r="7383" spans="2:34">
      <c r="B7383" s="2">
        <f ca="1"/>
        <v>0.19460617263687863</v>
      </c>
      <c r="O7383" s="2">
        <f ca="1"/>
        <v>0.46958754529299368</v>
      </c>
      <c r="X7383" s="2">
        <f ca="1"/>
        <v>68.454145987249461</v>
      </c>
      <c r="AG7383" s="2">
        <f ca="1"/>
        <v>0.51944237987186881</v>
      </c>
      <c r="AH7383" s="2" t="str">
        <f ca="1"/>
        <v>Bad</v>
      </c>
    </row>
    <row r="7384" spans="2:34">
      <c r="B7384" s="2">
        <f ca="1"/>
        <v>7.1284550892011689E-2</v>
      </c>
      <c r="O7384" s="2">
        <f ca="1"/>
        <v>-0.44023960659587835</v>
      </c>
      <c r="X7384" s="2">
        <f ca="1"/>
        <v>57.954710148292207</v>
      </c>
      <c r="AG7384" s="2">
        <f ca="1"/>
        <v>0.10653457055652416</v>
      </c>
      <c r="AH7384" s="2" t="str">
        <f ca="1"/>
        <v>OK</v>
      </c>
    </row>
    <row r="7385" spans="2:34">
      <c r="B7385" s="2">
        <f ca="1"/>
        <v>0.43942473342199251</v>
      </c>
      <c r="O7385" s="2">
        <f ca="1"/>
        <v>-1.766006347778398</v>
      </c>
      <c r="X7385" s="2">
        <f ca="1"/>
        <v>38.35576892475099</v>
      </c>
      <c r="AG7385" s="2">
        <f ca="1"/>
        <v>0.48470328329092371</v>
      </c>
      <c r="AH7385" s="2" t="str">
        <f ca="1"/>
        <v>Bad</v>
      </c>
    </row>
    <row r="7386" spans="2:34">
      <c r="B7386" s="2">
        <f ca="1"/>
        <v>0.63210953953408011</v>
      </c>
      <c r="O7386" s="2">
        <f ca="1"/>
        <v>0.86609792035340971</v>
      </c>
      <c r="X7386" s="2">
        <f ca="1"/>
        <v>39.719106183472796</v>
      </c>
      <c r="AG7386" s="2">
        <f ca="1"/>
        <v>0.82039095127847927</v>
      </c>
      <c r="AH7386" s="2" t="str">
        <f ca="1"/>
        <v>Bad</v>
      </c>
    </row>
    <row r="7387" spans="2:34">
      <c r="B7387" s="2">
        <f ca="1"/>
        <v>0.1269913929337978</v>
      </c>
      <c r="O7387" s="2">
        <f ca="1"/>
        <v>-0.78857455096033857</v>
      </c>
      <c r="X7387" s="2">
        <f ca="1"/>
        <v>62.756640062840546</v>
      </c>
      <c r="AG7387" s="2">
        <f ca="1"/>
        <v>0.21122152243786241</v>
      </c>
      <c r="AH7387" s="2" t="str">
        <f ca="1"/>
        <v>OK</v>
      </c>
    </row>
    <row r="7388" spans="2:34">
      <c r="B7388" s="2">
        <f ca="1"/>
        <v>0.16940291821839981</v>
      </c>
      <c r="O7388" s="2">
        <f ca="1"/>
        <v>1.5640150613233501</v>
      </c>
      <c r="X7388" s="2">
        <f ca="1"/>
        <v>48.384416926391587</v>
      </c>
      <c r="AG7388" s="2">
        <f ca="1"/>
        <v>0.97971673146597626</v>
      </c>
      <c r="AH7388" s="2" t="str">
        <f ca="1"/>
        <v>Bad</v>
      </c>
    </row>
    <row r="7389" spans="2:34">
      <c r="B7389" s="2">
        <f ca="1"/>
        <v>0.39754461822323583</v>
      </c>
      <c r="O7389" s="2">
        <f ca="1"/>
        <v>0.57581547891439955</v>
      </c>
      <c r="X7389" s="2">
        <f ca="1"/>
        <v>86.562150686515494</v>
      </c>
      <c r="AG7389" s="2">
        <f ca="1"/>
        <v>0.66543595180319293</v>
      </c>
      <c r="AH7389" s="2" t="str">
        <f ca="1"/>
        <v>Bad</v>
      </c>
    </row>
    <row r="7390" spans="2:34">
      <c r="B7390" s="2">
        <f ca="1"/>
        <v>0.57123177735541319</v>
      </c>
      <c r="O7390" s="2">
        <f ca="1"/>
        <v>-0.69760950094376206</v>
      </c>
      <c r="X7390" s="2">
        <f ca="1"/>
        <v>71.595273635147706</v>
      </c>
      <c r="AG7390" s="2">
        <f ca="1"/>
        <v>0.55921832015006512</v>
      </c>
      <c r="AH7390" s="2" t="str">
        <f ca="1"/>
        <v>Bad</v>
      </c>
    </row>
    <row r="7391" spans="2:34">
      <c r="B7391" s="2">
        <f ca="1"/>
        <v>0.59907752089776745</v>
      </c>
      <c r="O7391" s="2">
        <f ca="1"/>
        <v>0.40038172727609195</v>
      </c>
      <c r="X7391" s="2">
        <f ca="1"/>
        <v>42.441414052625952</v>
      </c>
      <c r="AG7391" s="2">
        <f ca="1"/>
        <v>0.78895981475499144</v>
      </c>
      <c r="AH7391" s="2" t="str">
        <f ca="1"/>
        <v>Bad</v>
      </c>
    </row>
    <row r="7392" spans="2:34">
      <c r="B7392" s="2">
        <f ca="1"/>
        <v>0.88700915395102919</v>
      </c>
      <c r="O7392" s="2">
        <f ca="1"/>
        <v>-2.0185345292251684</v>
      </c>
      <c r="X7392" s="2">
        <f ca="1"/>
        <v>84.98812366767369</v>
      </c>
      <c r="AG7392" s="2">
        <f ca="1"/>
        <v>0.59903383119325415</v>
      </c>
      <c r="AH7392" s="2" t="str">
        <f ca="1"/>
        <v>Bad</v>
      </c>
    </row>
    <row r="7393" spans="2:34">
      <c r="B7393" s="2">
        <f ca="1"/>
        <v>0.51311051677578745</v>
      </c>
      <c r="O7393" s="2">
        <f ca="1"/>
        <v>-0.75009567816508349</v>
      </c>
      <c r="X7393" s="2">
        <f ca="1"/>
        <v>32.267417883780674</v>
      </c>
      <c r="AG7393" s="2">
        <f ca="1"/>
        <v>0.63505355705688671</v>
      </c>
      <c r="AH7393" s="2" t="str">
        <f ca="1"/>
        <v>Bad</v>
      </c>
    </row>
    <row r="7394" spans="2:34">
      <c r="B7394" s="2">
        <f ca="1"/>
        <v>4.9767569978781623E-2</v>
      </c>
      <c r="O7394" s="2">
        <f ca="1"/>
        <v>0.54892792404175239</v>
      </c>
      <c r="X7394" s="2">
        <f ca="1"/>
        <v>43.850958328569938</v>
      </c>
      <c r="AG7394" s="2">
        <f ca="1"/>
        <v>0.25012816247060554</v>
      </c>
      <c r="AH7394" s="2" t="str">
        <f ca="1"/>
        <v>OK</v>
      </c>
    </row>
    <row r="7395" spans="2:34">
      <c r="B7395" s="2">
        <f ca="1"/>
        <v>0.73955718589002828</v>
      </c>
      <c r="O7395" s="2">
        <f ca="1"/>
        <v>-0.79523405212079057</v>
      </c>
      <c r="X7395" s="2">
        <f ca="1"/>
        <v>30.302847665707642</v>
      </c>
      <c r="AG7395" s="2">
        <f ca="1"/>
        <v>7.2869191121601951E-2</v>
      </c>
      <c r="AH7395" s="2" t="str">
        <f ca="1"/>
        <v>OK</v>
      </c>
    </row>
    <row r="7396" spans="2:34">
      <c r="B7396" s="2">
        <f ca="1"/>
        <v>0.81641068548215756</v>
      </c>
      <c r="O7396" s="2">
        <f ca="1"/>
        <v>-1.2085147267641883</v>
      </c>
      <c r="X7396" s="2">
        <f ca="1"/>
        <v>87.23358177046191</v>
      </c>
      <c r="AG7396" s="2">
        <f ca="1"/>
        <v>6.8660829181986127E-2</v>
      </c>
      <c r="AH7396" s="2" t="str">
        <f ca="1"/>
        <v>OK</v>
      </c>
    </row>
    <row r="7397" spans="2:34">
      <c r="B7397" s="2">
        <f ca="1"/>
        <v>0.87429447802469951</v>
      </c>
      <c r="O7397" s="2">
        <f ca="1"/>
        <v>-2.2624900919408595</v>
      </c>
      <c r="X7397" s="2">
        <f ca="1"/>
        <v>43.502810993376606</v>
      </c>
      <c r="AG7397" s="2">
        <f ca="1"/>
        <v>0.58674540268484443</v>
      </c>
      <c r="AH7397" s="2" t="str">
        <f ca="1"/>
        <v>Bad</v>
      </c>
    </row>
    <row r="7398" spans="2:34">
      <c r="B7398" s="2">
        <f ca="1"/>
        <v>0.23345729264172554</v>
      </c>
      <c r="O7398" s="2">
        <f ca="1"/>
        <v>0.32425635482193638</v>
      </c>
      <c r="X7398" s="2">
        <f ca="1"/>
        <v>63.806186576229827</v>
      </c>
      <c r="AG7398" s="2">
        <f ca="1"/>
        <v>0.44028441130798646</v>
      </c>
      <c r="AH7398" s="2" t="str">
        <f ca="1"/>
        <v>Bad</v>
      </c>
    </row>
    <row r="7399" spans="2:34">
      <c r="B7399" s="2">
        <f ca="1"/>
        <v>0.27702403277140375</v>
      </c>
      <c r="O7399" s="2">
        <f ca="1"/>
        <v>1.5144966317370396</v>
      </c>
      <c r="X7399" s="2">
        <f ca="1"/>
        <v>26.358097419537422</v>
      </c>
      <c r="AG7399" s="2">
        <f ca="1"/>
        <v>0.60405429548180778</v>
      </c>
      <c r="AH7399" s="2" t="str">
        <f ca="1"/>
        <v>Bad</v>
      </c>
    </row>
    <row r="7400" spans="2:34">
      <c r="B7400" s="2">
        <f ca="1"/>
        <v>0.49112807403871939</v>
      </c>
      <c r="O7400" s="2">
        <f ca="1"/>
        <v>-0.61702553786886727</v>
      </c>
      <c r="X7400" s="2">
        <f ca="1"/>
        <v>73.725946734662784</v>
      </c>
      <c r="AG7400" s="2">
        <f ca="1"/>
        <v>0.88767967104006185</v>
      </c>
      <c r="AH7400" s="2" t="str">
        <f ca="1"/>
        <v>Bad</v>
      </c>
    </row>
    <row r="7401" spans="2:34">
      <c r="B7401" s="2">
        <f ca="1"/>
        <v>0.96033115486058973</v>
      </c>
      <c r="O7401" s="2">
        <f ca="1"/>
        <v>0.10033898625870327</v>
      </c>
      <c r="X7401" s="2">
        <f ca="1"/>
        <v>57.405618606089924</v>
      </c>
      <c r="AG7401" s="2">
        <f ca="1"/>
        <v>0.30759309671002488</v>
      </c>
      <c r="AH7401" s="2" t="str">
        <f ca="1"/>
        <v>OK</v>
      </c>
    </row>
    <row r="7402" spans="2:34">
      <c r="B7402" s="2">
        <f ca="1"/>
        <v>0.31237304429749302</v>
      </c>
      <c r="O7402" s="2">
        <f ca="1"/>
        <v>0.22846555778606006</v>
      </c>
      <c r="X7402" s="2">
        <f ca="1"/>
        <v>77.915834377727023</v>
      </c>
      <c r="AG7402" s="2">
        <f ca="1"/>
        <v>0.25997416011525387</v>
      </c>
      <c r="AH7402" s="2" t="str">
        <f ca="1"/>
        <v>OK</v>
      </c>
    </row>
    <row r="7403" spans="2:34">
      <c r="B7403" s="2">
        <f ca="1"/>
        <v>0.29825686016489028</v>
      </c>
      <c r="O7403" s="2">
        <f ca="1"/>
        <v>-9.5859749473302752E-2</v>
      </c>
      <c r="X7403" s="2">
        <f ca="1"/>
        <v>34.233092882716527</v>
      </c>
      <c r="AG7403" s="2">
        <f ca="1"/>
        <v>0.64643309563171703</v>
      </c>
      <c r="AH7403" s="2" t="str">
        <f ca="1"/>
        <v>Bad</v>
      </c>
    </row>
    <row r="7404" spans="2:34">
      <c r="B7404" s="2">
        <f ca="1"/>
        <v>0.75357180904152443</v>
      </c>
      <c r="O7404" s="2">
        <f ca="1"/>
        <v>-1.3466043843615969</v>
      </c>
      <c r="X7404" s="2">
        <f ca="1"/>
        <v>38.761703756940037</v>
      </c>
      <c r="AG7404" s="2">
        <f ca="1"/>
        <v>0.64685639065962075</v>
      </c>
      <c r="AH7404" s="2" t="str">
        <f ca="1"/>
        <v>Bad</v>
      </c>
    </row>
    <row r="7405" spans="2:34">
      <c r="B7405" s="2">
        <f ca="1"/>
        <v>0.35056098881146336</v>
      </c>
      <c r="O7405" s="2">
        <f ca="1"/>
        <v>0.33907221354227318</v>
      </c>
      <c r="X7405" s="2">
        <f ca="1"/>
        <v>25.780779470127516</v>
      </c>
      <c r="AG7405" s="2">
        <f ca="1"/>
        <v>0.67256056927270991</v>
      </c>
      <c r="AH7405" s="2" t="str">
        <f ca="1"/>
        <v>Bad</v>
      </c>
    </row>
    <row r="7406" spans="2:34">
      <c r="B7406" s="2">
        <f ca="1"/>
        <v>0.16691415578559865</v>
      </c>
      <c r="O7406" s="2">
        <f ca="1"/>
        <v>0.42187205478253392</v>
      </c>
      <c r="X7406" s="2">
        <f ca="1"/>
        <v>39.603159376447074</v>
      </c>
      <c r="AG7406" s="2">
        <f ca="1"/>
        <v>0.56767062557296177</v>
      </c>
      <c r="AH7406" s="2" t="str">
        <f ca="1"/>
        <v>Bad</v>
      </c>
    </row>
    <row r="7407" spans="2:34">
      <c r="B7407" s="2">
        <f ca="1"/>
        <v>0.75683080187991636</v>
      </c>
      <c r="O7407" s="2">
        <f ca="1"/>
        <v>0.19551487824145683</v>
      </c>
      <c r="X7407" s="2">
        <f ca="1"/>
        <v>59.562823111970253</v>
      </c>
      <c r="AG7407" s="2">
        <f ca="1"/>
        <v>0.83870002252871467</v>
      </c>
      <c r="AH7407" s="2" t="str">
        <f ca="1"/>
        <v>Bad</v>
      </c>
    </row>
    <row r="7408" spans="2:34">
      <c r="B7408" s="2">
        <f ca="1"/>
        <v>0.67588207784404863</v>
      </c>
      <c r="O7408" s="2">
        <f ca="1"/>
        <v>0.21837043237976519</v>
      </c>
      <c r="X7408" s="2">
        <f ca="1"/>
        <v>75.409230686958921</v>
      </c>
      <c r="AG7408" s="2">
        <f ca="1"/>
        <v>0.69490074117791911</v>
      </c>
      <c r="AH7408" s="2" t="str">
        <f ca="1"/>
        <v>Bad</v>
      </c>
    </row>
    <row r="7409" spans="2:34">
      <c r="B7409" s="2">
        <f ca="1"/>
        <v>0.32152965601733863</v>
      </c>
      <c r="O7409" s="2">
        <f ca="1"/>
        <v>5.6007112281878227E-2</v>
      </c>
      <c r="X7409" s="2">
        <f ca="1"/>
        <v>28.598258096083335</v>
      </c>
      <c r="AG7409" s="2">
        <f ca="1"/>
        <v>0.46158149865351761</v>
      </c>
      <c r="AH7409" s="2" t="str">
        <f ca="1"/>
        <v>Bad</v>
      </c>
    </row>
    <row r="7410" spans="2:34">
      <c r="B7410" s="2">
        <f ca="1"/>
        <v>0.48186205828061435</v>
      </c>
      <c r="O7410" s="2">
        <f ca="1"/>
        <v>0.45946468354108561</v>
      </c>
      <c r="X7410" s="2">
        <f ca="1"/>
        <v>26.319139969861904</v>
      </c>
      <c r="AG7410" s="2">
        <f ca="1"/>
        <v>0.7675566789456818</v>
      </c>
      <c r="AH7410" s="2" t="str">
        <f ca="1"/>
        <v>Bad</v>
      </c>
    </row>
    <row r="7411" spans="2:34">
      <c r="B7411" s="2">
        <f ca="1"/>
        <v>0.49898068104170723</v>
      </c>
      <c r="O7411" s="2">
        <f ca="1"/>
        <v>-0.59948885808370533</v>
      </c>
      <c r="X7411" s="2">
        <f ca="1"/>
        <v>62.33982550116896</v>
      </c>
      <c r="AG7411" s="2">
        <f ca="1"/>
        <v>0.95028631023675492</v>
      </c>
      <c r="AH7411" s="2" t="str">
        <f ca="1"/>
        <v>Bad</v>
      </c>
    </row>
    <row r="7412" spans="2:34">
      <c r="B7412" s="2">
        <f ca="1"/>
        <v>0.76354061752615832</v>
      </c>
      <c r="O7412" s="2">
        <f ca="1"/>
        <v>0.48233034360319726</v>
      </c>
      <c r="X7412" s="2">
        <f ca="1"/>
        <v>64.0768292688646</v>
      </c>
      <c r="AG7412" s="2">
        <f ca="1"/>
        <v>0.77462811270808851</v>
      </c>
      <c r="AH7412" s="2" t="str">
        <f ca="1"/>
        <v>Bad</v>
      </c>
    </row>
    <row r="7413" spans="2:34">
      <c r="B7413" s="2">
        <f ca="1"/>
        <v>0.89723092211961286</v>
      </c>
      <c r="O7413" s="2">
        <f ca="1"/>
        <v>0.89976265725175009</v>
      </c>
      <c r="X7413" s="2">
        <f ca="1"/>
        <v>22.644416312090133</v>
      </c>
      <c r="AG7413" s="2">
        <f ca="1"/>
        <v>0.70580846229141492</v>
      </c>
      <c r="AH7413" s="2" t="str">
        <f ca="1"/>
        <v>Bad</v>
      </c>
    </row>
    <row r="7414" spans="2:34">
      <c r="B7414" s="2">
        <f ca="1"/>
        <v>0.42950988593903983</v>
      </c>
      <c r="O7414" s="2">
        <f ca="1"/>
        <v>-1.0820624412669804</v>
      </c>
      <c r="X7414" s="2">
        <f ca="1"/>
        <v>26.680312928557981</v>
      </c>
      <c r="AG7414" s="2">
        <f ca="1"/>
        <v>0.66199307388441309</v>
      </c>
      <c r="AH7414" s="2" t="str">
        <f ca="1"/>
        <v>Bad</v>
      </c>
    </row>
    <row r="7415" spans="2:34">
      <c r="B7415" s="2">
        <f ca="1"/>
        <v>0.53123860535882805</v>
      </c>
      <c r="O7415" s="2">
        <f ca="1"/>
        <v>-1.0440272630656349</v>
      </c>
      <c r="X7415" s="2">
        <f ca="1"/>
        <v>53.59273776795397</v>
      </c>
      <c r="AG7415" s="2">
        <f ca="1"/>
        <v>0.54368036856841306</v>
      </c>
      <c r="AH7415" s="2" t="str">
        <f ca="1"/>
        <v>Bad</v>
      </c>
    </row>
    <row r="7416" spans="2:34">
      <c r="B7416" s="2">
        <f ca="1"/>
        <v>0.98451337616133339</v>
      </c>
      <c r="O7416" s="2">
        <f ca="1"/>
        <v>-0.6362064448964001</v>
      </c>
      <c r="X7416" s="2">
        <f ca="1"/>
        <v>69.007204022492743</v>
      </c>
      <c r="AG7416" s="2">
        <f ca="1"/>
        <v>0.29524987865906072</v>
      </c>
      <c r="AH7416" s="2" t="str">
        <f ca="1"/>
        <v>OK</v>
      </c>
    </row>
    <row r="7417" spans="2:34">
      <c r="B7417" s="2">
        <f ca="1"/>
        <v>0.36448986212398915</v>
      </c>
      <c r="O7417" s="2">
        <f ca="1"/>
        <v>-0.37297076875931345</v>
      </c>
      <c r="X7417" s="2">
        <f ca="1"/>
        <v>49.204878894511602</v>
      </c>
      <c r="AG7417" s="2">
        <f ca="1"/>
        <v>0.86221155945881489</v>
      </c>
      <c r="AH7417" s="2" t="str">
        <f ca="1"/>
        <v>Bad</v>
      </c>
    </row>
    <row r="7418" spans="2:34">
      <c r="B7418" s="2">
        <f ca="1"/>
        <v>0.4256706645344368</v>
      </c>
      <c r="O7418" s="2">
        <f ca="1"/>
        <v>-0.36368657501255874</v>
      </c>
      <c r="X7418" s="2">
        <f ca="1"/>
        <v>62.579900055212207</v>
      </c>
      <c r="AG7418" s="2">
        <f ca="1"/>
        <v>0.95202164660859401</v>
      </c>
      <c r="AH7418" s="2" t="str">
        <f ca="1"/>
        <v>Bad</v>
      </c>
    </row>
    <row r="7419" spans="2:34">
      <c r="B7419" s="2">
        <f ca="1"/>
        <v>0.65687074783804666</v>
      </c>
      <c r="O7419" s="2">
        <f ca="1"/>
        <v>-0.10661850290727341</v>
      </c>
      <c r="X7419" s="2">
        <f ca="1"/>
        <v>60.451102856732597</v>
      </c>
      <c r="AG7419" s="2">
        <f ca="1"/>
        <v>0.75552714238210905</v>
      </c>
      <c r="AH7419" s="2" t="str">
        <f ca="1"/>
        <v>Bad</v>
      </c>
    </row>
    <row r="7420" spans="2:34">
      <c r="B7420" s="2">
        <f ca="1"/>
        <v>0.3473504482981904</v>
      </c>
      <c r="O7420" s="2">
        <f ca="1"/>
        <v>0.43029766654593427</v>
      </c>
      <c r="X7420" s="2">
        <f ca="1"/>
        <v>43.900671656684906</v>
      </c>
      <c r="AG7420" s="2">
        <f ca="1"/>
        <v>0.10937042120597784</v>
      </c>
      <c r="AH7420" s="2" t="str">
        <f ca="1"/>
        <v>OK</v>
      </c>
    </row>
    <row r="7421" spans="2:34">
      <c r="B7421" s="2">
        <f ca="1"/>
        <v>9.5751449099103159E-2</v>
      </c>
      <c r="O7421" s="2">
        <f ca="1"/>
        <v>0.45273585417871581</v>
      </c>
      <c r="X7421" s="2">
        <f ca="1"/>
        <v>109.68866562944368</v>
      </c>
      <c r="AG7421" s="2">
        <f ca="1"/>
        <v>0.94101393488290497</v>
      </c>
      <c r="AH7421" s="2" t="str">
        <f ca="1"/>
        <v>Bad</v>
      </c>
    </row>
    <row r="7422" spans="2:34">
      <c r="B7422" s="2">
        <f ca="1"/>
        <v>0.52011423570313875</v>
      </c>
      <c r="O7422" s="2">
        <f ca="1"/>
        <v>0.73664739026154635</v>
      </c>
      <c r="X7422" s="2">
        <f ca="1"/>
        <v>49.102407664074683</v>
      </c>
      <c r="AG7422" s="2">
        <f ca="1"/>
        <v>0.42355144468255013</v>
      </c>
      <c r="AH7422" s="2" t="str">
        <f ca="1"/>
        <v>Bad</v>
      </c>
    </row>
    <row r="7423" spans="2:34">
      <c r="B7423" s="2">
        <f ca="1"/>
        <v>0.14785639671271711</v>
      </c>
      <c r="O7423" s="2">
        <f ca="1"/>
        <v>0.57245659112457725</v>
      </c>
      <c r="X7423" s="2">
        <f ca="1"/>
        <v>62.023950923478125</v>
      </c>
      <c r="AG7423" s="2">
        <f ca="1"/>
        <v>0.14344117516092703</v>
      </c>
      <c r="AH7423" s="2" t="str">
        <f ca="1"/>
        <v>OK</v>
      </c>
    </row>
    <row r="7424" spans="2:34">
      <c r="B7424" s="2">
        <f ca="1"/>
        <v>0.78245279421010516</v>
      </c>
      <c r="O7424" s="2">
        <f ca="1"/>
        <v>-0.61712091000559255</v>
      </c>
      <c r="X7424" s="2">
        <f ca="1"/>
        <v>68.680258320648505</v>
      </c>
      <c r="AG7424" s="2">
        <f ca="1"/>
        <v>0.33829774314994787</v>
      </c>
      <c r="AH7424" s="2" t="str">
        <f ca="1"/>
        <v>OK</v>
      </c>
    </row>
    <row r="7425" spans="2:34">
      <c r="B7425" s="2">
        <f ca="1"/>
        <v>0.91840923951688214</v>
      </c>
      <c r="O7425" s="2">
        <f ca="1"/>
        <v>-0.61849151817100545</v>
      </c>
      <c r="X7425" s="2">
        <f ca="1"/>
        <v>17.670175601681617</v>
      </c>
      <c r="AG7425" s="2">
        <f ca="1"/>
        <v>0.7988446654178134</v>
      </c>
      <c r="AH7425" s="2" t="str">
        <f ca="1"/>
        <v>Bad</v>
      </c>
    </row>
    <row r="7426" spans="2:34">
      <c r="B7426" s="2">
        <f ca="1"/>
        <v>0.3864443661264505</v>
      </c>
      <c r="O7426" s="2">
        <f ca="1"/>
        <v>-0.26112906103473299</v>
      </c>
      <c r="X7426" s="2">
        <f ca="1"/>
        <v>32.362060295925936</v>
      </c>
      <c r="AG7426" s="2">
        <f ca="1"/>
        <v>0.5342565826355048</v>
      </c>
      <c r="AH7426" s="2" t="str">
        <f ca="1"/>
        <v>Bad</v>
      </c>
    </row>
    <row r="7427" spans="2:34">
      <c r="B7427" s="2">
        <f ca="1"/>
        <v>0.76858578018726953</v>
      </c>
      <c r="O7427" s="2">
        <f ca="1"/>
        <v>0.13825402246463805</v>
      </c>
      <c r="X7427" s="2">
        <f ca="1"/>
        <v>50.864148237081594</v>
      </c>
      <c r="AG7427" s="2">
        <f ca="1"/>
        <v>0.71688973736908235</v>
      </c>
      <c r="AH7427" s="2" t="str">
        <f ca="1"/>
        <v>Bad</v>
      </c>
    </row>
    <row r="7428" spans="2:34">
      <c r="B7428" s="2">
        <f ca="1"/>
        <v>0.95908933291390119</v>
      </c>
      <c r="O7428" s="2">
        <f ca="1"/>
        <v>1.0400224728793941</v>
      </c>
      <c r="X7428" s="2">
        <f ca="1"/>
        <v>76.443695167571533</v>
      </c>
      <c r="AG7428" s="2">
        <f ca="1"/>
        <v>0.71750891592161725</v>
      </c>
      <c r="AH7428" s="2" t="str">
        <f ca="1"/>
        <v>Bad</v>
      </c>
    </row>
    <row r="7429" spans="2:34">
      <c r="B7429" s="2">
        <f ca="1"/>
        <v>0.6766525219374746</v>
      </c>
      <c r="O7429" s="2">
        <f ca="1"/>
        <v>0.99900698092630502</v>
      </c>
      <c r="X7429" s="2">
        <f ca="1"/>
        <v>72.177599658871358</v>
      </c>
      <c r="AG7429" s="2">
        <f ca="1"/>
        <v>0.84908922222416594</v>
      </c>
      <c r="AH7429" s="2" t="str">
        <f ca="1"/>
        <v>Bad</v>
      </c>
    </row>
    <row r="7430" spans="2:34">
      <c r="B7430" s="2">
        <f ca="1"/>
        <v>0.82107997987239734</v>
      </c>
      <c r="O7430" s="2">
        <f ca="1"/>
        <v>0.28354933199979693</v>
      </c>
      <c r="X7430" s="2">
        <f ca="1"/>
        <v>51.090261442725826</v>
      </c>
      <c r="AG7430" s="2">
        <f ca="1"/>
        <v>0.84941567609314572</v>
      </c>
      <c r="AH7430" s="2" t="str">
        <f ca="1"/>
        <v>Bad</v>
      </c>
    </row>
    <row r="7431" spans="2:34">
      <c r="B7431" s="2">
        <f ca="1"/>
        <v>0.15307208895729763</v>
      </c>
      <c r="O7431" s="2">
        <f ca="1"/>
        <v>0.46212884828542877</v>
      </c>
      <c r="X7431" s="2">
        <f ca="1"/>
        <v>49.568182292837577</v>
      </c>
      <c r="AG7431" s="2">
        <f ca="1"/>
        <v>0.96154097709059494</v>
      </c>
      <c r="AH7431" s="2" t="str">
        <f ca="1"/>
        <v>Bad</v>
      </c>
    </row>
    <row r="7432" spans="2:34">
      <c r="B7432" s="2">
        <f ca="1"/>
        <v>0.21958543854032442</v>
      </c>
      <c r="O7432" s="2">
        <f ca="1"/>
        <v>-0.91185468503692224</v>
      </c>
      <c r="X7432" s="2">
        <f ca="1"/>
        <v>105.18203473021271</v>
      </c>
      <c r="AG7432" s="2">
        <f ca="1"/>
        <v>0.75580652552474548</v>
      </c>
      <c r="AH7432" s="2" t="str">
        <f ca="1"/>
        <v>Bad</v>
      </c>
    </row>
    <row r="7433" spans="2:34">
      <c r="B7433" s="2">
        <f ca="1"/>
        <v>0.74601026819102567</v>
      </c>
      <c r="O7433" s="2">
        <f ca="1"/>
        <v>-0.15406823889820459</v>
      </c>
      <c r="X7433" s="2">
        <f ca="1"/>
        <v>72.323042117619821</v>
      </c>
      <c r="AG7433" s="2">
        <f ca="1"/>
        <v>0.71026638469307879</v>
      </c>
      <c r="AH7433" s="2" t="str">
        <f ca="1"/>
        <v>Bad</v>
      </c>
    </row>
    <row r="7434" spans="2:34">
      <c r="B7434" s="2">
        <f ca="1"/>
        <v>0.19047236937507162</v>
      </c>
      <c r="O7434" s="2">
        <f ca="1"/>
        <v>1.6139964694388005</v>
      </c>
      <c r="X7434" s="2">
        <f ca="1"/>
        <v>71.381364373726512</v>
      </c>
      <c r="AG7434" s="2">
        <f ca="1"/>
        <v>0.43313186190033703</v>
      </c>
      <c r="AH7434" s="2" t="str">
        <f ca="1"/>
        <v>Bad</v>
      </c>
    </row>
    <row r="7435" spans="2:34">
      <c r="B7435" s="2">
        <f ca="1"/>
        <v>0.18550992312493308</v>
      </c>
      <c r="O7435" s="2">
        <f ca="1"/>
        <v>-5.0162327607669172E-2</v>
      </c>
      <c r="X7435" s="2">
        <f ca="1"/>
        <v>58.843441078493399</v>
      </c>
      <c r="AG7435" s="2">
        <f ca="1"/>
        <v>0.22239286227817967</v>
      </c>
      <c r="AH7435" s="2" t="str">
        <f ca="1"/>
        <v>OK</v>
      </c>
    </row>
    <row r="7436" spans="2:34">
      <c r="B7436" s="2">
        <f ca="1"/>
        <v>0.80361519723995678</v>
      </c>
      <c r="O7436" s="2">
        <f ca="1"/>
        <v>-0.16538619474549204</v>
      </c>
      <c r="X7436" s="2">
        <f ca="1"/>
        <v>50.832848184376154</v>
      </c>
      <c r="AG7436" s="2">
        <f ca="1"/>
        <v>0.51898285536019406</v>
      </c>
      <c r="AH7436" s="2" t="str">
        <f ca="1"/>
        <v>Bad</v>
      </c>
    </row>
    <row r="7437" spans="2:34">
      <c r="B7437" s="2">
        <f ca="1"/>
        <v>0.55724838972531843</v>
      </c>
      <c r="O7437" s="2">
        <f ca="1"/>
        <v>-1.6801196501518487</v>
      </c>
      <c r="X7437" s="2">
        <f ca="1"/>
        <v>48.294530280876074</v>
      </c>
      <c r="AG7437" s="2">
        <f ca="1"/>
        <v>0.82486005704671839</v>
      </c>
      <c r="AH7437" s="2" t="str">
        <f ca="1"/>
        <v>Bad</v>
      </c>
    </row>
    <row r="7438" spans="2:34">
      <c r="B7438" s="2">
        <f ca="1"/>
        <v>0.16897429747775972</v>
      </c>
      <c r="O7438" s="2">
        <f ca="1"/>
        <v>-0.8000647179097865</v>
      </c>
      <c r="X7438" s="2">
        <f ca="1"/>
        <v>37.627706909717247</v>
      </c>
      <c r="AG7438" s="2">
        <f ca="1"/>
        <v>0.11377105391707554</v>
      </c>
      <c r="AH7438" s="2" t="str">
        <f ca="1"/>
        <v>OK</v>
      </c>
    </row>
    <row r="7439" spans="2:34">
      <c r="B7439" s="2">
        <f ca="1"/>
        <v>0.14038844359053759</v>
      </c>
      <c r="O7439" s="2">
        <f ca="1"/>
        <v>1.0151716178868402</v>
      </c>
      <c r="X7439" s="2">
        <f ca="1"/>
        <v>67.126192555048362</v>
      </c>
      <c r="AG7439" s="2">
        <f ca="1"/>
        <v>0.68580640121777736</v>
      </c>
      <c r="AH7439" s="2" t="str">
        <f ca="1"/>
        <v>Bad</v>
      </c>
    </row>
    <row r="7440" spans="2:34">
      <c r="B7440" s="2">
        <f ca="1"/>
        <v>0.89079853517334762</v>
      </c>
      <c r="O7440" s="2">
        <f ca="1"/>
        <v>-1.0086927519673143</v>
      </c>
      <c r="X7440" s="2">
        <f ca="1"/>
        <v>82.163263326843065</v>
      </c>
      <c r="AG7440" s="2">
        <f ca="1"/>
        <v>0.45016048731751557</v>
      </c>
      <c r="AH7440" s="2" t="str">
        <f ca="1"/>
        <v>Bad</v>
      </c>
    </row>
    <row r="7441" spans="2:34">
      <c r="B7441" s="2">
        <f ca="1"/>
        <v>8.5649364773640935E-2</v>
      </c>
      <c r="O7441" s="2">
        <f ca="1"/>
        <v>-0.82737971382073594</v>
      </c>
      <c r="X7441" s="2">
        <f ca="1"/>
        <v>28.901076348882913</v>
      </c>
      <c r="AG7441" s="2">
        <f ca="1"/>
        <v>0.5106452453252861</v>
      </c>
      <c r="AH7441" s="2" t="str">
        <f ca="1"/>
        <v>Bad</v>
      </c>
    </row>
    <row r="7442" spans="2:34">
      <c r="B7442" s="2">
        <f ca="1"/>
        <v>0.56824710759181052</v>
      </c>
      <c r="O7442" s="2">
        <f ca="1"/>
        <v>-0.65295109778487426</v>
      </c>
      <c r="X7442" s="2">
        <f ca="1"/>
        <v>47.529100463142257</v>
      </c>
      <c r="AG7442" s="2">
        <f ca="1"/>
        <v>1.4811164145992262E-2</v>
      </c>
      <c r="AH7442" s="2" t="str">
        <f ca="1"/>
        <v>Good</v>
      </c>
    </row>
    <row r="7443" spans="2:34">
      <c r="B7443" s="2">
        <f ca="1"/>
        <v>0.62962011479381985</v>
      </c>
      <c r="O7443" s="2">
        <f ca="1"/>
        <v>1.3326176169997717</v>
      </c>
      <c r="X7443" s="2">
        <f ca="1"/>
        <v>46.781541183449349</v>
      </c>
      <c r="AG7443" s="2">
        <f ca="1"/>
        <v>0.64247882007449242</v>
      </c>
      <c r="AH7443" s="2" t="str">
        <f ca="1"/>
        <v>Bad</v>
      </c>
    </row>
    <row r="7444" spans="2:34">
      <c r="B7444" s="2">
        <f ca="1"/>
        <v>0.3451265042331606</v>
      </c>
      <c r="O7444" s="2">
        <f ca="1"/>
        <v>8.678522556419839E-2</v>
      </c>
      <c r="X7444" s="2">
        <f ca="1"/>
        <v>48.190922837910115</v>
      </c>
      <c r="AG7444" s="2">
        <f ca="1"/>
        <v>0.61732545455653764</v>
      </c>
      <c r="AH7444" s="2" t="str">
        <f ca="1"/>
        <v>Bad</v>
      </c>
    </row>
    <row r="7445" spans="2:34">
      <c r="B7445" s="2">
        <f ca="1"/>
        <v>0.78161514092785289</v>
      </c>
      <c r="O7445" s="2">
        <f ca="1"/>
        <v>-1.1312690969723982</v>
      </c>
      <c r="X7445" s="2">
        <f ca="1"/>
        <v>55.163353545408498</v>
      </c>
      <c r="AG7445" s="2">
        <f ca="1"/>
        <v>0.38211435328320542</v>
      </c>
      <c r="AH7445" s="2" t="str">
        <f ca="1"/>
        <v>OK</v>
      </c>
    </row>
    <row r="7446" spans="2:34">
      <c r="B7446" s="2">
        <f ca="1"/>
        <v>3.3918188328220689E-2</v>
      </c>
      <c r="O7446" s="2">
        <f ca="1"/>
        <v>0.38659014006060866</v>
      </c>
      <c r="X7446" s="2">
        <f ca="1"/>
        <v>78.716548969489551</v>
      </c>
      <c r="AG7446" s="2">
        <f ca="1"/>
        <v>0.1608307868404526</v>
      </c>
      <c r="AH7446" s="2" t="str">
        <f ca="1"/>
        <v>OK</v>
      </c>
    </row>
    <row r="7447" spans="2:34">
      <c r="B7447" s="2">
        <f ca="1"/>
        <v>2.4885938910235605E-2</v>
      </c>
      <c r="O7447" s="2">
        <f ca="1"/>
        <v>0.40493852431345523</v>
      </c>
      <c r="X7447" s="2">
        <f ca="1"/>
        <v>86.453620418288395</v>
      </c>
      <c r="AG7447" s="2">
        <f ca="1"/>
        <v>0.46011021990265322</v>
      </c>
      <c r="AH7447" s="2" t="str">
        <f ca="1"/>
        <v>Bad</v>
      </c>
    </row>
    <row r="7448" spans="2:34">
      <c r="B7448" s="2">
        <f ca="1"/>
        <v>0.71188625560854835</v>
      </c>
      <c r="O7448" s="2">
        <f ca="1"/>
        <v>2.2858380757047909</v>
      </c>
      <c r="X7448" s="2">
        <f ca="1"/>
        <v>29.470054685110973</v>
      </c>
      <c r="AG7448" s="2">
        <f ca="1"/>
        <v>0.21674321085588488</v>
      </c>
      <c r="AH7448" s="2" t="str">
        <f ca="1"/>
        <v>OK</v>
      </c>
    </row>
    <row r="7449" spans="2:34">
      <c r="B7449" s="2">
        <f ca="1"/>
        <v>0.36086404636801062</v>
      </c>
      <c r="O7449" s="2">
        <f ca="1"/>
        <v>-2.0777798408988999</v>
      </c>
      <c r="X7449" s="2">
        <f ca="1"/>
        <v>26.15900205473244</v>
      </c>
      <c r="AG7449" s="2">
        <f ca="1"/>
        <v>0.9223964494902428</v>
      </c>
      <c r="AH7449" s="2" t="str">
        <f ca="1"/>
        <v>Bad</v>
      </c>
    </row>
    <row r="7450" spans="2:34">
      <c r="B7450" s="2">
        <f ca="1"/>
        <v>0.81781751231656474</v>
      </c>
      <c r="O7450" s="2">
        <f ca="1"/>
        <v>-8.2441186412377548E-2</v>
      </c>
      <c r="X7450" s="2">
        <f ca="1"/>
        <v>33.69805963626132</v>
      </c>
      <c r="AG7450" s="2">
        <f ca="1"/>
        <v>0.93670537768808049</v>
      </c>
      <c r="AH7450" s="2" t="str">
        <f ca="1"/>
        <v>Bad</v>
      </c>
    </row>
    <row r="7451" spans="2:34">
      <c r="B7451" s="2">
        <f ca="1"/>
        <v>0.52536734057101642</v>
      </c>
      <c r="O7451" s="2">
        <f ca="1"/>
        <v>-0.39542018360889969</v>
      </c>
      <c r="X7451" s="2">
        <f ca="1"/>
        <v>31.799591747317365</v>
      </c>
      <c r="AG7451" s="2">
        <f ca="1"/>
        <v>0.23114711553745715</v>
      </c>
      <c r="AH7451" s="2" t="str">
        <f ca="1"/>
        <v>OK</v>
      </c>
    </row>
    <row r="7452" spans="2:34">
      <c r="B7452" s="2">
        <f ca="1"/>
        <v>0.2243866982024374</v>
      </c>
      <c r="O7452" s="2">
        <f ca="1"/>
        <v>0.53159804317614234</v>
      </c>
      <c r="X7452" s="2">
        <f ca="1"/>
        <v>45.665698953804544</v>
      </c>
      <c r="AG7452" s="2">
        <f ca="1"/>
        <v>0.68832544904388127</v>
      </c>
      <c r="AH7452" s="2" t="str">
        <f ca="1"/>
        <v>Bad</v>
      </c>
    </row>
    <row r="7453" spans="2:34">
      <c r="B7453" s="2">
        <f ca="1"/>
        <v>0.21531793443079872</v>
      </c>
      <c r="O7453" s="2">
        <f ca="1"/>
        <v>1.1348302859541788</v>
      </c>
      <c r="X7453" s="2">
        <f ca="1"/>
        <v>31.164892790750653</v>
      </c>
      <c r="AG7453" s="2">
        <f ca="1"/>
        <v>0.72239762894180948</v>
      </c>
      <c r="AH7453" s="2" t="str">
        <f ca="1"/>
        <v>Bad</v>
      </c>
    </row>
    <row r="7454" spans="2:34">
      <c r="B7454" s="2">
        <f ca="1"/>
        <v>0.8700509222219186</v>
      </c>
      <c r="O7454" s="2">
        <f ca="1"/>
        <v>-0.35510248380507375</v>
      </c>
      <c r="X7454" s="2">
        <f ca="1"/>
        <v>63.363341536137021</v>
      </c>
      <c r="AG7454" s="2">
        <f ca="1"/>
        <v>0.49587296308603812</v>
      </c>
      <c r="AH7454" s="2" t="str">
        <f ca="1"/>
        <v>Bad</v>
      </c>
    </row>
    <row r="7455" spans="2:34">
      <c r="B7455" s="2">
        <f ca="1"/>
        <v>0.40330847243435941</v>
      </c>
      <c r="O7455" s="2">
        <f ca="1"/>
        <v>0.93814504264774801</v>
      </c>
      <c r="X7455" s="2">
        <f ca="1"/>
        <v>47.890796789004838</v>
      </c>
      <c r="AG7455" s="2">
        <f ca="1"/>
        <v>0.62366310900956101</v>
      </c>
      <c r="AH7455" s="2" t="str">
        <f ca="1"/>
        <v>Bad</v>
      </c>
    </row>
    <row r="7456" spans="2:34">
      <c r="B7456" s="2">
        <f ca="1"/>
        <v>4.2771616949216495E-2</v>
      </c>
      <c r="O7456" s="2">
        <f ca="1"/>
        <v>0.87386694553064792</v>
      </c>
      <c r="X7456" s="2">
        <f ca="1"/>
        <v>64.547181594604154</v>
      </c>
      <c r="AG7456" s="2">
        <f ca="1"/>
        <v>0.70732905177502503</v>
      </c>
      <c r="AH7456" s="2" t="str">
        <f ca="1"/>
        <v>Bad</v>
      </c>
    </row>
    <row r="7457" spans="2:34">
      <c r="B7457" s="2">
        <f ca="1"/>
        <v>0.51331241076441692</v>
      </c>
      <c r="O7457" s="2">
        <f ca="1"/>
        <v>0.58424039492279156</v>
      </c>
      <c r="X7457" s="2">
        <f ca="1"/>
        <v>52.145190562539355</v>
      </c>
      <c r="AG7457" s="2">
        <f ca="1"/>
        <v>0.62777677191812264</v>
      </c>
      <c r="AH7457" s="2" t="str">
        <f ca="1"/>
        <v>Bad</v>
      </c>
    </row>
    <row r="7458" spans="2:34">
      <c r="B7458" s="2">
        <f ca="1"/>
        <v>1.1038716942584736E-2</v>
      </c>
      <c r="O7458" s="2">
        <f ca="1"/>
        <v>2.0952156123621211</v>
      </c>
      <c r="X7458" s="2">
        <f ca="1"/>
        <v>65.492564936574865</v>
      </c>
      <c r="AG7458" s="2">
        <f ca="1"/>
        <v>0.93025285094271148</v>
      </c>
      <c r="AH7458" s="2" t="str">
        <f ca="1"/>
        <v>Bad</v>
      </c>
    </row>
    <row r="7459" spans="2:34">
      <c r="B7459" s="2">
        <f ca="1"/>
        <v>0.58484661126942128</v>
      </c>
      <c r="O7459" s="2">
        <f ca="1"/>
        <v>-1.8204697949446418</v>
      </c>
      <c r="X7459" s="2">
        <f ca="1"/>
        <v>63.81687454269241</v>
      </c>
      <c r="AG7459" s="2">
        <f ca="1"/>
        <v>0.32626650855818085</v>
      </c>
      <c r="AH7459" s="2" t="str">
        <f ca="1"/>
        <v>OK</v>
      </c>
    </row>
    <row r="7460" spans="2:34">
      <c r="B7460" s="2">
        <f ca="1"/>
        <v>0.55531956467958787</v>
      </c>
      <c r="O7460" s="2">
        <f ca="1"/>
        <v>-1.2356650298943097</v>
      </c>
      <c r="X7460" s="2">
        <f ca="1"/>
        <v>40.354690046197341</v>
      </c>
      <c r="AG7460" s="2">
        <f ca="1"/>
        <v>0.48091568155546072</v>
      </c>
      <c r="AH7460" s="2" t="str">
        <f ca="1"/>
        <v>Bad</v>
      </c>
    </row>
    <row r="7461" spans="2:34">
      <c r="B7461" s="2">
        <f ca="1"/>
        <v>0.61396847987164316</v>
      </c>
      <c r="O7461" s="2">
        <f ca="1"/>
        <v>0.81472017457168122</v>
      </c>
      <c r="X7461" s="2">
        <f ca="1"/>
        <v>68.458079037693622</v>
      </c>
      <c r="AG7461" s="2">
        <f ca="1"/>
        <v>0.83236885690866136</v>
      </c>
      <c r="AH7461" s="2" t="str">
        <f ca="1"/>
        <v>Bad</v>
      </c>
    </row>
    <row r="7462" spans="2:34">
      <c r="B7462" s="2">
        <f ca="1"/>
        <v>0.85661702733653611</v>
      </c>
      <c r="O7462" s="2">
        <f ca="1"/>
        <v>0.80971155069076117</v>
      </c>
      <c r="X7462" s="2">
        <f ca="1"/>
        <v>58.266170137744268</v>
      </c>
      <c r="AG7462" s="2">
        <f ca="1"/>
        <v>0.38419749824223581</v>
      </c>
      <c r="AH7462" s="2" t="str">
        <f ca="1"/>
        <v>OK</v>
      </c>
    </row>
    <row r="7463" spans="2:34">
      <c r="B7463" s="2">
        <f ca="1"/>
        <v>0.88715487744851251</v>
      </c>
      <c r="O7463" s="2">
        <f ca="1"/>
        <v>0.27684002097195992</v>
      </c>
      <c r="X7463" s="2">
        <f ca="1"/>
        <v>60.604596405707724</v>
      </c>
      <c r="AG7463" s="2">
        <f ca="1"/>
        <v>0.74872978387523514</v>
      </c>
      <c r="AH7463" s="2" t="str">
        <f ca="1"/>
        <v>Bad</v>
      </c>
    </row>
    <row r="7464" spans="2:34">
      <c r="B7464" s="2">
        <f ca="1"/>
        <v>0.10746933550919557</v>
      </c>
      <c r="O7464" s="2">
        <f ca="1"/>
        <v>0.82184559996231044</v>
      </c>
      <c r="X7464" s="2">
        <f ca="1"/>
        <v>33.217749724324577</v>
      </c>
      <c r="AG7464" s="2">
        <f ca="1"/>
        <v>0.75256086273604383</v>
      </c>
      <c r="AH7464" s="2" t="str">
        <f ca="1"/>
        <v>Bad</v>
      </c>
    </row>
    <row r="7465" spans="2:34">
      <c r="B7465" s="2">
        <f ca="1"/>
        <v>0.39972642530176583</v>
      </c>
      <c r="O7465" s="2">
        <f ca="1"/>
        <v>-6.3001443338104521E-2</v>
      </c>
      <c r="X7465" s="2">
        <f ca="1"/>
        <v>75.549865388965969</v>
      </c>
      <c r="AG7465" s="2">
        <f ca="1"/>
        <v>0.71132705272765606</v>
      </c>
      <c r="AH7465" s="2" t="str">
        <f ca="1"/>
        <v>Bad</v>
      </c>
    </row>
    <row r="7466" spans="2:34">
      <c r="B7466" s="2">
        <f ca="1"/>
        <v>0.81917118528647537</v>
      </c>
      <c r="O7466" s="2">
        <f ca="1"/>
        <v>-4.8917787808866783E-2</v>
      </c>
      <c r="X7466" s="2">
        <f ca="1"/>
        <v>47.233085004377564</v>
      </c>
      <c r="AG7466" s="2">
        <f ca="1"/>
        <v>0.2769084100905459</v>
      </c>
      <c r="AH7466" s="2" t="str">
        <f ca="1"/>
        <v>OK</v>
      </c>
    </row>
    <row r="7467" spans="2:34">
      <c r="B7467" s="2">
        <f ca="1"/>
        <v>0.39492178061001249</v>
      </c>
      <c r="O7467" s="2">
        <f ca="1"/>
        <v>0.2281582810494851</v>
      </c>
      <c r="X7467" s="2">
        <f ca="1"/>
        <v>59.866154967227999</v>
      </c>
      <c r="AG7467" s="2">
        <f ca="1"/>
        <v>0.31234312245891793</v>
      </c>
      <c r="AH7467" s="2" t="str">
        <f ca="1"/>
        <v>OK</v>
      </c>
    </row>
    <row r="7468" spans="2:34">
      <c r="B7468" s="2">
        <f ca="1"/>
        <v>0.75190778233624989</v>
      </c>
      <c r="O7468" s="2">
        <f ca="1"/>
        <v>0.74131379435701472</v>
      </c>
      <c r="X7468" s="2">
        <f ca="1"/>
        <v>35.658241224998669</v>
      </c>
      <c r="AG7468" s="2">
        <f ca="1"/>
        <v>0.69428720769798313</v>
      </c>
      <c r="AH7468" s="2" t="str">
        <f ca="1"/>
        <v>Bad</v>
      </c>
    </row>
    <row r="7469" spans="2:34">
      <c r="B7469" s="2">
        <f ca="1"/>
        <v>0.77664386290541865</v>
      </c>
      <c r="O7469" s="2">
        <f ca="1"/>
        <v>1.4194163202376119E-2</v>
      </c>
      <c r="X7469" s="2">
        <f ca="1"/>
        <v>39.097294839136303</v>
      </c>
      <c r="AG7469" s="2">
        <f ca="1"/>
        <v>4.2133299678339675E-2</v>
      </c>
      <c r="AH7469" s="2" t="str">
        <f ca="1"/>
        <v>Good</v>
      </c>
    </row>
    <row r="7470" spans="2:34">
      <c r="B7470" s="2">
        <f ca="1"/>
        <v>0.97873834865392162</v>
      </c>
      <c r="O7470" s="2">
        <f ca="1"/>
        <v>0.7563443320308183</v>
      </c>
      <c r="X7470" s="2">
        <f ca="1"/>
        <v>34.714376001538383</v>
      </c>
      <c r="AG7470" s="2">
        <f ca="1"/>
        <v>0.33836815159589917</v>
      </c>
      <c r="AH7470" s="2" t="str">
        <f ca="1"/>
        <v>OK</v>
      </c>
    </row>
    <row r="7471" spans="2:34">
      <c r="B7471" s="2">
        <f ca="1"/>
        <v>0.40472326738205422</v>
      </c>
      <c r="O7471" s="2">
        <f ca="1"/>
        <v>0.88553391198895326</v>
      </c>
      <c r="X7471" s="2">
        <f ca="1"/>
        <v>67.670049098136104</v>
      </c>
      <c r="AG7471" s="2">
        <f ca="1"/>
        <v>0.35398906195518887</v>
      </c>
      <c r="AH7471" s="2" t="str">
        <f ca="1"/>
        <v>OK</v>
      </c>
    </row>
    <row r="7472" spans="2:34">
      <c r="B7472" s="2">
        <f ca="1"/>
        <v>0.10268644213102029</v>
      </c>
      <c r="O7472" s="2">
        <f ca="1"/>
        <v>1.0449334580631302</v>
      </c>
      <c r="X7472" s="2">
        <f ca="1"/>
        <v>17.825432765172287</v>
      </c>
      <c r="AG7472" s="2">
        <f ca="1"/>
        <v>0.14355214462208088</v>
      </c>
      <c r="AH7472" s="2" t="str">
        <f ca="1"/>
        <v>OK</v>
      </c>
    </row>
    <row r="7473" spans="2:34">
      <c r="B7473" s="2">
        <f ca="1"/>
        <v>0.42433193114395951</v>
      </c>
      <c r="O7473" s="2">
        <f ca="1"/>
        <v>1.0021805356123121</v>
      </c>
      <c r="X7473" s="2">
        <f ca="1"/>
        <v>39.376559287990375</v>
      </c>
      <c r="AG7473" s="2">
        <f ca="1"/>
        <v>0.3725919212911839</v>
      </c>
      <c r="AH7473" s="2" t="str">
        <f ca="1"/>
        <v>OK</v>
      </c>
    </row>
    <row r="7474" spans="2:34">
      <c r="B7474" s="2">
        <f ca="1"/>
        <v>0.82558900297928495</v>
      </c>
      <c r="O7474" s="2">
        <f ca="1"/>
        <v>0.28354740214857627</v>
      </c>
      <c r="X7474" s="2">
        <f ca="1"/>
        <v>35.859379737570741</v>
      </c>
      <c r="AG7474" s="2">
        <f ca="1"/>
        <v>0.38636414940103303</v>
      </c>
      <c r="AH7474" s="2" t="str">
        <f ca="1"/>
        <v>OK</v>
      </c>
    </row>
    <row r="7475" spans="2:34">
      <c r="B7475" s="2">
        <f ca="1"/>
        <v>0.88881193118875101</v>
      </c>
      <c r="O7475" s="2">
        <f ca="1"/>
        <v>1.6812242154095873</v>
      </c>
      <c r="X7475" s="2">
        <f ca="1"/>
        <v>52.091050829205265</v>
      </c>
      <c r="AG7475" s="2">
        <f ca="1"/>
        <v>0.39570503307265992</v>
      </c>
      <c r="AH7475" s="2" t="str">
        <f ca="1"/>
        <v>OK</v>
      </c>
    </row>
    <row r="7476" spans="2:34">
      <c r="B7476" s="2">
        <f ca="1"/>
        <v>0.5410985799416439</v>
      </c>
      <c r="O7476" s="2">
        <f ca="1"/>
        <v>0.3517066963867802</v>
      </c>
      <c r="X7476" s="2">
        <f ca="1"/>
        <v>48.995669768639907</v>
      </c>
      <c r="AG7476" s="2">
        <f ca="1"/>
        <v>0.19698228799975337</v>
      </c>
      <c r="AH7476" s="2" t="str">
        <f ca="1"/>
        <v>OK</v>
      </c>
    </row>
    <row r="7477" spans="2:34">
      <c r="B7477" s="2">
        <f ca="1"/>
        <v>0.86849460105071485</v>
      </c>
      <c r="O7477" s="2">
        <f ca="1"/>
        <v>0.70514299180975382</v>
      </c>
      <c r="X7477" s="2">
        <f ca="1"/>
        <v>46.164330394546901</v>
      </c>
      <c r="AG7477" s="2">
        <f ca="1"/>
        <v>0.45936796761836507</v>
      </c>
      <c r="AH7477" s="2" t="str">
        <f ca="1"/>
        <v>Bad</v>
      </c>
    </row>
    <row r="7478" spans="2:34">
      <c r="B7478" s="2">
        <f ca="1"/>
        <v>0.41437035624266771</v>
      </c>
      <c r="O7478" s="2">
        <f ca="1"/>
        <v>1.6461300145156274E-2</v>
      </c>
      <c r="X7478" s="2">
        <f ca="1"/>
        <v>37.260196009460756</v>
      </c>
      <c r="AG7478" s="2">
        <f ca="1"/>
        <v>0.98301076434568646</v>
      </c>
      <c r="AH7478" s="2" t="str">
        <f ca="1"/>
        <v>Bad</v>
      </c>
    </row>
    <row r="7479" spans="2:34">
      <c r="B7479" s="2">
        <f ca="1"/>
        <v>0.91905111013265595</v>
      </c>
      <c r="O7479" s="2">
        <f ca="1"/>
        <v>-1.5261016556896607</v>
      </c>
      <c r="X7479" s="2">
        <f ca="1"/>
        <v>49.230611190338337</v>
      </c>
      <c r="AG7479" s="2">
        <f ca="1"/>
        <v>0.74367771471471911</v>
      </c>
      <c r="AH7479" s="2" t="str">
        <f ca="1"/>
        <v>Bad</v>
      </c>
    </row>
    <row r="7480" spans="2:34">
      <c r="B7480" s="2">
        <f ca="1"/>
        <v>1.8013049207166398E-2</v>
      </c>
      <c r="O7480" s="2">
        <f ca="1"/>
        <v>-0.4320001492399253</v>
      </c>
      <c r="X7480" s="2">
        <f ca="1"/>
        <v>54.113361308007121</v>
      </c>
      <c r="AG7480" s="2">
        <f ca="1"/>
        <v>0.38712576738465043</v>
      </c>
      <c r="AH7480" s="2" t="str">
        <f ca="1"/>
        <v>OK</v>
      </c>
    </row>
    <row r="7481" spans="2:34">
      <c r="B7481" s="2">
        <f ca="1"/>
        <v>0.94109410718020592</v>
      </c>
      <c r="O7481" s="2">
        <f ca="1"/>
        <v>0.71344711432464891</v>
      </c>
      <c r="X7481" s="2">
        <f ca="1"/>
        <v>61.635521344002051</v>
      </c>
      <c r="AG7481" s="2">
        <f ca="1"/>
        <v>0.70346996084283342</v>
      </c>
      <c r="AH7481" s="2" t="str">
        <f ca="1"/>
        <v>Bad</v>
      </c>
    </row>
    <row r="7482" spans="2:34">
      <c r="B7482" s="2">
        <f ca="1"/>
        <v>5.2647669867200486E-2</v>
      </c>
      <c r="O7482" s="2">
        <f ca="1"/>
        <v>-1.5523124461562744E-2</v>
      </c>
      <c r="X7482" s="2">
        <f ca="1"/>
        <v>57.661867094366166</v>
      </c>
      <c r="AG7482" s="2">
        <f ca="1"/>
        <v>0.26382556670847435</v>
      </c>
      <c r="AH7482" s="2" t="str">
        <f ca="1"/>
        <v>OK</v>
      </c>
    </row>
    <row r="7483" spans="2:34">
      <c r="B7483" s="2">
        <f ca="1"/>
        <v>0.28273139656809909</v>
      </c>
      <c r="O7483" s="2">
        <f ca="1"/>
        <v>2.8492655156411013</v>
      </c>
      <c r="X7483" s="2">
        <f ca="1"/>
        <v>25.064958119162853</v>
      </c>
      <c r="AG7483" s="2">
        <f ca="1"/>
        <v>0.49608164113775244</v>
      </c>
      <c r="AH7483" s="2" t="str">
        <f ca="1"/>
        <v>Bad</v>
      </c>
    </row>
    <row r="7484" spans="2:34">
      <c r="B7484" s="2">
        <f ca="1"/>
        <v>0.6391767770200385</v>
      </c>
      <c r="O7484" s="2">
        <f ca="1"/>
        <v>-0.3970257629578523</v>
      </c>
      <c r="X7484" s="2">
        <f ca="1"/>
        <v>33.431567996823105</v>
      </c>
      <c r="AG7484" s="2">
        <f ca="1"/>
        <v>0.58007502160026281</v>
      </c>
      <c r="AH7484" s="2" t="str">
        <f ca="1"/>
        <v>Bad</v>
      </c>
    </row>
    <row r="7485" spans="2:34">
      <c r="B7485" s="2">
        <f ca="1"/>
        <v>0.57029078043168191</v>
      </c>
      <c r="O7485" s="2">
        <f ca="1"/>
        <v>-0.52807754040766464</v>
      </c>
      <c r="X7485" s="2">
        <f ca="1"/>
        <v>62.288965931291258</v>
      </c>
      <c r="AG7485" s="2">
        <f ca="1"/>
        <v>0.19585640627514778</v>
      </c>
      <c r="AH7485" s="2" t="str">
        <f ca="1"/>
        <v>OK</v>
      </c>
    </row>
    <row r="7486" spans="2:34">
      <c r="B7486" s="2">
        <f ca="1"/>
        <v>0.57563814709218342</v>
      </c>
      <c r="O7486" s="2">
        <f ca="1"/>
        <v>0.98589028230272946</v>
      </c>
      <c r="X7486" s="2">
        <f ca="1"/>
        <v>43.011266983691897</v>
      </c>
      <c r="AG7486" s="2">
        <f ca="1"/>
        <v>0.28013159638990759</v>
      </c>
      <c r="AH7486" s="2" t="str">
        <f ca="1"/>
        <v>OK</v>
      </c>
    </row>
    <row r="7487" spans="2:34">
      <c r="B7487" s="2">
        <f ca="1"/>
        <v>0.49918748028828874</v>
      </c>
      <c r="O7487" s="2">
        <f ca="1"/>
        <v>0.46480877664578985</v>
      </c>
      <c r="X7487" s="2">
        <f ca="1"/>
        <v>42.995688618255713</v>
      </c>
      <c r="AG7487" s="2">
        <f ca="1"/>
        <v>0.48487171485412595</v>
      </c>
      <c r="AH7487" s="2" t="str">
        <f ca="1"/>
        <v>Bad</v>
      </c>
    </row>
    <row r="7488" spans="2:34">
      <c r="B7488" s="2">
        <f ca="1"/>
        <v>0.18819979235453466</v>
      </c>
      <c r="O7488" s="2">
        <f ca="1"/>
        <v>0.47477857225052122</v>
      </c>
      <c r="X7488" s="2">
        <f ca="1"/>
        <v>32.947478337712958</v>
      </c>
      <c r="AG7488" s="2">
        <f ca="1"/>
        <v>0.11465830787928133</v>
      </c>
      <c r="AH7488" s="2" t="str">
        <f ca="1"/>
        <v>OK</v>
      </c>
    </row>
    <row r="7489" spans="2:34">
      <c r="B7489" s="2">
        <f ca="1"/>
        <v>0.23920545278483307</v>
      </c>
      <c r="O7489" s="2">
        <f ca="1"/>
        <v>-3.8583213810660366</v>
      </c>
      <c r="X7489" s="2">
        <f ca="1"/>
        <v>38.304189360574156</v>
      </c>
      <c r="AG7489" s="2">
        <f ca="1"/>
        <v>0.45979881132608202</v>
      </c>
      <c r="AH7489" s="2" t="str">
        <f ca="1"/>
        <v>Bad</v>
      </c>
    </row>
    <row r="7490" spans="2:34">
      <c r="B7490" s="2">
        <f ca="1"/>
        <v>0.20096703386081383</v>
      </c>
      <c r="O7490" s="2">
        <f ca="1"/>
        <v>-1.1977494033252067</v>
      </c>
      <c r="X7490" s="2">
        <f ca="1"/>
        <v>61.415730501741336</v>
      </c>
      <c r="AG7490" s="2">
        <f ca="1"/>
        <v>0.86746351595736959</v>
      </c>
      <c r="AH7490" s="2" t="str">
        <f ca="1"/>
        <v>Bad</v>
      </c>
    </row>
    <row r="7491" spans="2:34">
      <c r="B7491" s="2">
        <f ca="1"/>
        <v>0.79857519110707131</v>
      </c>
      <c r="O7491" s="2">
        <f ca="1"/>
        <v>2.2107244955091358E-2</v>
      </c>
      <c r="X7491" s="2">
        <f ca="1"/>
        <v>53.659236753273035</v>
      </c>
      <c r="AG7491" s="2">
        <f ca="1"/>
        <v>0.74804593927754781</v>
      </c>
      <c r="AH7491" s="2" t="str">
        <f ca="1"/>
        <v>Bad</v>
      </c>
    </row>
    <row r="7492" spans="2:34">
      <c r="B7492" s="2">
        <f ca="1"/>
        <v>0.80050855407224919</v>
      </c>
      <c r="O7492" s="2">
        <f ca="1"/>
        <v>1.6503986604668364</v>
      </c>
      <c r="X7492" s="2">
        <f ca="1"/>
        <v>50.197100299092639</v>
      </c>
      <c r="AG7492" s="2">
        <f ca="1"/>
        <v>0.58875163223857352</v>
      </c>
      <c r="AH7492" s="2" t="str">
        <f ca="1"/>
        <v>Bad</v>
      </c>
    </row>
    <row r="7493" spans="2:34">
      <c r="B7493" s="2">
        <f ca="1"/>
        <v>0.67939349999515963</v>
      </c>
      <c r="O7493" s="2">
        <f ca="1"/>
        <v>1.0831537087752927</v>
      </c>
      <c r="X7493" s="2">
        <f ca="1"/>
        <v>43.602377731137203</v>
      </c>
      <c r="AG7493" s="2">
        <f ca="1"/>
        <v>0.39262319761719144</v>
      </c>
      <c r="AH7493" s="2" t="str">
        <f ca="1"/>
        <v>OK</v>
      </c>
    </row>
    <row r="7494" spans="2:34">
      <c r="B7494" s="2">
        <f ca="1"/>
        <v>0.72779621572247644</v>
      </c>
      <c r="O7494" s="2">
        <f ca="1"/>
        <v>-0.33484727308143714</v>
      </c>
      <c r="X7494" s="2">
        <f ca="1"/>
        <v>38.133441063925403</v>
      </c>
      <c r="AG7494" s="2">
        <f ca="1"/>
        <v>0.10769276085961788</v>
      </c>
      <c r="AH7494" s="2" t="str">
        <f ca="1"/>
        <v>OK</v>
      </c>
    </row>
    <row r="7495" spans="2:34">
      <c r="B7495" s="2">
        <f ca="1"/>
        <v>0.30942516790746821</v>
      </c>
      <c r="O7495" s="2">
        <f ca="1"/>
        <v>-1.20228519402542</v>
      </c>
      <c r="X7495" s="2">
        <f ca="1"/>
        <v>70.661797963448464</v>
      </c>
      <c r="AG7495" s="2">
        <f ca="1"/>
        <v>0.89011318326511857</v>
      </c>
      <c r="AH7495" s="2" t="str">
        <f ca="1"/>
        <v>Bad</v>
      </c>
    </row>
    <row r="7496" spans="2:34">
      <c r="B7496" s="2">
        <f ca="1"/>
        <v>0.45357882758251145</v>
      </c>
      <c r="O7496" s="2">
        <f ca="1"/>
        <v>-1.9977532520367431</v>
      </c>
      <c r="X7496" s="2">
        <f ca="1"/>
        <v>71.95332446833585</v>
      </c>
      <c r="AG7496" s="2">
        <f ca="1"/>
        <v>0.21588059205259746</v>
      </c>
      <c r="AH7496" s="2" t="str">
        <f ca="1"/>
        <v>OK</v>
      </c>
    </row>
    <row r="7497" spans="2:34">
      <c r="B7497" s="2">
        <f ca="1"/>
        <v>0.86437878146389391</v>
      </c>
      <c r="O7497" s="2">
        <f ca="1"/>
        <v>0.83874242466791182</v>
      </c>
      <c r="X7497" s="2">
        <f ca="1"/>
        <v>57.740545089039259</v>
      </c>
      <c r="AG7497" s="2">
        <f ca="1"/>
        <v>0.96600654116497409</v>
      </c>
      <c r="AH7497" s="2" t="str">
        <f ca="1"/>
        <v>Bad</v>
      </c>
    </row>
    <row r="7498" spans="2:34">
      <c r="B7498" s="2">
        <f ca="1"/>
        <v>0.93154001920006779</v>
      </c>
      <c r="O7498" s="2">
        <f ca="1"/>
        <v>0.15167962636697979</v>
      </c>
      <c r="X7498" s="2">
        <f ca="1"/>
        <v>45.243242759178116</v>
      </c>
      <c r="AG7498" s="2">
        <f ca="1"/>
        <v>0.44863890859556599</v>
      </c>
      <c r="AH7498" s="2" t="str">
        <f ca="1"/>
        <v>Bad</v>
      </c>
    </row>
    <row r="7499" spans="2:34">
      <c r="B7499" s="2">
        <f ca="1"/>
        <v>0.26308143409620688</v>
      </c>
      <c r="O7499" s="2">
        <f ca="1"/>
        <v>0.39115388648818483</v>
      </c>
      <c r="X7499" s="2">
        <f ca="1"/>
        <v>29.400497477230559</v>
      </c>
      <c r="AG7499" s="2">
        <f ca="1"/>
        <v>0.10937346168162465</v>
      </c>
      <c r="AH7499" s="2" t="str">
        <f ca="1"/>
        <v>OK</v>
      </c>
    </row>
    <row r="7500" spans="2:34">
      <c r="B7500" s="2">
        <f ca="1"/>
        <v>9.7415514012125559E-2</v>
      </c>
      <c r="O7500" s="2">
        <f ca="1"/>
        <v>0.49879254621567692</v>
      </c>
      <c r="X7500" s="2">
        <f ca="1"/>
        <v>30.184166094202194</v>
      </c>
      <c r="AG7500" s="2">
        <f ca="1"/>
        <v>0.81959921696276217</v>
      </c>
      <c r="AH7500" s="2" t="str">
        <f ca="1"/>
        <v>Bad</v>
      </c>
    </row>
    <row r="7501" spans="2:34">
      <c r="B7501" s="2">
        <f ca="1"/>
        <v>0.48900052321457532</v>
      </c>
      <c r="O7501" s="2">
        <f ca="1"/>
        <v>0.14476619281722011</v>
      </c>
      <c r="X7501" s="2">
        <f ca="1"/>
        <v>41.293160417507842</v>
      </c>
      <c r="AG7501" s="2">
        <f ca="1"/>
        <v>0.9767690483446998</v>
      </c>
      <c r="AH7501" s="2" t="str">
        <f ca="1"/>
        <v>Bad</v>
      </c>
    </row>
    <row r="7502" spans="2:34">
      <c r="B7502" s="2">
        <f ca="1"/>
        <v>0.67825983994521732</v>
      </c>
      <c r="O7502" s="2">
        <f ca="1"/>
        <v>0.43260504319782722</v>
      </c>
      <c r="X7502" s="2">
        <f ca="1"/>
        <v>46.471200815409681</v>
      </c>
      <c r="AG7502" s="2">
        <f ca="1"/>
        <v>0.72126115751885322</v>
      </c>
      <c r="AH7502" s="2" t="str">
        <f ca="1"/>
        <v>Bad</v>
      </c>
    </row>
    <row r="7503" spans="2:34">
      <c r="B7503" s="2">
        <f ca="1"/>
        <v>0.43994350234885959</v>
      </c>
      <c r="O7503" s="2">
        <f ca="1"/>
        <v>-0.57886854108608665</v>
      </c>
      <c r="X7503" s="2">
        <f ca="1"/>
        <v>63.485601139825775</v>
      </c>
      <c r="AG7503" s="2">
        <f ca="1"/>
        <v>0.59194418807337801</v>
      </c>
      <c r="AH7503" s="2" t="str">
        <f ca="1"/>
        <v>Bad</v>
      </c>
    </row>
    <row r="7504" spans="2:34">
      <c r="B7504" s="2">
        <f ca="1"/>
        <v>0.11561675134146032</v>
      </c>
      <c r="O7504" s="2">
        <f ca="1"/>
        <v>-2.1182462123478278</v>
      </c>
      <c r="X7504" s="2">
        <f ca="1"/>
        <v>54.60490226279412</v>
      </c>
      <c r="AG7504" s="2">
        <f ca="1"/>
        <v>0.93905933914768691</v>
      </c>
      <c r="AH7504" s="2" t="str">
        <f ca="1"/>
        <v>Bad</v>
      </c>
    </row>
    <row r="7505" spans="2:34">
      <c r="B7505" s="2">
        <f ca="1"/>
        <v>1.7536872876264376E-2</v>
      </c>
      <c r="O7505" s="2">
        <f ca="1"/>
        <v>0.20378856648320012</v>
      </c>
      <c r="X7505" s="2">
        <f ca="1"/>
        <v>54.843394818721698</v>
      </c>
      <c r="AG7505" s="2">
        <f ca="1"/>
        <v>0.67977198413413364</v>
      </c>
      <c r="AH7505" s="2" t="str">
        <f ca="1"/>
        <v>Bad</v>
      </c>
    </row>
    <row r="7506" spans="2:34">
      <c r="B7506" s="2">
        <f ca="1"/>
        <v>0.94631769286723477</v>
      </c>
      <c r="O7506" s="2">
        <f ca="1"/>
        <v>-0.35143290820758288</v>
      </c>
      <c r="X7506" s="2">
        <f ca="1"/>
        <v>44.843250014846149</v>
      </c>
      <c r="AG7506" s="2">
        <f ca="1"/>
        <v>0.25829130844141446</v>
      </c>
      <c r="AH7506" s="2" t="str">
        <f ca="1"/>
        <v>OK</v>
      </c>
    </row>
    <row r="7507" spans="2:34">
      <c r="B7507" s="2">
        <f ca="1"/>
        <v>0.47211639520554072</v>
      </c>
      <c r="O7507" s="2">
        <f ca="1"/>
        <v>-1.4385514174770657</v>
      </c>
      <c r="X7507" s="2">
        <f ca="1"/>
        <v>30.252545396064381</v>
      </c>
      <c r="AG7507" s="2">
        <f ca="1"/>
        <v>7.4553957061031628E-2</v>
      </c>
      <c r="AH7507" s="2" t="str">
        <f ca="1"/>
        <v>OK</v>
      </c>
    </row>
    <row r="7508" spans="2:34">
      <c r="B7508" s="2">
        <f ca="1"/>
        <v>0.54168690421055898</v>
      </c>
      <c r="O7508" s="2">
        <f ca="1"/>
        <v>0.14123407741888827</v>
      </c>
      <c r="X7508" s="2">
        <f ca="1"/>
        <v>39.882857017062136</v>
      </c>
      <c r="AG7508" s="2">
        <f ca="1"/>
        <v>0.66751869490837756</v>
      </c>
      <c r="AH7508" s="2" t="str">
        <f ca="1"/>
        <v>Bad</v>
      </c>
    </row>
    <row r="7509" spans="2:34">
      <c r="B7509" s="2">
        <f ca="1"/>
        <v>0.50285941666173062</v>
      </c>
      <c r="O7509" s="2">
        <f ca="1"/>
        <v>-8.1993795063058594E-2</v>
      </c>
      <c r="X7509" s="2">
        <f ca="1"/>
        <v>48.002477114547261</v>
      </c>
      <c r="AG7509" s="2">
        <f ca="1"/>
        <v>0.76440408272142468</v>
      </c>
      <c r="AH7509" s="2" t="str">
        <f ca="1"/>
        <v>Bad</v>
      </c>
    </row>
    <row r="7510" spans="2:34">
      <c r="B7510" s="2">
        <f ca="1"/>
        <v>0.23324198755529824</v>
      </c>
      <c r="O7510" s="2">
        <f ca="1"/>
        <v>0.63464868265160768</v>
      </c>
      <c r="X7510" s="2">
        <f ca="1"/>
        <v>51.963948375966709</v>
      </c>
      <c r="AG7510" s="2">
        <f ca="1"/>
        <v>0.33467492971931412</v>
      </c>
      <c r="AH7510" s="2" t="str">
        <f ca="1"/>
        <v>OK</v>
      </c>
    </row>
    <row r="7511" spans="2:34">
      <c r="B7511" s="2">
        <f ca="1"/>
        <v>0.43131744165969588</v>
      </c>
      <c r="O7511" s="2">
        <f ca="1"/>
        <v>-0.4810536920560351</v>
      </c>
      <c r="X7511" s="2">
        <f ca="1"/>
        <v>44.258889340191701</v>
      </c>
      <c r="AG7511" s="2">
        <f ca="1"/>
        <v>0.91485386973308191</v>
      </c>
      <c r="AH7511" s="2" t="str">
        <f ca="1"/>
        <v>Bad</v>
      </c>
    </row>
    <row r="7512" spans="2:34">
      <c r="B7512" s="2">
        <f ca="1"/>
        <v>0.44685448323090715</v>
      </c>
      <c r="O7512" s="2">
        <f ca="1"/>
        <v>-2.9420531670322731E-2</v>
      </c>
      <c r="X7512" s="2">
        <f ca="1"/>
        <v>43.2305537132724</v>
      </c>
      <c r="AG7512" s="2">
        <f ca="1"/>
        <v>0.61601762867729293</v>
      </c>
      <c r="AH7512" s="2" t="str">
        <f ca="1"/>
        <v>Bad</v>
      </c>
    </row>
    <row r="7513" spans="2:34">
      <c r="B7513" s="2">
        <f ca="1"/>
        <v>0.8714879510296083</v>
      </c>
      <c r="O7513" s="2">
        <f ca="1"/>
        <v>1.9378861623791566</v>
      </c>
      <c r="X7513" s="2">
        <f ca="1"/>
        <v>24.335719423318388</v>
      </c>
      <c r="AG7513" s="2">
        <f ca="1"/>
        <v>0.28881912216690386</v>
      </c>
      <c r="AH7513" s="2" t="str">
        <f ca="1"/>
        <v>OK</v>
      </c>
    </row>
    <row r="7514" spans="2:34">
      <c r="B7514" s="2">
        <f ca="1"/>
        <v>0.1121622114221128</v>
      </c>
      <c r="O7514" s="2">
        <f ca="1"/>
        <v>0.58251770552599047</v>
      </c>
      <c r="X7514" s="2">
        <f ca="1"/>
        <v>69.796371644649071</v>
      </c>
      <c r="AG7514" s="2">
        <f ca="1"/>
        <v>0.47264913059991764</v>
      </c>
      <c r="AH7514" s="2" t="str">
        <f ca="1"/>
        <v>Bad</v>
      </c>
    </row>
    <row r="7515" spans="2:34">
      <c r="B7515" s="2">
        <f ca="1"/>
        <v>0.29580043575134751</v>
      </c>
      <c r="O7515" s="2">
        <f ca="1"/>
        <v>-0.2187619127483236</v>
      </c>
      <c r="X7515" s="2">
        <f ca="1"/>
        <v>58.856358783652752</v>
      </c>
      <c r="AG7515" s="2">
        <f ca="1"/>
        <v>0.49285722801007847</v>
      </c>
      <c r="AH7515" s="2" t="str">
        <f ca="1"/>
        <v>Bad</v>
      </c>
    </row>
    <row r="7516" spans="2:34">
      <c r="B7516" s="2">
        <f ca="1"/>
        <v>0.4684058503878008</v>
      </c>
      <c r="O7516" s="2">
        <f ca="1"/>
        <v>-4.6598483617233302E-2</v>
      </c>
      <c r="X7516" s="2">
        <f ca="1"/>
        <v>35.87931606315059</v>
      </c>
      <c r="AG7516" s="2">
        <f ca="1"/>
        <v>0.37240573292967127</v>
      </c>
      <c r="AH7516" s="2" t="str">
        <f ca="1"/>
        <v>OK</v>
      </c>
    </row>
    <row r="7517" spans="2:34">
      <c r="B7517" s="2">
        <f ca="1"/>
        <v>7.7469177831858804E-2</v>
      </c>
      <c r="O7517" s="2">
        <f ca="1"/>
        <v>-1.9240778584055536</v>
      </c>
      <c r="X7517" s="2">
        <f ca="1"/>
        <v>49.00683910587901</v>
      </c>
      <c r="AG7517" s="2">
        <f ca="1"/>
        <v>0.85339346807775951</v>
      </c>
      <c r="AH7517" s="2" t="str">
        <f ca="1"/>
        <v>Bad</v>
      </c>
    </row>
    <row r="7518" spans="2:34">
      <c r="B7518" s="2">
        <f ca="1"/>
        <v>5.650688594774933E-2</v>
      </c>
      <c r="O7518" s="2">
        <f ca="1"/>
        <v>-1.8606558441884227</v>
      </c>
      <c r="X7518" s="2">
        <f ca="1"/>
        <v>45.290898930969064</v>
      </c>
      <c r="AG7518" s="2">
        <f ca="1"/>
        <v>0.59288234897127312</v>
      </c>
      <c r="AH7518" s="2" t="str">
        <f ca="1"/>
        <v>Bad</v>
      </c>
    </row>
    <row r="7519" spans="2:34">
      <c r="B7519" s="2">
        <f ca="1"/>
        <v>0.33712580865837882</v>
      </c>
      <c r="O7519" s="2">
        <f ca="1"/>
        <v>0.84235815132542569</v>
      </c>
      <c r="X7519" s="2">
        <f ca="1"/>
        <v>39.092780114015163</v>
      </c>
      <c r="AG7519" s="2">
        <f ca="1"/>
        <v>0.92366370891416238</v>
      </c>
      <c r="AH7519" s="2" t="str">
        <f ca="1"/>
        <v>Bad</v>
      </c>
    </row>
    <row r="7520" spans="2:34">
      <c r="B7520" s="2">
        <f ca="1"/>
        <v>0.84194156820953481</v>
      </c>
      <c r="O7520" s="2">
        <f ca="1"/>
        <v>0.60480368612625657</v>
      </c>
      <c r="X7520" s="2">
        <f ca="1"/>
        <v>23.778842489472144</v>
      </c>
      <c r="AG7520" s="2">
        <f ca="1"/>
        <v>0.4104344723179294</v>
      </c>
      <c r="AH7520" s="2" t="str">
        <f ca="1"/>
        <v>Bad</v>
      </c>
    </row>
    <row r="7521" spans="2:34">
      <c r="B7521" s="2">
        <f ca="1"/>
        <v>0.68798929208608373</v>
      </c>
      <c r="O7521" s="2">
        <f ca="1"/>
        <v>-1.0960277780028522</v>
      </c>
      <c r="X7521" s="2">
        <f ca="1"/>
        <v>33.323497873730723</v>
      </c>
      <c r="AG7521" s="2">
        <f ca="1"/>
        <v>0.4101917850706287</v>
      </c>
      <c r="AH7521" s="2" t="str">
        <f ca="1"/>
        <v>Bad</v>
      </c>
    </row>
    <row r="7522" spans="2:34">
      <c r="B7522" s="2">
        <f ca="1"/>
        <v>0.15874645733663706</v>
      </c>
      <c r="O7522" s="2">
        <f ca="1"/>
        <v>-0.16839645011036869</v>
      </c>
      <c r="X7522" s="2">
        <f ca="1"/>
        <v>69.698673639393419</v>
      </c>
      <c r="AG7522" s="2">
        <f ca="1"/>
        <v>0.24061260036975085</v>
      </c>
      <c r="AH7522" s="2" t="str">
        <f ca="1"/>
        <v>OK</v>
      </c>
    </row>
    <row r="7523" spans="2:34">
      <c r="B7523" s="2">
        <f ca="1"/>
        <v>9.745672980043385E-2</v>
      </c>
      <c r="O7523" s="2">
        <f ca="1"/>
        <v>-0.11525635185603973</v>
      </c>
      <c r="X7523" s="2">
        <f ca="1"/>
        <v>42.708960172139108</v>
      </c>
      <c r="AG7523" s="2">
        <f ca="1"/>
        <v>0.58193654716319609</v>
      </c>
      <c r="AH7523" s="2" t="str">
        <f ca="1"/>
        <v>Bad</v>
      </c>
    </row>
    <row r="7524" spans="2:34">
      <c r="B7524" s="2">
        <f ca="1"/>
        <v>0.2994790300457606</v>
      </c>
      <c r="O7524" s="2">
        <f ca="1"/>
        <v>4.1408366859692701E-2</v>
      </c>
      <c r="X7524" s="2">
        <f ca="1"/>
        <v>26.879900575776084</v>
      </c>
      <c r="AG7524" s="2">
        <f ca="1"/>
        <v>8.6868990024103754E-2</v>
      </c>
      <c r="AH7524" s="2" t="str">
        <f ca="1"/>
        <v>OK</v>
      </c>
    </row>
    <row r="7525" spans="2:34">
      <c r="B7525" s="2">
        <f ca="1"/>
        <v>0.79583722610085439</v>
      </c>
      <c r="O7525" s="2">
        <f ca="1"/>
        <v>0.5512225408175071</v>
      </c>
      <c r="X7525" s="2">
        <f ca="1"/>
        <v>39.005979897443353</v>
      </c>
      <c r="AG7525" s="2">
        <f ca="1"/>
        <v>0.61467954623432908</v>
      </c>
      <c r="AH7525" s="2" t="str">
        <f ca="1"/>
        <v>Bad</v>
      </c>
    </row>
    <row r="7526" spans="2:34">
      <c r="B7526" s="2">
        <f ca="1"/>
        <v>0.6947693928732479</v>
      </c>
      <c r="O7526" s="2">
        <f ca="1"/>
        <v>0.12134238226956426</v>
      </c>
      <c r="X7526" s="2">
        <f ca="1"/>
        <v>41.004478802221406</v>
      </c>
      <c r="AG7526" s="2">
        <f ca="1"/>
        <v>0.93674358712191208</v>
      </c>
      <c r="AH7526" s="2" t="str">
        <f ca="1"/>
        <v>Bad</v>
      </c>
    </row>
    <row r="7527" spans="2:34">
      <c r="B7527" s="2">
        <f ca="1"/>
        <v>0.22871668784274313</v>
      </c>
      <c r="O7527" s="2">
        <f ca="1"/>
        <v>0.69771601101159941</v>
      </c>
      <c r="X7527" s="2">
        <f ca="1"/>
        <v>71.458372298687408</v>
      </c>
      <c r="AG7527" s="2">
        <f ca="1"/>
        <v>0.71611989278085586</v>
      </c>
      <c r="AH7527" s="2" t="str">
        <f ca="1"/>
        <v>Bad</v>
      </c>
    </row>
    <row r="7528" spans="2:34">
      <c r="B7528" s="2">
        <f ca="1"/>
        <v>0.60052047743757164</v>
      </c>
      <c r="O7528" s="2">
        <f ca="1"/>
        <v>-1.0666825519639289</v>
      </c>
      <c r="X7528" s="2">
        <f ca="1"/>
        <v>77.066846194880753</v>
      </c>
      <c r="AG7528" s="2">
        <f ca="1"/>
        <v>0.6565022650050425</v>
      </c>
      <c r="AH7528" s="2" t="str">
        <f ca="1"/>
        <v>Bad</v>
      </c>
    </row>
    <row r="7529" spans="2:34">
      <c r="B7529" s="2">
        <f ca="1"/>
        <v>6.2552971580800198E-2</v>
      </c>
      <c r="O7529" s="2">
        <f ca="1"/>
        <v>-0.30335508596182154</v>
      </c>
      <c r="X7529" s="2">
        <f ca="1"/>
        <v>34.104890521763373</v>
      </c>
      <c r="AG7529" s="2">
        <f ca="1"/>
        <v>0.9708993011270628</v>
      </c>
      <c r="AH7529" s="2" t="str">
        <f ca="1"/>
        <v>Bad</v>
      </c>
    </row>
    <row r="7530" spans="2:34">
      <c r="B7530" s="2">
        <f ca="1"/>
        <v>0.13277966084398285</v>
      </c>
      <c r="O7530" s="2">
        <f ca="1"/>
        <v>-0.65664595317880159</v>
      </c>
      <c r="X7530" s="2">
        <f ca="1"/>
        <v>35.345506276614515</v>
      </c>
      <c r="AG7530" s="2">
        <f ca="1"/>
        <v>4.5978173115313936E-2</v>
      </c>
      <c r="AH7530" s="2" t="str">
        <f ca="1"/>
        <v>Good</v>
      </c>
    </row>
    <row r="7531" spans="2:34">
      <c r="B7531" s="2">
        <f ca="1"/>
        <v>0.21946639340279073</v>
      </c>
      <c r="O7531" s="2">
        <f ca="1"/>
        <v>0.93101707141180456</v>
      </c>
      <c r="X7531" s="2">
        <f ca="1"/>
        <v>30.657503347553202</v>
      </c>
      <c r="AG7531" s="2">
        <f ca="1"/>
        <v>5.6302716250495877E-3</v>
      </c>
      <c r="AH7531" s="2" t="str">
        <f ca="1"/>
        <v>Good</v>
      </c>
    </row>
    <row r="7532" spans="2:34">
      <c r="B7532" s="2">
        <f ca="1"/>
        <v>0.36369307614468771</v>
      </c>
      <c r="O7532" s="2">
        <f ca="1"/>
        <v>-1.8689685563188583</v>
      </c>
      <c r="X7532" s="2">
        <f ca="1"/>
        <v>15.488105784108768</v>
      </c>
      <c r="AG7532" s="2">
        <f ca="1"/>
        <v>0.24403195727495586</v>
      </c>
      <c r="AH7532" s="2" t="str">
        <f ca="1"/>
        <v>OK</v>
      </c>
    </row>
    <row r="7533" spans="2:34">
      <c r="B7533" s="2">
        <f ca="1"/>
        <v>0.4231499895556341</v>
      </c>
      <c r="O7533" s="2">
        <f ca="1"/>
        <v>0.94377706515913773</v>
      </c>
      <c r="X7533" s="2">
        <f ca="1"/>
        <v>37.537523187070313</v>
      </c>
      <c r="AG7533" s="2">
        <f ca="1"/>
        <v>0.59879586378876071</v>
      </c>
      <c r="AH7533" s="2" t="str">
        <f ca="1"/>
        <v>Bad</v>
      </c>
    </row>
    <row r="7534" spans="2:34">
      <c r="B7534" s="2">
        <f ca="1"/>
        <v>0.23871596191409106</v>
      </c>
      <c r="O7534" s="2">
        <f ca="1"/>
        <v>0.12723523430441402</v>
      </c>
      <c r="X7534" s="2">
        <f ca="1"/>
        <v>75.866781033190492</v>
      </c>
      <c r="AG7534" s="2">
        <f ca="1"/>
        <v>0.63731448351903341</v>
      </c>
      <c r="AH7534" s="2" t="str">
        <f ca="1"/>
        <v>Bad</v>
      </c>
    </row>
    <row r="7535" spans="2:34">
      <c r="B7535" s="2">
        <f ca="1"/>
        <v>0.54777163580177257</v>
      </c>
      <c r="O7535" s="2">
        <f ca="1"/>
        <v>6.6232881976046112E-2</v>
      </c>
      <c r="X7535" s="2">
        <f ca="1"/>
        <v>57.237552556570051</v>
      </c>
      <c r="AG7535" s="2">
        <f ca="1"/>
        <v>0.31579572527085453</v>
      </c>
      <c r="AH7535" s="2" t="str">
        <f ca="1"/>
        <v>OK</v>
      </c>
    </row>
    <row r="7536" spans="2:34">
      <c r="B7536" s="2">
        <f ca="1"/>
        <v>0.50577192520954517</v>
      </c>
      <c r="O7536" s="2">
        <f ca="1"/>
        <v>2.2145965188280075</v>
      </c>
      <c r="X7536" s="2">
        <f ca="1"/>
        <v>38.794475730207651</v>
      </c>
      <c r="AG7536" s="2">
        <f ca="1"/>
        <v>0.76274013688906228</v>
      </c>
      <c r="AH7536" s="2" t="str">
        <f ca="1"/>
        <v>Bad</v>
      </c>
    </row>
    <row r="7537" spans="2:34">
      <c r="B7537" s="2">
        <f ca="1"/>
        <v>0.96281698105066416</v>
      </c>
      <c r="O7537" s="2">
        <f ca="1"/>
        <v>0.86986255669279366</v>
      </c>
      <c r="X7537" s="2">
        <f ca="1"/>
        <v>85.460395780741919</v>
      </c>
      <c r="AG7537" s="2">
        <f ca="1"/>
        <v>0.55488778062169342</v>
      </c>
      <c r="AH7537" s="2" t="str">
        <f ca="1"/>
        <v>Bad</v>
      </c>
    </row>
    <row r="7538" spans="2:34">
      <c r="B7538" s="2">
        <f ca="1"/>
        <v>0.74273580915225046</v>
      </c>
      <c r="O7538" s="2">
        <f ca="1"/>
        <v>5.4202107017485408E-2</v>
      </c>
      <c r="X7538" s="2">
        <f ca="1"/>
        <v>39.669015027005827</v>
      </c>
      <c r="AG7538" s="2">
        <f ca="1"/>
        <v>0.83784335943907284</v>
      </c>
      <c r="AH7538" s="2" t="str">
        <f ca="1"/>
        <v>Bad</v>
      </c>
    </row>
    <row r="7539" spans="2:34">
      <c r="B7539" s="2">
        <f ca="1"/>
        <v>0.96004472264359442</v>
      </c>
      <c r="O7539" s="2">
        <f ca="1"/>
        <v>-0.73225430630853594</v>
      </c>
      <c r="X7539" s="2">
        <f ca="1"/>
        <v>75.643890202873791</v>
      </c>
      <c r="AG7539" s="2">
        <f ca="1"/>
        <v>0.77829688912069317</v>
      </c>
      <c r="AH7539" s="2" t="str">
        <f ca="1"/>
        <v>Bad</v>
      </c>
    </row>
    <row r="7540" spans="2:34">
      <c r="B7540" s="2">
        <f ca="1"/>
        <v>0.47576051133629416</v>
      </c>
      <c r="O7540" s="2">
        <f ca="1"/>
        <v>0.18347741728464304</v>
      </c>
      <c r="X7540" s="2">
        <f ca="1"/>
        <v>44.947339941027266</v>
      </c>
      <c r="AG7540" s="2">
        <f ca="1"/>
        <v>0.57783119125721827</v>
      </c>
      <c r="AH7540" s="2" t="str">
        <f ca="1"/>
        <v>Bad</v>
      </c>
    </row>
    <row r="7541" spans="2:34">
      <c r="B7541" s="2">
        <f ca="1"/>
        <v>0.14318318633490623</v>
      </c>
      <c r="O7541" s="2">
        <f ca="1"/>
        <v>-1.1298866568595123</v>
      </c>
      <c r="X7541" s="2">
        <f ca="1"/>
        <v>46.672497597403009</v>
      </c>
      <c r="AG7541" s="2">
        <f ca="1"/>
        <v>0.61655675742764871</v>
      </c>
      <c r="AH7541" s="2" t="str">
        <f ca="1"/>
        <v>Bad</v>
      </c>
    </row>
    <row r="7542" spans="2:34">
      <c r="B7542" s="2">
        <f ca="1"/>
        <v>0.20055204099510937</v>
      </c>
      <c r="O7542" s="2">
        <f ca="1"/>
        <v>0.34028699717972122</v>
      </c>
      <c r="X7542" s="2">
        <f ca="1"/>
        <v>39.324323180707246</v>
      </c>
      <c r="AG7542" s="2">
        <f ca="1"/>
        <v>0.3814733318825585</v>
      </c>
      <c r="AH7542" s="2" t="str">
        <f ca="1"/>
        <v>OK</v>
      </c>
    </row>
    <row r="7543" spans="2:34">
      <c r="B7543" s="2">
        <f ca="1"/>
        <v>0.68730381070361957</v>
      </c>
      <c r="O7543" s="2">
        <f ca="1"/>
        <v>-1.4769172579678818</v>
      </c>
      <c r="X7543" s="2">
        <f ca="1"/>
        <v>47.775048490955896</v>
      </c>
      <c r="AG7543" s="2">
        <f ca="1"/>
        <v>1.0967660507021249E-2</v>
      </c>
      <c r="AH7543" s="2" t="str">
        <f ca="1"/>
        <v>Good</v>
      </c>
    </row>
    <row r="7544" spans="2:34">
      <c r="B7544" s="2">
        <f ca="1"/>
        <v>0.51852008766076074</v>
      </c>
      <c r="O7544" s="2">
        <f ca="1"/>
        <v>9.3295443140883325E-2</v>
      </c>
      <c r="X7544" s="2">
        <f ca="1"/>
        <v>70.149053743647897</v>
      </c>
      <c r="AG7544" s="2">
        <f ca="1"/>
        <v>0.23107048518003115</v>
      </c>
      <c r="AH7544" s="2" t="str">
        <f ca="1"/>
        <v>OK</v>
      </c>
    </row>
    <row r="7545" spans="2:34">
      <c r="B7545" s="2">
        <f ca="1"/>
        <v>0.32281774771570326</v>
      </c>
      <c r="O7545" s="2">
        <f ca="1"/>
        <v>-1.0477228099864198</v>
      </c>
      <c r="X7545" s="2">
        <f ca="1"/>
        <v>74.902783401959582</v>
      </c>
      <c r="AG7545" s="2">
        <f ca="1"/>
        <v>8.8029845132187257E-2</v>
      </c>
      <c r="AH7545" s="2" t="str">
        <f ca="1"/>
        <v>OK</v>
      </c>
    </row>
    <row r="7546" spans="2:34">
      <c r="B7546" s="2">
        <f ca="1"/>
        <v>0.82310930331782073</v>
      </c>
      <c r="O7546" s="2">
        <f ca="1"/>
        <v>1.7305469871366443</v>
      </c>
      <c r="X7546" s="2">
        <f ca="1"/>
        <v>66.032317283758545</v>
      </c>
      <c r="AG7546" s="2">
        <f ca="1"/>
        <v>0.93689643163767844</v>
      </c>
      <c r="AH7546" s="2" t="str">
        <f ca="1"/>
        <v>Bad</v>
      </c>
    </row>
    <row r="7547" spans="2:34">
      <c r="B7547" s="2">
        <f ca="1"/>
        <v>7.9925685058877649E-2</v>
      </c>
      <c r="O7547" s="2">
        <f ca="1"/>
        <v>0.78666271158920242</v>
      </c>
      <c r="X7547" s="2">
        <f ca="1"/>
        <v>39.657334431640649</v>
      </c>
      <c r="AG7547" s="2">
        <f ca="1"/>
        <v>0.27910937245006262</v>
      </c>
      <c r="AH7547" s="2" t="str">
        <f ca="1"/>
        <v>OK</v>
      </c>
    </row>
    <row r="7548" spans="2:34">
      <c r="B7548" s="2">
        <f ca="1"/>
        <v>0.33994268804965921</v>
      </c>
      <c r="O7548" s="2">
        <f ca="1"/>
        <v>-0.98060416480502177</v>
      </c>
      <c r="X7548" s="2">
        <f ca="1"/>
        <v>52.059124537476762</v>
      </c>
      <c r="AG7548" s="2">
        <f ca="1"/>
        <v>0.23896778840063582</v>
      </c>
      <c r="AH7548" s="2" t="str">
        <f ca="1"/>
        <v>OK</v>
      </c>
    </row>
    <row r="7549" spans="2:34">
      <c r="B7549" s="2">
        <f ca="1"/>
        <v>0.55734343549170218</v>
      </c>
      <c r="O7549" s="2">
        <f ca="1"/>
        <v>-0.23604685831118091</v>
      </c>
      <c r="X7549" s="2">
        <f ca="1"/>
        <v>43.093275832632585</v>
      </c>
      <c r="AG7549" s="2">
        <f ca="1"/>
        <v>3.0596289791245956E-2</v>
      </c>
      <c r="AH7549" s="2" t="str">
        <f ca="1"/>
        <v>Good</v>
      </c>
    </row>
    <row r="7550" spans="2:34">
      <c r="B7550" s="2">
        <f ca="1"/>
        <v>5.0292161274554381E-2</v>
      </c>
      <c r="O7550" s="2">
        <f ca="1"/>
        <v>-1.0901976078312816</v>
      </c>
      <c r="X7550" s="2">
        <f ca="1"/>
        <v>62.885344959060774</v>
      </c>
      <c r="AG7550" s="2">
        <f ca="1"/>
        <v>0.67225913778889557</v>
      </c>
      <c r="AH7550" s="2" t="str">
        <f ca="1"/>
        <v>Bad</v>
      </c>
    </row>
    <row r="7551" spans="2:34">
      <c r="B7551" s="2">
        <f ca="1"/>
        <v>0.36040471009915032</v>
      </c>
      <c r="O7551" s="2">
        <f ca="1"/>
        <v>0.30559193653037742</v>
      </c>
      <c r="X7551" s="2">
        <f ca="1"/>
        <v>39.749926424839458</v>
      </c>
      <c r="AG7551" s="2">
        <f ca="1"/>
        <v>0.43410351155842064</v>
      </c>
      <c r="AH7551" s="2" t="str">
        <f ca="1"/>
        <v>Bad</v>
      </c>
    </row>
    <row r="7552" spans="2:34">
      <c r="B7552" s="2">
        <f ca="1"/>
        <v>0.96243678308757064</v>
      </c>
      <c r="O7552" s="2">
        <f ca="1"/>
        <v>0.76485737951196031</v>
      </c>
      <c r="X7552" s="2">
        <f ca="1"/>
        <v>22.093392351517181</v>
      </c>
      <c r="AG7552" s="2">
        <f ca="1"/>
        <v>0.70647510431234561</v>
      </c>
      <c r="AH7552" s="2" t="str">
        <f ca="1"/>
        <v>Bad</v>
      </c>
    </row>
    <row r="7553" spans="2:34">
      <c r="B7553" s="2">
        <f ca="1"/>
        <v>0.14505532917795017</v>
      </c>
      <c r="O7553" s="2">
        <f ca="1"/>
        <v>-0.5005843935227694</v>
      </c>
      <c r="X7553" s="2">
        <f ca="1"/>
        <v>50.76475132823289</v>
      </c>
      <c r="AG7553" s="2">
        <f ca="1"/>
        <v>0.93282877407604725</v>
      </c>
      <c r="AH7553" s="2" t="str">
        <f ca="1"/>
        <v>Bad</v>
      </c>
    </row>
    <row r="7554" spans="2:34">
      <c r="B7554" s="2">
        <f ca="1"/>
        <v>0.89019337450913238</v>
      </c>
      <c r="O7554" s="2">
        <f ca="1"/>
        <v>0.14765250537440805</v>
      </c>
      <c r="X7554" s="2">
        <f ca="1"/>
        <v>27.710343967472831</v>
      </c>
      <c r="AG7554" s="2">
        <f ca="1"/>
        <v>0.7924593436588403</v>
      </c>
      <c r="AH7554" s="2" t="str">
        <f ca="1"/>
        <v>Bad</v>
      </c>
    </row>
    <row r="7555" spans="2:34">
      <c r="B7555" s="2">
        <f ca="1"/>
        <v>0.36228257664929986</v>
      </c>
      <c r="O7555" s="2">
        <f ca="1"/>
        <v>0.7763719084004711</v>
      </c>
      <c r="X7555" s="2">
        <f ca="1"/>
        <v>42.220641161778609</v>
      </c>
      <c r="AG7555" s="2">
        <f ca="1"/>
        <v>0.67150856849982521</v>
      </c>
      <c r="AH7555" s="2" t="str">
        <f ca="1"/>
        <v>Bad</v>
      </c>
    </row>
    <row r="7556" spans="2:34">
      <c r="B7556" s="2">
        <f ca="1"/>
        <v>0.17481813888937836</v>
      </c>
      <c r="O7556" s="2">
        <f ca="1"/>
        <v>-0.54656115487161405</v>
      </c>
      <c r="X7556" s="2">
        <f ca="1"/>
        <v>68.625826872652098</v>
      </c>
      <c r="AG7556" s="2">
        <f ca="1"/>
        <v>0.65616588986055246</v>
      </c>
      <c r="AH7556" s="2" t="str">
        <f ca="1"/>
        <v>Bad</v>
      </c>
    </row>
    <row r="7557" spans="2:34">
      <c r="B7557" s="2">
        <f ca="1"/>
        <v>0.20318492290098855</v>
      </c>
      <c r="O7557" s="2">
        <f ca="1"/>
        <v>-0.22661116663255518</v>
      </c>
      <c r="X7557" s="2">
        <f ca="1"/>
        <v>37.213037935803172</v>
      </c>
      <c r="AG7557" s="2">
        <f ca="1"/>
        <v>0.72732940126995294</v>
      </c>
      <c r="AH7557" s="2" t="str">
        <f ca="1"/>
        <v>Bad</v>
      </c>
    </row>
    <row r="7558" spans="2:34">
      <c r="B7558" s="2">
        <f ca="1"/>
        <v>0.23737932003181106</v>
      </c>
      <c r="O7558" s="2">
        <f ca="1"/>
        <v>0.68766721019200894</v>
      </c>
      <c r="X7558" s="2">
        <f ca="1"/>
        <v>70.349838300916815</v>
      </c>
      <c r="AG7558" s="2">
        <f ca="1"/>
        <v>0.86902737720971923</v>
      </c>
      <c r="AH7558" s="2" t="str">
        <f ca="1"/>
        <v>Bad</v>
      </c>
    </row>
    <row r="7559" spans="2:34">
      <c r="B7559" s="2">
        <f ca="1"/>
        <v>0.17476098728658385</v>
      </c>
      <c r="O7559" s="2">
        <f ca="1"/>
        <v>-6.3097614381397049E-2</v>
      </c>
      <c r="X7559" s="2">
        <f ca="1"/>
        <v>35.286937457324001</v>
      </c>
      <c r="AG7559" s="2">
        <f ca="1"/>
        <v>0.26951837203047146</v>
      </c>
      <c r="AH7559" s="2" t="str">
        <f ca="1"/>
        <v>OK</v>
      </c>
    </row>
    <row r="7560" spans="2:34">
      <c r="B7560" s="2">
        <f ca="1"/>
        <v>0.27338832080394937</v>
      </c>
      <c r="O7560" s="2">
        <f ca="1"/>
        <v>-0.98999864297937201</v>
      </c>
      <c r="X7560" s="2">
        <f ca="1"/>
        <v>45.065614264708529</v>
      </c>
      <c r="AG7560" s="2">
        <f ca="1"/>
        <v>0.23677341507943028</v>
      </c>
      <c r="AH7560" s="2" t="str">
        <f ca="1"/>
        <v>OK</v>
      </c>
    </row>
    <row r="7561" spans="2:34">
      <c r="B7561" s="2">
        <f ca="1"/>
        <v>0.8894003516682496</v>
      </c>
      <c r="O7561" s="2">
        <f ca="1"/>
        <v>-0.12233955909608635</v>
      </c>
      <c r="X7561" s="2">
        <f ca="1"/>
        <v>34.171171352009722</v>
      </c>
      <c r="AG7561" s="2">
        <f ca="1"/>
        <v>0.36866186425578373</v>
      </c>
      <c r="AH7561" s="2" t="str">
        <f ca="1"/>
        <v>OK</v>
      </c>
    </row>
    <row r="7562" spans="2:34">
      <c r="B7562" s="2">
        <f ca="1"/>
        <v>0.31194219972602877</v>
      </c>
      <c r="O7562" s="2">
        <f ca="1"/>
        <v>-1.3695214225980181</v>
      </c>
      <c r="X7562" s="2">
        <f ca="1"/>
        <v>50.352301433828714</v>
      </c>
      <c r="AG7562" s="2">
        <f ca="1"/>
        <v>0.7246237980253496</v>
      </c>
      <c r="AH7562" s="2" t="str">
        <f ca="1"/>
        <v>Bad</v>
      </c>
    </row>
    <row r="7563" spans="2:34">
      <c r="B7563" s="2">
        <f ca="1"/>
        <v>0.80898136804440068</v>
      </c>
      <c r="O7563" s="2">
        <f ca="1"/>
        <v>0.19547191484619028</v>
      </c>
      <c r="X7563" s="2">
        <f ca="1"/>
        <v>30.894028996291858</v>
      </c>
      <c r="AG7563" s="2">
        <f ca="1"/>
        <v>0.30838872215979674</v>
      </c>
      <c r="AH7563" s="2" t="str">
        <f ca="1"/>
        <v>OK</v>
      </c>
    </row>
    <row r="7564" spans="2:34">
      <c r="B7564" s="2">
        <f ca="1"/>
        <v>0.77924751683613236</v>
      </c>
      <c r="O7564" s="2">
        <f ca="1"/>
        <v>1.7817689227342832</v>
      </c>
      <c r="X7564" s="2">
        <f ca="1"/>
        <v>60.041014577811012</v>
      </c>
      <c r="AG7564" s="2">
        <f ca="1"/>
        <v>0.60626024594530192</v>
      </c>
      <c r="AH7564" s="2" t="str">
        <f ca="1"/>
        <v>Bad</v>
      </c>
    </row>
    <row r="7565" spans="2:34">
      <c r="B7565" s="2">
        <f ca="1"/>
        <v>0.93111699289787797</v>
      </c>
      <c r="O7565" s="2">
        <f ca="1"/>
        <v>0.14791992352856051</v>
      </c>
      <c r="X7565" s="2">
        <f ca="1"/>
        <v>32.268244760383531</v>
      </c>
      <c r="AG7565" s="2">
        <f ca="1"/>
        <v>0.84177263468345376</v>
      </c>
      <c r="AH7565" s="2" t="str">
        <f ca="1"/>
        <v>Bad</v>
      </c>
    </row>
    <row r="7566" spans="2:34">
      <c r="B7566" s="2">
        <f ca="1"/>
        <v>0.38929655788858497</v>
      </c>
      <c r="O7566" s="2">
        <f ca="1"/>
        <v>1.5090641368067328</v>
      </c>
      <c r="X7566" s="2">
        <f ca="1"/>
        <v>53.151187556907558</v>
      </c>
      <c r="AG7566" s="2">
        <f ca="1"/>
        <v>0.40418236261968787</v>
      </c>
      <c r="AH7566" s="2" t="str">
        <f ca="1"/>
        <v>Bad</v>
      </c>
    </row>
    <row r="7567" spans="2:34">
      <c r="B7567" s="2">
        <f ca="1"/>
        <v>0.81865545874423962</v>
      </c>
      <c r="O7567" s="2">
        <f ca="1"/>
        <v>-1.3991117938579651</v>
      </c>
      <c r="X7567" s="2">
        <f ca="1"/>
        <v>41.702899631034228</v>
      </c>
      <c r="AG7567" s="2">
        <f ca="1"/>
        <v>0.31675840299705782</v>
      </c>
      <c r="AH7567" s="2" t="str">
        <f ca="1"/>
        <v>OK</v>
      </c>
    </row>
    <row r="7568" spans="2:34">
      <c r="B7568" s="2">
        <f ca="1"/>
        <v>0.66824329109853808</v>
      </c>
      <c r="O7568" s="2">
        <f ca="1"/>
        <v>0.58979578387737575</v>
      </c>
      <c r="X7568" s="2">
        <f ca="1"/>
        <v>50.597419447886544</v>
      </c>
      <c r="AG7568" s="2">
        <f ca="1"/>
        <v>0.48384305910920045</v>
      </c>
      <c r="AH7568" s="2" t="str">
        <f ca="1"/>
        <v>Bad</v>
      </c>
    </row>
    <row r="7569" spans="2:34">
      <c r="B7569" s="2">
        <f ca="1"/>
        <v>1.2645852324110418E-2</v>
      </c>
      <c r="O7569" s="2">
        <f ca="1"/>
        <v>0.83843275184781529</v>
      </c>
      <c r="X7569" s="2">
        <f ca="1"/>
        <v>29.93549038049008</v>
      </c>
      <c r="AG7569" s="2">
        <f ca="1"/>
        <v>0.93823544758418853</v>
      </c>
      <c r="AH7569" s="2" t="str">
        <f ca="1"/>
        <v>Bad</v>
      </c>
    </row>
    <row r="7570" spans="2:34">
      <c r="B7570" s="2">
        <f ca="1"/>
        <v>0.40901563679739827</v>
      </c>
      <c r="O7570" s="2">
        <f ca="1"/>
        <v>-1.1201459075674511</v>
      </c>
      <c r="X7570" s="2">
        <f ca="1"/>
        <v>53.640973576381946</v>
      </c>
      <c r="AG7570" s="2">
        <f ca="1"/>
        <v>8.674948121564241E-2</v>
      </c>
      <c r="AH7570" s="2" t="str">
        <f ca="1"/>
        <v>OK</v>
      </c>
    </row>
    <row r="7571" spans="2:34">
      <c r="B7571" s="2">
        <f ca="1"/>
        <v>3.4008312081653669E-2</v>
      </c>
      <c r="O7571" s="2">
        <f ca="1"/>
        <v>2.9041899767207668E-2</v>
      </c>
      <c r="X7571" s="2">
        <f ca="1"/>
        <v>30.705834239992047</v>
      </c>
      <c r="AG7571" s="2">
        <f ca="1"/>
        <v>0.42698079601312822</v>
      </c>
      <c r="AH7571" s="2" t="str">
        <f ca="1"/>
        <v>Bad</v>
      </c>
    </row>
    <row r="7572" spans="2:34">
      <c r="B7572" s="2">
        <f ca="1"/>
        <v>0.47394838417333784</v>
      </c>
      <c r="O7572" s="2">
        <f ca="1"/>
        <v>-1.3692210928052384</v>
      </c>
      <c r="X7572" s="2">
        <f ca="1"/>
        <v>53.535597216488881</v>
      </c>
      <c r="AG7572" s="2">
        <f ca="1"/>
        <v>0.26514561682941351</v>
      </c>
      <c r="AH7572" s="2" t="str">
        <f ca="1"/>
        <v>OK</v>
      </c>
    </row>
    <row r="7573" spans="2:34">
      <c r="B7573" s="2">
        <f ca="1"/>
        <v>0.97857571214490324</v>
      </c>
      <c r="O7573" s="2">
        <f ca="1"/>
        <v>-0.72497330996309639</v>
      </c>
      <c r="X7573" s="2">
        <f ca="1"/>
        <v>23.726455983022056</v>
      </c>
      <c r="AG7573" s="2">
        <f ca="1"/>
        <v>0.96986802513782711</v>
      </c>
      <c r="AH7573" s="2" t="str">
        <f ca="1"/>
        <v>Bad</v>
      </c>
    </row>
    <row r="7574" spans="2:34">
      <c r="B7574" s="2">
        <f ca="1"/>
        <v>0.46293264200639062</v>
      </c>
      <c r="O7574" s="2">
        <f ca="1"/>
        <v>-0.54121374441581849</v>
      </c>
      <c r="X7574" s="2">
        <f ca="1"/>
        <v>47.108846779301928</v>
      </c>
      <c r="AG7574" s="2">
        <f ca="1"/>
        <v>0.98770479895255381</v>
      </c>
      <c r="AH7574" s="2" t="str">
        <f ca="1"/>
        <v>Bad</v>
      </c>
    </row>
    <row r="7575" spans="2:34">
      <c r="B7575" s="2">
        <f ca="1"/>
        <v>0.25292573306072708</v>
      </c>
      <c r="O7575" s="2">
        <f ca="1"/>
        <v>1.1119600168756645</v>
      </c>
      <c r="X7575" s="2">
        <f ca="1"/>
        <v>55.950807672219334</v>
      </c>
      <c r="AG7575" s="2">
        <f ca="1"/>
        <v>0.57034151480156159</v>
      </c>
      <c r="AH7575" s="2" t="str">
        <f ca="1"/>
        <v>Bad</v>
      </c>
    </row>
    <row r="7576" spans="2:34">
      <c r="B7576" s="2">
        <f ca="1"/>
        <v>0.22995139671921661</v>
      </c>
      <c r="O7576" s="2">
        <f ca="1"/>
        <v>0.26339100276464561</v>
      </c>
      <c r="X7576" s="2">
        <f ca="1"/>
        <v>53.722758563049254</v>
      </c>
      <c r="AG7576" s="2">
        <f ca="1"/>
        <v>2.1646286762551092E-2</v>
      </c>
      <c r="AH7576" s="2" t="str">
        <f ca="1"/>
        <v>Good</v>
      </c>
    </row>
    <row r="7577" spans="2:34">
      <c r="B7577" s="2">
        <f ca="1"/>
        <v>0.69165205803332208</v>
      </c>
      <c r="O7577" s="2">
        <f ca="1"/>
        <v>0.86771120164043103</v>
      </c>
      <c r="X7577" s="2">
        <f ca="1"/>
        <v>45.169360189369421</v>
      </c>
      <c r="AG7577" s="2">
        <f ca="1"/>
        <v>0.97790530351651683</v>
      </c>
      <c r="AH7577" s="2" t="str">
        <f ca="1"/>
        <v>Bad</v>
      </c>
    </row>
    <row r="7578" spans="2:34">
      <c r="B7578" s="2">
        <f ca="1"/>
        <v>0.82795152902295843</v>
      </c>
      <c r="O7578" s="2">
        <f ca="1"/>
        <v>-0.36962910369270235</v>
      </c>
      <c r="X7578" s="2">
        <f ca="1"/>
        <v>63.921073805898388</v>
      </c>
      <c r="AG7578" s="2">
        <f ca="1"/>
        <v>7.6419745699995545E-2</v>
      </c>
      <c r="AH7578" s="2" t="str">
        <f ca="1"/>
        <v>OK</v>
      </c>
    </row>
    <row r="7579" spans="2:34">
      <c r="B7579" s="2">
        <f ca="1"/>
        <v>0.66235573937183534</v>
      </c>
      <c r="O7579" s="2">
        <f ca="1"/>
        <v>-8.5024075265655752E-2</v>
      </c>
      <c r="X7579" s="2">
        <f ca="1"/>
        <v>69.867704372122759</v>
      </c>
      <c r="AG7579" s="2">
        <f ca="1"/>
        <v>0.51770163286376047</v>
      </c>
      <c r="AH7579" s="2" t="str">
        <f ca="1"/>
        <v>Bad</v>
      </c>
    </row>
    <row r="7580" spans="2:34">
      <c r="B7580" s="2">
        <f ca="1"/>
        <v>0.18075934314646092</v>
      </c>
      <c r="O7580" s="2">
        <f ca="1"/>
        <v>-3.2020265386477738E-2</v>
      </c>
      <c r="X7580" s="2">
        <f ca="1"/>
        <v>24.111202474247019</v>
      </c>
      <c r="AG7580" s="2">
        <f ca="1"/>
        <v>0.72518271437645021</v>
      </c>
      <c r="AH7580" s="2" t="str">
        <f ca="1"/>
        <v>Bad</v>
      </c>
    </row>
    <row r="7581" spans="2:34">
      <c r="B7581" s="2">
        <f ca="1"/>
        <v>0.48707312079499676</v>
      </c>
      <c r="O7581" s="2">
        <f ca="1"/>
        <v>0.92053708228240261</v>
      </c>
      <c r="X7581" s="2">
        <f ca="1"/>
        <v>53.914981921945454</v>
      </c>
      <c r="AG7581" s="2">
        <f ca="1"/>
        <v>0.49279340740304844</v>
      </c>
      <c r="AH7581" s="2" t="str">
        <f ca="1"/>
        <v>Bad</v>
      </c>
    </row>
    <row r="7582" spans="2:34">
      <c r="B7582" s="2">
        <f ca="1"/>
        <v>0.43387984876020957</v>
      </c>
      <c r="O7582" s="2">
        <f ca="1"/>
        <v>-0.67988604114483664</v>
      </c>
      <c r="X7582" s="2">
        <f ca="1"/>
        <v>28.989768861796449</v>
      </c>
      <c r="AG7582" s="2">
        <f ca="1"/>
        <v>0.85479526256502147</v>
      </c>
      <c r="AH7582" s="2" t="str">
        <f ca="1"/>
        <v>Bad</v>
      </c>
    </row>
    <row r="7583" spans="2:34">
      <c r="B7583" s="2">
        <f ca="1"/>
        <v>0.59726153911520674</v>
      </c>
      <c r="O7583" s="2">
        <f ca="1"/>
        <v>-1.2386025142957824</v>
      </c>
      <c r="X7583" s="2">
        <f ca="1"/>
        <v>45.373242009561935</v>
      </c>
      <c r="AG7583" s="2">
        <f ca="1"/>
        <v>0.63046347278328074</v>
      </c>
      <c r="AH7583" s="2" t="str">
        <f ca="1"/>
        <v>Bad</v>
      </c>
    </row>
    <row r="7584" spans="2:34">
      <c r="B7584" s="2">
        <f ca="1"/>
        <v>0.94608197735564947</v>
      </c>
      <c r="O7584" s="2">
        <f ca="1"/>
        <v>-0.43490206767288231</v>
      </c>
      <c r="X7584" s="2">
        <f ca="1"/>
        <v>56.083889704657054</v>
      </c>
      <c r="AG7584" s="2">
        <f ca="1"/>
        <v>0.62596326148711179</v>
      </c>
      <c r="AH7584" s="2" t="str">
        <f ca="1"/>
        <v>Bad</v>
      </c>
    </row>
    <row r="7585" spans="2:34">
      <c r="B7585" s="2">
        <f ca="1"/>
        <v>0.45869711915412514</v>
      </c>
      <c r="O7585" s="2">
        <f ca="1"/>
        <v>2.1889545076429364</v>
      </c>
      <c r="X7585" s="2">
        <f ca="1"/>
        <v>79.789483715916759</v>
      </c>
      <c r="AG7585" s="2">
        <f ca="1"/>
        <v>7.9431587284999994E-2</v>
      </c>
      <c r="AH7585" s="2" t="str">
        <f ca="1"/>
        <v>OK</v>
      </c>
    </row>
    <row r="7586" spans="2:34">
      <c r="B7586" s="2">
        <f ca="1"/>
        <v>0.51292573968859689</v>
      </c>
      <c r="O7586" s="2">
        <f ca="1"/>
        <v>-1.3727595158225467</v>
      </c>
      <c r="X7586" s="2">
        <f ca="1"/>
        <v>53.436626256047262</v>
      </c>
      <c r="AG7586" s="2">
        <f ca="1"/>
        <v>0.50154024041870104</v>
      </c>
      <c r="AH7586" s="2" t="str">
        <f ca="1"/>
        <v>Bad</v>
      </c>
    </row>
    <row r="7587" spans="2:34">
      <c r="B7587" s="2">
        <f ca="1"/>
        <v>0.71691455161244289</v>
      </c>
      <c r="O7587" s="2">
        <f ca="1"/>
        <v>0.22783929509638751</v>
      </c>
      <c r="X7587" s="2">
        <f ca="1"/>
        <v>53.588416602352709</v>
      </c>
      <c r="AG7587" s="2">
        <f ca="1"/>
        <v>0.77481943396293618</v>
      </c>
      <c r="AH7587" s="2" t="str">
        <f ca="1"/>
        <v>Bad</v>
      </c>
    </row>
    <row r="7588" spans="2:34">
      <c r="B7588" s="2">
        <f ca="1"/>
        <v>4.7898731449385945E-2</v>
      </c>
      <c r="O7588" s="2">
        <f ca="1"/>
        <v>-0.5355776284655146</v>
      </c>
      <c r="X7588" s="2">
        <f ca="1"/>
        <v>69.442710668062475</v>
      </c>
      <c r="AG7588" s="2">
        <f ca="1"/>
        <v>0.32753176815235752</v>
      </c>
      <c r="AH7588" s="2" t="str">
        <f ca="1"/>
        <v>OK</v>
      </c>
    </row>
    <row r="7589" spans="2:34">
      <c r="B7589" s="2">
        <f ca="1"/>
        <v>0.30018277259844695</v>
      </c>
      <c r="O7589" s="2">
        <f ca="1"/>
        <v>0.31860049465963347</v>
      </c>
      <c r="X7589" s="2">
        <f ca="1"/>
        <v>38.647243192457871</v>
      </c>
      <c r="AG7589" s="2">
        <f ca="1"/>
        <v>0.15414784646126112</v>
      </c>
      <c r="AH7589" s="2" t="str">
        <f ca="1"/>
        <v>OK</v>
      </c>
    </row>
    <row r="7590" spans="2:34">
      <c r="B7590" s="2">
        <f ca="1"/>
        <v>0.83342169247539855</v>
      </c>
      <c r="O7590" s="2">
        <f ca="1"/>
        <v>-0.11491597610576067</v>
      </c>
      <c r="X7590" s="2">
        <f ca="1"/>
        <v>36.510709387742743</v>
      </c>
      <c r="AG7590" s="2">
        <f ca="1"/>
        <v>0.87433313336034391</v>
      </c>
      <c r="AH7590" s="2" t="str">
        <f ca="1"/>
        <v>Bad</v>
      </c>
    </row>
    <row r="7591" spans="2:34">
      <c r="B7591" s="2">
        <f ca="1"/>
        <v>0.23137964794201138</v>
      </c>
      <c r="O7591" s="2">
        <f ca="1"/>
        <v>-0.24363218439166748</v>
      </c>
      <c r="X7591" s="2">
        <f ca="1"/>
        <v>53.128643335932722</v>
      </c>
      <c r="AG7591" s="2">
        <f ca="1"/>
        <v>0.96769413950088556</v>
      </c>
      <c r="AH7591" s="2" t="str">
        <f ca="1"/>
        <v>Bad</v>
      </c>
    </row>
    <row r="7592" spans="2:34">
      <c r="B7592" s="2">
        <f ca="1"/>
        <v>0.61799846333451613</v>
      </c>
      <c r="O7592" s="2">
        <f ca="1"/>
        <v>0.19372463294783962</v>
      </c>
      <c r="X7592" s="2">
        <f ca="1"/>
        <v>68.520189612714717</v>
      </c>
      <c r="AG7592" s="2">
        <f ca="1"/>
        <v>0.63465490878516029</v>
      </c>
      <c r="AH7592" s="2" t="str">
        <f ca="1"/>
        <v>Bad</v>
      </c>
    </row>
    <row r="7593" spans="2:34">
      <c r="B7593" s="2">
        <f ca="1"/>
        <v>0.52249118764156677</v>
      </c>
      <c r="O7593" s="2">
        <f ca="1"/>
        <v>-0.34959305611269093</v>
      </c>
      <c r="X7593" s="2">
        <f ca="1"/>
        <v>39.294367835107884</v>
      </c>
      <c r="AG7593" s="2">
        <f ca="1"/>
        <v>0.4357609927622319</v>
      </c>
      <c r="AH7593" s="2" t="str">
        <f ca="1"/>
        <v>Bad</v>
      </c>
    </row>
    <row r="7594" spans="2:34">
      <c r="B7594" s="2">
        <f ca="1"/>
        <v>0.8395769191356186</v>
      </c>
      <c r="O7594" s="2">
        <f ca="1"/>
        <v>1.3170054530376918</v>
      </c>
      <c r="X7594" s="2">
        <f ca="1"/>
        <v>51.412422133012782</v>
      </c>
      <c r="AG7594" s="2">
        <f ca="1"/>
        <v>0.46177517872330154</v>
      </c>
      <c r="AH7594" s="2" t="str">
        <f ca="1"/>
        <v>Bad</v>
      </c>
    </row>
    <row r="7595" spans="2:34">
      <c r="B7595" s="2">
        <f ca="1"/>
        <v>0.26567451181201474</v>
      </c>
      <c r="O7595" s="2">
        <f ca="1"/>
        <v>-0.52897221522851989</v>
      </c>
      <c r="X7595" s="2">
        <f ca="1"/>
        <v>53.573786518184157</v>
      </c>
      <c r="AG7595" s="2">
        <f ca="1"/>
        <v>0.69624886491706306</v>
      </c>
      <c r="AH7595" s="2" t="str">
        <f ca="1"/>
        <v>Bad</v>
      </c>
    </row>
    <row r="7596" spans="2:34">
      <c r="B7596" s="2">
        <f ca="1"/>
        <v>0.75238833475411515</v>
      </c>
      <c r="O7596" s="2">
        <f ca="1"/>
        <v>-1.3513676376136701</v>
      </c>
      <c r="X7596" s="2">
        <f ca="1"/>
        <v>57.564856092810189</v>
      </c>
      <c r="AG7596" s="2">
        <f ca="1"/>
        <v>2.2567472249785947E-2</v>
      </c>
      <c r="AH7596" s="2" t="str">
        <f ca="1"/>
        <v>Good</v>
      </c>
    </row>
    <row r="7597" spans="2:34">
      <c r="B7597" s="2">
        <f ca="1"/>
        <v>0.79320756750468946</v>
      </c>
      <c r="O7597" s="2">
        <f ca="1"/>
        <v>0.62732634707719892</v>
      </c>
      <c r="X7597" s="2">
        <f ca="1"/>
        <v>80.035627891282516</v>
      </c>
      <c r="AG7597" s="2">
        <f ca="1"/>
        <v>1.9978917233915094E-2</v>
      </c>
      <c r="AH7597" s="2" t="str">
        <f ca="1"/>
        <v>Good</v>
      </c>
    </row>
    <row r="7598" spans="2:34">
      <c r="B7598" s="2">
        <f ca="1"/>
        <v>0.87844216194601499</v>
      </c>
      <c r="O7598" s="2">
        <f ca="1"/>
        <v>-0.70304501603739933</v>
      </c>
      <c r="X7598" s="2">
        <f ca="1"/>
        <v>87.799432605368835</v>
      </c>
      <c r="AG7598" s="2">
        <f ca="1"/>
        <v>0.43863322641251146</v>
      </c>
      <c r="AH7598" s="2" t="str">
        <f ca="1"/>
        <v>Bad</v>
      </c>
    </row>
    <row r="7599" spans="2:34">
      <c r="B7599" s="2">
        <f ca="1"/>
        <v>0.88052231938617154</v>
      </c>
      <c r="O7599" s="2">
        <f ca="1"/>
        <v>-0.63743255313130187</v>
      </c>
      <c r="X7599" s="2">
        <f ca="1"/>
        <v>42.578014155119746</v>
      </c>
      <c r="AG7599" s="2">
        <f ca="1"/>
        <v>0.23412761306745478</v>
      </c>
      <c r="AH7599" s="2" t="str">
        <f ca="1"/>
        <v>OK</v>
      </c>
    </row>
    <row r="7600" spans="2:34">
      <c r="B7600" s="2">
        <f ca="1"/>
        <v>0.53183817773424158</v>
      </c>
      <c r="O7600" s="2">
        <f ca="1"/>
        <v>1.5201349752458797</v>
      </c>
      <c r="X7600" s="2">
        <f ca="1"/>
        <v>30.178036519717377</v>
      </c>
      <c r="AG7600" s="2">
        <f ca="1"/>
        <v>0.22329801531859017</v>
      </c>
      <c r="AH7600" s="2" t="str">
        <f ca="1"/>
        <v>OK</v>
      </c>
    </row>
    <row r="7601" spans="2:34">
      <c r="B7601" s="2">
        <f ca="1"/>
        <v>0.52030082037645053</v>
      </c>
      <c r="O7601" s="2">
        <f ca="1"/>
        <v>-0.76499262573858895</v>
      </c>
      <c r="X7601" s="2">
        <f ca="1"/>
        <v>64.973873503878778</v>
      </c>
      <c r="AG7601" s="2">
        <f ca="1"/>
        <v>0.90242194070898085</v>
      </c>
      <c r="AH7601" s="2" t="str">
        <f ca="1"/>
        <v>Bad</v>
      </c>
    </row>
    <row r="7602" spans="2:34">
      <c r="B7602" s="2">
        <f ca="1"/>
        <v>0.15247686040644748</v>
      </c>
      <c r="O7602" s="2">
        <f ca="1"/>
        <v>0.26969343756144637</v>
      </c>
      <c r="X7602" s="2">
        <f ca="1"/>
        <v>34.178802416590116</v>
      </c>
      <c r="AG7602" s="2">
        <f ca="1"/>
        <v>0.28284637292500325</v>
      </c>
      <c r="AH7602" s="2" t="str">
        <f ca="1"/>
        <v>OK</v>
      </c>
    </row>
    <row r="7603" spans="2:34">
      <c r="B7603" s="2">
        <f ca="1"/>
        <v>0.22670188193654028</v>
      </c>
      <c r="O7603" s="2">
        <f ca="1"/>
        <v>1.2038870062138822</v>
      </c>
      <c r="X7603" s="2">
        <f ca="1"/>
        <v>38.171551788984736</v>
      </c>
      <c r="AG7603" s="2">
        <f ca="1"/>
        <v>7.563726158688544E-2</v>
      </c>
      <c r="AH7603" s="2" t="str">
        <f ca="1"/>
        <v>OK</v>
      </c>
    </row>
    <row r="7604" spans="2:34">
      <c r="B7604" s="2">
        <f ca="1"/>
        <v>0.22139248953525792</v>
      </c>
      <c r="O7604" s="2">
        <f ca="1"/>
        <v>0.47142059692330829</v>
      </c>
      <c r="X7604" s="2">
        <f ca="1"/>
        <v>42.906815363950209</v>
      </c>
      <c r="AG7604" s="2">
        <f ca="1"/>
        <v>0.84830961502352675</v>
      </c>
      <c r="AH7604" s="2" t="str">
        <f ca="1"/>
        <v>Bad</v>
      </c>
    </row>
    <row r="7605" spans="2:34">
      <c r="B7605" s="2">
        <f ca="1"/>
        <v>0.73374279158754341</v>
      </c>
      <c r="O7605" s="2">
        <f ca="1"/>
        <v>-0.16534006101393478</v>
      </c>
      <c r="X7605" s="2">
        <f ca="1"/>
        <v>54.825665826773999</v>
      </c>
      <c r="AG7605" s="2">
        <f ca="1"/>
        <v>0.10235172293607886</v>
      </c>
      <c r="AH7605" s="2" t="str">
        <f ca="1"/>
        <v>OK</v>
      </c>
    </row>
    <row r="7606" spans="2:34">
      <c r="B7606" s="2">
        <f ca="1"/>
        <v>3.4559893657479801E-3</v>
      </c>
      <c r="O7606" s="2">
        <f ca="1"/>
        <v>0.91701401916542646</v>
      </c>
      <c r="X7606" s="2">
        <f ca="1"/>
        <v>52.367329879359382</v>
      </c>
      <c r="AG7606" s="2">
        <f ca="1"/>
        <v>0.41342676390384314</v>
      </c>
      <c r="AH7606" s="2" t="str">
        <f ca="1"/>
        <v>Bad</v>
      </c>
    </row>
    <row r="7607" spans="2:34">
      <c r="B7607" s="2">
        <f ca="1"/>
        <v>0.46522726323831365</v>
      </c>
      <c r="O7607" s="2">
        <f ca="1"/>
        <v>-0.25177154363036175</v>
      </c>
      <c r="X7607" s="2">
        <f ca="1"/>
        <v>35.619675415944329</v>
      </c>
      <c r="AG7607" s="2">
        <f ca="1"/>
        <v>0.43688121922120571</v>
      </c>
      <c r="AH7607" s="2" t="str">
        <f ca="1"/>
        <v>Bad</v>
      </c>
    </row>
    <row r="7608" spans="2:34">
      <c r="B7608" s="2">
        <f ca="1"/>
        <v>0.62314145145206057</v>
      </c>
      <c r="O7608" s="2">
        <f ca="1"/>
        <v>-1.4041239299369044</v>
      </c>
      <c r="X7608" s="2">
        <f ca="1"/>
        <v>49.125893819343538</v>
      </c>
      <c r="AG7608" s="2">
        <f ca="1"/>
        <v>0.36653900941896866</v>
      </c>
      <c r="AH7608" s="2" t="str">
        <f ca="1"/>
        <v>OK</v>
      </c>
    </row>
    <row r="7609" spans="2:34">
      <c r="B7609" s="2">
        <f ca="1"/>
        <v>1.2739127492293223E-2</v>
      </c>
      <c r="O7609" s="2">
        <f ca="1"/>
        <v>1.1231750990967364</v>
      </c>
      <c r="X7609" s="2">
        <f ca="1"/>
        <v>55.009929948139522</v>
      </c>
      <c r="AG7609" s="2">
        <f ca="1"/>
        <v>0.90347903437271304</v>
      </c>
      <c r="AH7609" s="2" t="str">
        <f ca="1"/>
        <v>Bad</v>
      </c>
    </row>
    <row r="7610" spans="2:34">
      <c r="B7610" s="2">
        <f ca="1"/>
        <v>0.85250956658988475</v>
      </c>
      <c r="O7610" s="2">
        <f ca="1"/>
        <v>-1.6873578890547403</v>
      </c>
      <c r="X7610" s="2">
        <f ca="1"/>
        <v>70.358633609873877</v>
      </c>
      <c r="AG7610" s="2">
        <f ca="1"/>
        <v>0.46308079105352418</v>
      </c>
      <c r="AH7610" s="2" t="str">
        <f ca="1"/>
        <v>Bad</v>
      </c>
    </row>
    <row r="7611" spans="2:34">
      <c r="B7611" s="2">
        <f ca="1"/>
        <v>9.3538672729092998E-2</v>
      </c>
      <c r="O7611" s="2">
        <f ca="1"/>
        <v>1.1728174938731732E-2</v>
      </c>
      <c r="X7611" s="2">
        <f ca="1"/>
        <v>72.731338408188023</v>
      </c>
      <c r="AG7611" s="2">
        <f ca="1"/>
        <v>0.11116582408515496</v>
      </c>
      <c r="AH7611" s="2" t="str">
        <f ca="1"/>
        <v>OK</v>
      </c>
    </row>
    <row r="7612" spans="2:34">
      <c r="B7612" s="2">
        <f ca="1"/>
        <v>0.52498422021876623</v>
      </c>
      <c r="O7612" s="2">
        <f ca="1"/>
        <v>3.2118506474545239</v>
      </c>
      <c r="X7612" s="2">
        <f ca="1"/>
        <v>64.553701114807353</v>
      </c>
      <c r="AG7612" s="2">
        <f ca="1"/>
        <v>0.85031261208551334</v>
      </c>
      <c r="AH7612" s="2" t="str">
        <f ca="1"/>
        <v>Bad</v>
      </c>
    </row>
    <row r="7613" spans="2:34">
      <c r="B7613" s="2">
        <f ca="1"/>
        <v>0.37205147002303818</v>
      </c>
      <c r="O7613" s="2">
        <f ca="1"/>
        <v>1.566747213145756</v>
      </c>
      <c r="X7613" s="2">
        <f ca="1"/>
        <v>30.120143707753606</v>
      </c>
      <c r="AG7613" s="2">
        <f ca="1"/>
        <v>0.60187504480740084</v>
      </c>
      <c r="AH7613" s="2" t="str">
        <f ca="1"/>
        <v>Bad</v>
      </c>
    </row>
    <row r="7614" spans="2:34">
      <c r="B7614" s="2">
        <f ca="1"/>
        <v>0.46282402096958108</v>
      </c>
      <c r="O7614" s="2">
        <f ca="1"/>
        <v>-0.39557520633984294</v>
      </c>
      <c r="X7614" s="2">
        <f ca="1"/>
        <v>81.749697501964903</v>
      </c>
      <c r="AG7614" s="2">
        <f ca="1"/>
        <v>0.70399943894719952</v>
      </c>
      <c r="AH7614" s="2" t="str">
        <f ca="1"/>
        <v>Bad</v>
      </c>
    </row>
    <row r="7615" spans="2:34">
      <c r="B7615" s="2">
        <f ca="1"/>
        <v>0.21792024116324216</v>
      </c>
      <c r="O7615" s="2">
        <f ca="1"/>
        <v>-0.62802324709974588</v>
      </c>
      <c r="X7615" s="2">
        <f ca="1"/>
        <v>66.189004392406304</v>
      </c>
      <c r="AG7615" s="2">
        <f ca="1"/>
        <v>0.97050780469447595</v>
      </c>
      <c r="AH7615" s="2" t="str">
        <f ca="1"/>
        <v>Bad</v>
      </c>
    </row>
    <row r="7616" spans="2:34">
      <c r="B7616" s="2">
        <f ca="1"/>
        <v>0.91432643453053863</v>
      </c>
      <c r="O7616" s="2">
        <f ca="1"/>
        <v>1.8231272936617449</v>
      </c>
      <c r="X7616" s="2">
        <f ca="1"/>
        <v>50.293003592730244</v>
      </c>
      <c r="AG7616" s="2">
        <f ca="1"/>
        <v>5.7324066838024157E-2</v>
      </c>
      <c r="AH7616" s="2" t="str">
        <f ca="1"/>
        <v>OK</v>
      </c>
    </row>
    <row r="7617" spans="2:34">
      <c r="B7617" s="2">
        <f ca="1"/>
        <v>0.1238474564170049</v>
      </c>
      <c r="O7617" s="2">
        <f ca="1"/>
        <v>0.97824264719211429</v>
      </c>
      <c r="X7617" s="2">
        <f ca="1"/>
        <v>22.780349307866764</v>
      </c>
      <c r="AG7617" s="2">
        <f ca="1"/>
        <v>0.82830265898885536</v>
      </c>
      <c r="AH7617" s="2" t="str">
        <f ca="1"/>
        <v>Bad</v>
      </c>
    </row>
    <row r="7618" spans="2:34">
      <c r="B7618" s="2">
        <f ca="1"/>
        <v>0.96014371154423084</v>
      </c>
      <c r="O7618" s="2">
        <f ca="1"/>
        <v>0.65757307297983547</v>
      </c>
      <c r="X7618" s="2">
        <f ca="1"/>
        <v>36.80083806716992</v>
      </c>
      <c r="AG7618" s="2">
        <f ca="1"/>
        <v>3.045508490080584E-2</v>
      </c>
      <c r="AH7618" s="2" t="str">
        <f ca="1"/>
        <v>Good</v>
      </c>
    </row>
    <row r="7619" spans="2:34">
      <c r="B7619" s="2">
        <f ca="1"/>
        <v>0.32300331108474101</v>
      </c>
      <c r="O7619" s="2">
        <f ca="1"/>
        <v>0.33665042101097459</v>
      </c>
      <c r="X7619" s="2">
        <f ca="1"/>
        <v>58.647377631426181</v>
      </c>
      <c r="AG7619" s="2">
        <f ca="1"/>
        <v>0.27009943903666978</v>
      </c>
      <c r="AH7619" s="2" t="str">
        <f ca="1"/>
        <v>OK</v>
      </c>
    </row>
    <row r="7620" spans="2:34">
      <c r="B7620" s="2">
        <f ca="1"/>
        <v>0.22934833588123382</v>
      </c>
      <c r="O7620" s="2">
        <f ca="1"/>
        <v>-1.428321330777875</v>
      </c>
      <c r="X7620" s="2">
        <f ca="1"/>
        <v>27.907160822833138</v>
      </c>
      <c r="AG7620" s="2">
        <f ca="1"/>
        <v>0.84071001637542175</v>
      </c>
      <c r="AH7620" s="2" t="str">
        <f ca="1"/>
        <v>Bad</v>
      </c>
    </row>
    <row r="7621" spans="2:34">
      <c r="B7621" s="2">
        <f ca="1"/>
        <v>0.94099805141797299</v>
      </c>
      <c r="O7621" s="2">
        <f ca="1"/>
        <v>-1.3777130685706451</v>
      </c>
      <c r="X7621" s="2">
        <f ca="1"/>
        <v>28.667024098229664</v>
      </c>
      <c r="AG7621" s="2">
        <f ca="1"/>
        <v>0.22046638333166668</v>
      </c>
      <c r="AH7621" s="2" t="str">
        <f ca="1"/>
        <v>OK</v>
      </c>
    </row>
    <row r="7622" spans="2:34">
      <c r="B7622" s="2">
        <f ca="1"/>
        <v>0.93827185036965233</v>
      </c>
      <c r="O7622" s="2">
        <f ca="1"/>
        <v>1.5725557305266744</v>
      </c>
      <c r="X7622" s="2">
        <f ca="1"/>
        <v>59.968799640538933</v>
      </c>
      <c r="AG7622" s="2">
        <f ca="1"/>
        <v>0.16466364629640684</v>
      </c>
      <c r="AH7622" s="2" t="str">
        <f ca="1"/>
        <v>OK</v>
      </c>
    </row>
    <row r="7623" spans="2:34">
      <c r="B7623" s="2">
        <f ca="1"/>
        <v>3.5844918670622006E-2</v>
      </c>
      <c r="O7623" s="2">
        <f ca="1"/>
        <v>-0.26177519213740352</v>
      </c>
      <c r="X7623" s="2">
        <f ca="1"/>
        <v>42.317632585082819</v>
      </c>
      <c r="AG7623" s="2">
        <f ca="1"/>
        <v>0.1557607115523747</v>
      </c>
      <c r="AH7623" s="2" t="str">
        <f ca="1"/>
        <v>OK</v>
      </c>
    </row>
    <row r="7624" spans="2:34">
      <c r="B7624" s="2">
        <f ca="1"/>
        <v>0.62380181441811144</v>
      </c>
      <c r="O7624" s="2">
        <f ca="1"/>
        <v>1.2733263802512564</v>
      </c>
      <c r="X7624" s="2">
        <f ca="1"/>
        <v>49.0624318257032</v>
      </c>
      <c r="AG7624" s="2">
        <f ca="1"/>
        <v>0.68455838035794092</v>
      </c>
      <c r="AH7624" s="2" t="str">
        <f ca="1"/>
        <v>Bad</v>
      </c>
    </row>
    <row r="7625" spans="2:34">
      <c r="B7625" s="2">
        <f ca="1"/>
        <v>0.52483215630014191</v>
      </c>
      <c r="O7625" s="2">
        <f ca="1"/>
        <v>0.30995578863232259</v>
      </c>
      <c r="X7625" s="2">
        <f ca="1"/>
        <v>65.067673223914383</v>
      </c>
      <c r="AG7625" s="2">
        <f ca="1"/>
        <v>0.89445717681044568</v>
      </c>
      <c r="AH7625" s="2" t="str">
        <f ca="1"/>
        <v>Bad</v>
      </c>
    </row>
    <row r="7626" spans="2:34">
      <c r="B7626" s="2">
        <f ca="1"/>
        <v>0.63464054531728209</v>
      </c>
      <c r="O7626" s="2">
        <f ca="1"/>
        <v>0.59231000714649029</v>
      </c>
      <c r="X7626" s="2">
        <f ca="1"/>
        <v>31.778898184517175</v>
      </c>
      <c r="AG7626" s="2">
        <f ca="1"/>
        <v>0.49463372882037793</v>
      </c>
      <c r="AH7626" s="2" t="str">
        <f ca="1"/>
        <v>Bad</v>
      </c>
    </row>
    <row r="7627" spans="2:34">
      <c r="B7627" s="2">
        <f ca="1"/>
        <v>6.5881970226446818E-3</v>
      </c>
      <c r="O7627" s="2">
        <f ca="1"/>
        <v>-1.0005978141729892</v>
      </c>
      <c r="X7627" s="2">
        <f ca="1"/>
        <v>58.971581894840917</v>
      </c>
      <c r="AG7627" s="2">
        <f ca="1"/>
        <v>0.96789247462274464</v>
      </c>
      <c r="AH7627" s="2" t="str">
        <f ca="1"/>
        <v>Bad</v>
      </c>
    </row>
    <row r="7628" spans="2:34">
      <c r="B7628" s="2">
        <f ca="1"/>
        <v>0.64419176158766644</v>
      </c>
      <c r="O7628" s="2">
        <f ca="1"/>
        <v>-1.4426817801758105</v>
      </c>
      <c r="X7628" s="2">
        <f ca="1"/>
        <v>32.30071758684538</v>
      </c>
      <c r="AG7628" s="2">
        <f ca="1"/>
        <v>5.4418502303360983E-2</v>
      </c>
      <c r="AH7628" s="2" t="str">
        <f ca="1"/>
        <v>OK</v>
      </c>
    </row>
    <row r="7629" spans="2:34">
      <c r="B7629" s="2">
        <f ca="1"/>
        <v>0.82109834631495704</v>
      </c>
      <c r="O7629" s="2">
        <f ca="1"/>
        <v>0.3058440528792441</v>
      </c>
      <c r="X7629" s="2">
        <f ca="1"/>
        <v>25.540493458172044</v>
      </c>
      <c r="AG7629" s="2">
        <f ca="1"/>
        <v>0.48536812224879244</v>
      </c>
      <c r="AH7629" s="2" t="str">
        <f ca="1"/>
        <v>Bad</v>
      </c>
    </row>
    <row r="7630" spans="2:34">
      <c r="B7630" s="2">
        <f ca="1"/>
        <v>0.24194744718170869</v>
      </c>
      <c r="O7630" s="2">
        <f ca="1"/>
        <v>1.2687117990470465</v>
      </c>
      <c r="X7630" s="2">
        <f ca="1"/>
        <v>57.059138927519712</v>
      </c>
      <c r="AG7630" s="2">
        <f ca="1"/>
        <v>0.97791279701298528</v>
      </c>
      <c r="AH7630" s="2" t="str">
        <f ca="1"/>
        <v>Bad</v>
      </c>
    </row>
    <row r="7631" spans="2:34">
      <c r="B7631" s="2">
        <f ca="1"/>
        <v>0.65395620662327136</v>
      </c>
      <c r="O7631" s="2">
        <f ca="1"/>
        <v>-1.1777229746143911</v>
      </c>
      <c r="X7631" s="2">
        <f ca="1"/>
        <v>53.894603805687787</v>
      </c>
      <c r="AG7631" s="2">
        <f ca="1"/>
        <v>0.46551033456710122</v>
      </c>
      <c r="AH7631" s="2" t="str">
        <f ca="1"/>
        <v>Bad</v>
      </c>
    </row>
    <row r="7632" spans="2:34">
      <c r="B7632" s="2">
        <f ca="1"/>
        <v>0.65991260398202933</v>
      </c>
      <c r="O7632" s="2">
        <f ca="1"/>
        <v>0.23047931050750578</v>
      </c>
      <c r="X7632" s="2">
        <f ca="1"/>
        <v>75.253853553503546</v>
      </c>
      <c r="AG7632" s="2">
        <f ca="1"/>
        <v>0.33409587025496568</v>
      </c>
      <c r="AH7632" s="2" t="str">
        <f ca="1"/>
        <v>OK</v>
      </c>
    </row>
    <row r="7633" spans="2:34">
      <c r="B7633" s="2">
        <f ca="1"/>
        <v>9.6849507648495647E-2</v>
      </c>
      <c r="O7633" s="2">
        <f ca="1"/>
        <v>1.0805138882986336</v>
      </c>
      <c r="X7633" s="2">
        <f ca="1"/>
        <v>38.433129078087347</v>
      </c>
      <c r="AG7633" s="2">
        <f ca="1"/>
        <v>0.30310834673667508</v>
      </c>
      <c r="AH7633" s="2" t="str">
        <f ca="1"/>
        <v>OK</v>
      </c>
    </row>
    <row r="7634" spans="2:34">
      <c r="B7634" s="2">
        <f ca="1"/>
        <v>0.50567075596213606</v>
      </c>
      <c r="O7634" s="2">
        <f ca="1"/>
        <v>-0.40980704254437778</v>
      </c>
      <c r="X7634" s="2">
        <f ca="1"/>
        <v>40.266820116251559</v>
      </c>
      <c r="AG7634" s="2">
        <f ca="1"/>
        <v>0.27064000427794377</v>
      </c>
      <c r="AH7634" s="2" t="str">
        <f ca="1"/>
        <v>OK</v>
      </c>
    </row>
    <row r="7635" spans="2:34">
      <c r="B7635" s="2">
        <f ca="1"/>
        <v>5.4551207960473747E-3</v>
      </c>
      <c r="O7635" s="2">
        <f ca="1"/>
        <v>1.8651677180717032</v>
      </c>
      <c r="X7635" s="2">
        <f ca="1"/>
        <v>48.677909282283458</v>
      </c>
      <c r="AG7635" s="2">
        <f ca="1"/>
        <v>0.44553847607356101</v>
      </c>
      <c r="AH7635" s="2" t="str">
        <f ca="1"/>
        <v>Bad</v>
      </c>
    </row>
    <row r="7636" spans="2:34">
      <c r="B7636" s="2">
        <f ca="1"/>
        <v>0.31884692089691868</v>
      </c>
      <c r="O7636" s="2">
        <f ca="1"/>
        <v>1.6227279668250592</v>
      </c>
      <c r="X7636" s="2">
        <f ca="1"/>
        <v>80.874871279834494</v>
      </c>
      <c r="AG7636" s="2">
        <f ca="1"/>
        <v>0.32411892384688401</v>
      </c>
      <c r="AH7636" s="2" t="str">
        <f ca="1"/>
        <v>OK</v>
      </c>
    </row>
    <row r="7637" spans="2:34">
      <c r="B7637" s="2">
        <f ca="1"/>
        <v>0.34406559877354304</v>
      </c>
      <c r="O7637" s="2">
        <f ca="1"/>
        <v>0.27616952027524716</v>
      </c>
      <c r="X7637" s="2">
        <f ca="1"/>
        <v>56.542758770549554</v>
      </c>
      <c r="AG7637" s="2">
        <f ca="1"/>
        <v>0.21322613718389172</v>
      </c>
      <c r="AH7637" s="2" t="str">
        <f ca="1"/>
        <v>OK</v>
      </c>
    </row>
    <row r="7638" spans="2:34">
      <c r="B7638" s="2">
        <f ca="1"/>
        <v>0.92864638894301232</v>
      </c>
      <c r="O7638" s="2">
        <f ca="1"/>
        <v>-1.9794316957363121</v>
      </c>
      <c r="X7638" s="2">
        <f ca="1"/>
        <v>39.764350389594931</v>
      </c>
      <c r="AG7638" s="2">
        <f ca="1"/>
        <v>0.74981611229785239</v>
      </c>
      <c r="AH7638" s="2" t="str">
        <f ca="1"/>
        <v>Bad</v>
      </c>
    </row>
    <row r="7639" spans="2:34">
      <c r="B7639" s="2">
        <f ca="1"/>
        <v>0.26481354270122326</v>
      </c>
      <c r="O7639" s="2">
        <f ca="1"/>
        <v>1.2468585097894376</v>
      </c>
      <c r="X7639" s="2">
        <f ca="1"/>
        <v>41.927679056442891</v>
      </c>
      <c r="AG7639" s="2">
        <f ca="1"/>
        <v>0.94468907509726718</v>
      </c>
      <c r="AH7639" s="2" t="str">
        <f ca="1"/>
        <v>Bad</v>
      </c>
    </row>
    <row r="7640" spans="2:34">
      <c r="B7640" s="2">
        <f ca="1"/>
        <v>0.27688002320066762</v>
      </c>
      <c r="O7640" s="2">
        <f ca="1"/>
        <v>0.44694757850711575</v>
      </c>
      <c r="X7640" s="2">
        <f ca="1"/>
        <v>34.460689282111517</v>
      </c>
      <c r="AG7640" s="2">
        <f ca="1"/>
        <v>0.48510614173397548</v>
      </c>
      <c r="AH7640" s="2" t="str">
        <f ca="1"/>
        <v>Bad</v>
      </c>
    </row>
    <row r="7641" spans="2:34">
      <c r="B7641" s="2">
        <f ca="1"/>
        <v>0.88784668394355704</v>
      </c>
      <c r="O7641" s="2">
        <f ca="1"/>
        <v>1.2095238807893078</v>
      </c>
      <c r="X7641" s="2">
        <f ca="1"/>
        <v>100.92556394925717</v>
      </c>
      <c r="AG7641" s="2">
        <f ca="1"/>
        <v>0.94856583489365631</v>
      </c>
      <c r="AH7641" s="2" t="str">
        <f ca="1"/>
        <v>Bad</v>
      </c>
    </row>
    <row r="7642" spans="2:34">
      <c r="B7642" s="2">
        <f ca="1"/>
        <v>0.7416805927458745</v>
      </c>
      <c r="O7642" s="2">
        <f ca="1"/>
        <v>-8.9742769434253813E-2</v>
      </c>
      <c r="X7642" s="2">
        <f ca="1"/>
        <v>57.777600760311209</v>
      </c>
      <c r="AG7642" s="2">
        <f ca="1"/>
        <v>0.82204543375189965</v>
      </c>
      <c r="AH7642" s="2" t="str">
        <f ca="1"/>
        <v>Bad</v>
      </c>
    </row>
    <row r="7643" spans="2:34">
      <c r="B7643" s="2">
        <f ca="1"/>
        <v>0.48281523487423916</v>
      </c>
      <c r="O7643" s="2">
        <f ca="1"/>
        <v>0.66348841089517419</v>
      </c>
      <c r="X7643" s="2">
        <f ca="1"/>
        <v>45.23482337440587</v>
      </c>
      <c r="AG7643" s="2">
        <f ca="1"/>
        <v>0.97691505877796869</v>
      </c>
      <c r="AH7643" s="2" t="str">
        <f ca="1"/>
        <v>Bad</v>
      </c>
    </row>
    <row r="7644" spans="2:34">
      <c r="B7644" s="2">
        <f ca="1"/>
        <v>0.50376593830486249</v>
      </c>
      <c r="O7644" s="2">
        <f ca="1"/>
        <v>1.6975052126922132</v>
      </c>
      <c r="X7644" s="2">
        <f ca="1"/>
        <v>22.193565608993985</v>
      </c>
      <c r="AG7644" s="2">
        <f ca="1"/>
        <v>0.41480208132867702</v>
      </c>
      <c r="AH7644" s="2" t="str">
        <f ca="1"/>
        <v>Bad</v>
      </c>
    </row>
    <row r="7645" spans="2:34">
      <c r="B7645" s="2">
        <f ca="1"/>
        <v>0.69927820609996671</v>
      </c>
      <c r="O7645" s="2">
        <f ca="1"/>
        <v>-0.11142203355064235</v>
      </c>
      <c r="X7645" s="2">
        <f ca="1"/>
        <v>41.198733614555309</v>
      </c>
      <c r="AG7645" s="2">
        <f ca="1"/>
        <v>0.93035016583008168</v>
      </c>
      <c r="AH7645" s="2" t="str">
        <f ca="1"/>
        <v>Bad</v>
      </c>
    </row>
    <row r="7646" spans="2:34">
      <c r="B7646" s="2">
        <f ca="1"/>
        <v>0.3149417143825417</v>
      </c>
      <c r="O7646" s="2">
        <f ca="1"/>
        <v>7.2717596333484014E-2</v>
      </c>
      <c r="X7646" s="2">
        <f ca="1"/>
        <v>63.365712462456301</v>
      </c>
      <c r="AG7646" s="2">
        <f ca="1"/>
        <v>0.91985517297391639</v>
      </c>
      <c r="AH7646" s="2" t="str">
        <f ca="1"/>
        <v>Bad</v>
      </c>
    </row>
    <row r="7647" spans="2:34">
      <c r="B7647" s="2">
        <f ca="1"/>
        <v>2.0058419320949428E-2</v>
      </c>
      <c r="O7647" s="2">
        <f ca="1"/>
        <v>-1.9562745981956253</v>
      </c>
      <c r="X7647" s="2">
        <f ca="1"/>
        <v>37.599984953583302</v>
      </c>
      <c r="AG7647" s="2">
        <f ca="1"/>
        <v>0.49761114248440319</v>
      </c>
      <c r="AH7647" s="2" t="str">
        <f ca="1"/>
        <v>Bad</v>
      </c>
    </row>
    <row r="7648" spans="2:34">
      <c r="B7648" s="2">
        <f ca="1"/>
        <v>0.51556980356097126</v>
      </c>
      <c r="O7648" s="2">
        <f ca="1"/>
        <v>0.9064086072256301</v>
      </c>
      <c r="X7648" s="2">
        <f ca="1"/>
        <v>56.757085478614869</v>
      </c>
      <c r="AG7648" s="2">
        <f ca="1"/>
        <v>7.8908217696142646E-2</v>
      </c>
      <c r="AH7648" s="2" t="str">
        <f ca="1"/>
        <v>OK</v>
      </c>
    </row>
    <row r="7649" spans="2:34">
      <c r="B7649" s="2">
        <f ca="1"/>
        <v>0.5637467622990735</v>
      </c>
      <c r="O7649" s="2">
        <f ca="1"/>
        <v>3.3455794042835003E-2</v>
      </c>
      <c r="X7649" s="2">
        <f ca="1"/>
        <v>46.857401248171975</v>
      </c>
      <c r="AG7649" s="2">
        <f ca="1"/>
        <v>0.93762007831929872</v>
      </c>
      <c r="AH7649" s="2" t="str">
        <f ca="1"/>
        <v>Bad</v>
      </c>
    </row>
    <row r="7650" spans="2:34">
      <c r="B7650" s="2">
        <f ca="1"/>
        <v>0.12996080420133183</v>
      </c>
      <c r="O7650" s="2">
        <f ca="1"/>
        <v>1.2390733252140083</v>
      </c>
      <c r="X7650" s="2">
        <f ca="1"/>
        <v>36.432798565463649</v>
      </c>
      <c r="AG7650" s="2">
        <f ca="1"/>
        <v>0.61917843285463658</v>
      </c>
      <c r="AH7650" s="2" t="str">
        <f ca="1"/>
        <v>Bad</v>
      </c>
    </row>
    <row r="7651" spans="2:34">
      <c r="B7651" s="2">
        <f ca="1"/>
        <v>0.4510505061846739</v>
      </c>
      <c r="O7651" s="2">
        <f ca="1"/>
        <v>-1.2974147300912342</v>
      </c>
      <c r="X7651" s="2">
        <f ca="1"/>
        <v>61.429358165802753</v>
      </c>
      <c r="AG7651" s="2">
        <f ca="1"/>
        <v>0.26138402909044833</v>
      </c>
      <c r="AH7651" s="2" t="str">
        <f ca="1"/>
        <v>OK</v>
      </c>
    </row>
    <row r="7652" spans="2:34">
      <c r="B7652" s="2">
        <f ca="1"/>
        <v>0.32000107963746394</v>
      </c>
      <c r="O7652" s="2">
        <f ca="1"/>
        <v>1.0097760453941356</v>
      </c>
      <c r="X7652" s="2">
        <f ca="1"/>
        <v>52.103402463219155</v>
      </c>
      <c r="AG7652" s="2">
        <f ca="1"/>
        <v>0.27324654480084831</v>
      </c>
      <c r="AH7652" s="2" t="str">
        <f ca="1"/>
        <v>OK</v>
      </c>
    </row>
    <row r="7653" spans="2:34">
      <c r="B7653" s="2">
        <f ca="1"/>
        <v>0.76586133076895768</v>
      </c>
      <c r="O7653" s="2">
        <f ca="1"/>
        <v>-1.1157781841854879</v>
      </c>
      <c r="X7653" s="2">
        <f ca="1"/>
        <v>44.155358105379875</v>
      </c>
      <c r="AG7653" s="2">
        <f ca="1"/>
        <v>0.44551158226526866</v>
      </c>
      <c r="AH7653" s="2" t="str">
        <f ca="1"/>
        <v>Bad</v>
      </c>
    </row>
    <row r="7654" spans="2:34">
      <c r="B7654" s="2">
        <f ca="1"/>
        <v>0.52254858718587016</v>
      </c>
      <c r="O7654" s="2">
        <f ca="1"/>
        <v>0.61992270228845836</v>
      </c>
      <c r="X7654" s="2">
        <f ca="1"/>
        <v>70.723014647651041</v>
      </c>
      <c r="AG7654" s="2">
        <f ca="1"/>
        <v>0.78675368036593163</v>
      </c>
      <c r="AH7654" s="2" t="str">
        <f ca="1"/>
        <v>Bad</v>
      </c>
    </row>
    <row r="7655" spans="2:34">
      <c r="B7655" s="2">
        <f ca="1"/>
        <v>0.88129437310426284</v>
      </c>
      <c r="O7655" s="2">
        <f ca="1"/>
        <v>1.6238511601606618</v>
      </c>
      <c r="X7655" s="2">
        <f ca="1"/>
        <v>40.455264889752868</v>
      </c>
      <c r="AG7655" s="2">
        <f ca="1"/>
        <v>0.52389156290996763</v>
      </c>
      <c r="AH7655" s="2" t="str">
        <f ca="1"/>
        <v>Bad</v>
      </c>
    </row>
    <row r="7656" spans="2:34">
      <c r="B7656" s="2">
        <f ca="1"/>
        <v>0.89783375021948686</v>
      </c>
      <c r="O7656" s="2">
        <f ca="1"/>
        <v>-0.23165320397191541</v>
      </c>
      <c r="X7656" s="2">
        <f ca="1"/>
        <v>76.370561516966589</v>
      </c>
      <c r="AG7656" s="2">
        <f ca="1"/>
        <v>0.27639333098815633</v>
      </c>
      <c r="AH7656" s="2" t="str">
        <f ca="1"/>
        <v>OK</v>
      </c>
    </row>
    <row r="7657" spans="2:34">
      <c r="B7657" s="2">
        <f ca="1"/>
        <v>0.23851976544120834</v>
      </c>
      <c r="O7657" s="2">
        <f ca="1"/>
        <v>-1.8955342946612959</v>
      </c>
      <c r="X7657" s="2">
        <f ca="1"/>
        <v>45.961179503660986</v>
      </c>
      <c r="AG7657" s="2">
        <f ca="1"/>
        <v>0.54542118845847676</v>
      </c>
      <c r="AH7657" s="2" t="str">
        <f ca="1"/>
        <v>Bad</v>
      </c>
    </row>
    <row r="7658" spans="2:34">
      <c r="B7658" s="2">
        <f ca="1"/>
        <v>0.74623441942989555</v>
      </c>
      <c r="O7658" s="2">
        <f ca="1"/>
        <v>-0.26346792982480799</v>
      </c>
      <c r="X7658" s="2">
        <f ca="1"/>
        <v>43.685278790817648</v>
      </c>
      <c r="AG7658" s="2">
        <f ca="1"/>
        <v>0.29817311878348418</v>
      </c>
      <c r="AH7658" s="2" t="str">
        <f ca="1"/>
        <v>OK</v>
      </c>
    </row>
    <row r="7659" spans="2:34">
      <c r="B7659" s="2">
        <f ca="1"/>
        <v>0.18364409319238972</v>
      </c>
      <c r="O7659" s="2">
        <f ca="1"/>
        <v>0.31980640948450456</v>
      </c>
      <c r="X7659" s="2">
        <f ca="1"/>
        <v>30.442553333032564</v>
      </c>
      <c r="AG7659" s="2">
        <f ca="1"/>
        <v>0.57688778153977149</v>
      </c>
      <c r="AH7659" s="2" t="str">
        <f ca="1"/>
        <v>Bad</v>
      </c>
    </row>
    <row r="7660" spans="2:34">
      <c r="B7660" s="2">
        <f ca="1"/>
        <v>0.64425943977554212</v>
      </c>
      <c r="O7660" s="2">
        <f ca="1"/>
        <v>-0.61608462591904778</v>
      </c>
      <c r="X7660" s="2">
        <f ca="1"/>
        <v>40.899072555524128</v>
      </c>
      <c r="AG7660" s="2">
        <f ca="1"/>
        <v>0.15472609896726319</v>
      </c>
      <c r="AH7660" s="2" t="str">
        <f ca="1"/>
        <v>OK</v>
      </c>
    </row>
    <row r="7661" spans="2:34">
      <c r="B7661" s="2">
        <f ca="1"/>
        <v>0.83778724008739136</v>
      </c>
      <c r="O7661" s="2">
        <f ca="1"/>
        <v>0.56556535946417652</v>
      </c>
      <c r="X7661" s="2">
        <f ca="1"/>
        <v>48.883497392697635</v>
      </c>
      <c r="AG7661" s="2">
        <f ca="1"/>
        <v>0.82957535815376682</v>
      </c>
      <c r="AH7661" s="2" t="str">
        <f ca="1"/>
        <v>Bad</v>
      </c>
    </row>
    <row r="7662" spans="2:34">
      <c r="B7662" s="2">
        <f ca="1"/>
        <v>2.9462353196405999E-2</v>
      </c>
      <c r="O7662" s="2">
        <f ca="1"/>
        <v>-1.1160532678172856</v>
      </c>
      <c r="X7662" s="2">
        <f ca="1"/>
        <v>41.639331798157563</v>
      </c>
      <c r="AG7662" s="2">
        <f ca="1"/>
        <v>0.73044562169382377</v>
      </c>
      <c r="AH7662" s="2" t="str">
        <f ca="1"/>
        <v>Bad</v>
      </c>
    </row>
    <row r="7663" spans="2:34">
      <c r="B7663" s="2">
        <f ca="1"/>
        <v>0.377856878312683</v>
      </c>
      <c r="O7663" s="2">
        <f ca="1"/>
        <v>-1.1251023890686984</v>
      </c>
      <c r="X7663" s="2">
        <f ca="1"/>
        <v>48.724856967112721</v>
      </c>
      <c r="AG7663" s="2">
        <f ca="1"/>
        <v>0.97649995832777092</v>
      </c>
      <c r="AH7663" s="2" t="str">
        <f ca="1"/>
        <v>Bad</v>
      </c>
    </row>
    <row r="7664" spans="2:34">
      <c r="B7664" s="2">
        <f ca="1"/>
        <v>0.6019997897245537</v>
      </c>
      <c r="O7664" s="2">
        <f ca="1"/>
        <v>-0.2518136420895466</v>
      </c>
      <c r="X7664" s="2">
        <f ca="1"/>
        <v>34.441515310959225</v>
      </c>
      <c r="AG7664" s="2">
        <f ca="1"/>
        <v>1.0872916741226257E-2</v>
      </c>
      <c r="AH7664" s="2" t="str">
        <f ca="1"/>
        <v>Good</v>
      </c>
    </row>
    <row r="7665" spans="2:34">
      <c r="B7665" s="2">
        <f ca="1"/>
        <v>0.49483890200405556</v>
      </c>
      <c r="O7665" s="2">
        <f ca="1"/>
        <v>0.78971580525182394</v>
      </c>
      <c r="X7665" s="2">
        <f ca="1"/>
        <v>45.944724120510578</v>
      </c>
      <c r="AG7665" s="2">
        <f ca="1"/>
        <v>0.38528558757191034</v>
      </c>
      <c r="AH7665" s="2" t="str">
        <f ca="1"/>
        <v>OK</v>
      </c>
    </row>
    <row r="7666" spans="2:34">
      <c r="B7666" s="2">
        <f ca="1"/>
        <v>0.50316507590771042</v>
      </c>
      <c r="O7666" s="2">
        <f ca="1"/>
        <v>0.87931736305638686</v>
      </c>
      <c r="X7666" s="2">
        <f ca="1"/>
        <v>75.743075283878696</v>
      </c>
      <c r="AG7666" s="2">
        <f ca="1"/>
        <v>0.13673843865250035</v>
      </c>
      <c r="AH7666" s="2" t="str">
        <f ca="1"/>
        <v>OK</v>
      </c>
    </row>
    <row r="7667" spans="2:34">
      <c r="B7667" s="2">
        <f ca="1"/>
        <v>0.64062543166474195</v>
      </c>
      <c r="O7667" s="2">
        <f ca="1"/>
        <v>0.98053490518183961</v>
      </c>
      <c r="X7667" s="2">
        <f ca="1"/>
        <v>54.940437461013502</v>
      </c>
      <c r="AG7667" s="2">
        <f ca="1"/>
        <v>0.91066135020943784</v>
      </c>
      <c r="AH7667" s="2" t="str">
        <f ca="1"/>
        <v>Bad</v>
      </c>
    </row>
    <row r="7668" spans="2:34">
      <c r="B7668" s="2">
        <f ca="1"/>
        <v>0.68007589239907196</v>
      </c>
      <c r="O7668" s="2">
        <f ca="1"/>
        <v>-1.7416106032356873</v>
      </c>
      <c r="X7668" s="2">
        <f ca="1"/>
        <v>46.449144767657188</v>
      </c>
      <c r="AG7668" s="2">
        <f ca="1"/>
        <v>0.60960181849227912</v>
      </c>
      <c r="AH7668" s="2" t="str">
        <f ca="1"/>
        <v>Bad</v>
      </c>
    </row>
    <row r="7669" spans="2:34">
      <c r="B7669" s="2">
        <f ca="1"/>
        <v>0.16347562806226223</v>
      </c>
      <c r="O7669" s="2">
        <f ca="1"/>
        <v>-1.4088125710137971</v>
      </c>
      <c r="X7669" s="2">
        <f ca="1"/>
        <v>51.313527224183453</v>
      </c>
      <c r="AG7669" s="2">
        <f ca="1"/>
        <v>0.48933329311813312</v>
      </c>
      <c r="AH7669" s="2" t="str">
        <f ca="1"/>
        <v>Bad</v>
      </c>
    </row>
    <row r="7670" spans="2:34">
      <c r="B7670" s="2">
        <f ca="1"/>
        <v>0.43140364238218343</v>
      </c>
      <c r="O7670" s="2">
        <f ca="1"/>
        <v>-2.6003412232760214E-2</v>
      </c>
      <c r="X7670" s="2">
        <f ca="1"/>
        <v>75.328248612355992</v>
      </c>
      <c r="AG7670" s="2">
        <f ca="1"/>
        <v>0.22904904583145624</v>
      </c>
      <c r="AH7670" s="2" t="str">
        <f ca="1"/>
        <v>OK</v>
      </c>
    </row>
    <row r="7671" spans="2:34">
      <c r="B7671" s="2">
        <f ca="1"/>
        <v>0.29823751336484672</v>
      </c>
      <c r="O7671" s="2">
        <f ca="1"/>
        <v>-1.032450260451909</v>
      </c>
      <c r="X7671" s="2">
        <f ca="1"/>
        <v>43.919706451787818</v>
      </c>
      <c r="AG7671" s="2">
        <f ca="1"/>
        <v>0.58315268425113786</v>
      </c>
      <c r="AH7671" s="2" t="str">
        <f ca="1"/>
        <v>Bad</v>
      </c>
    </row>
    <row r="7672" spans="2:34">
      <c r="B7672" s="2">
        <f ca="1"/>
        <v>0.56138268412786019</v>
      </c>
      <c r="O7672" s="2">
        <f ca="1"/>
        <v>-1.4558448131402837</v>
      </c>
      <c r="X7672" s="2">
        <f ca="1"/>
        <v>44.49175341184813</v>
      </c>
      <c r="AG7672" s="2">
        <f ca="1"/>
        <v>0.76154555268105106</v>
      </c>
      <c r="AH7672" s="2" t="str">
        <f ca="1"/>
        <v>Bad</v>
      </c>
    </row>
    <row r="7673" spans="2:34">
      <c r="B7673" s="2">
        <f ca="1"/>
        <v>9.3861755655566537E-3</v>
      </c>
      <c r="O7673" s="2">
        <f ca="1"/>
        <v>-0.86039019859332577</v>
      </c>
      <c r="X7673" s="2">
        <f ca="1"/>
        <v>47.298516800537236</v>
      </c>
      <c r="AG7673" s="2">
        <f ca="1"/>
        <v>0.91256742685448211</v>
      </c>
      <c r="AH7673" s="2" t="str">
        <f ca="1"/>
        <v>Bad</v>
      </c>
    </row>
    <row r="7674" spans="2:34">
      <c r="B7674" s="2">
        <f ca="1"/>
        <v>0.18513709238164866</v>
      </c>
      <c r="O7674" s="2">
        <f ca="1"/>
        <v>1.5026738297198381</v>
      </c>
      <c r="X7674" s="2">
        <f ca="1"/>
        <v>43.681796298152513</v>
      </c>
      <c r="AG7674" s="2">
        <f ca="1"/>
        <v>9.3322389904999525E-2</v>
      </c>
      <c r="AH7674" s="2" t="str">
        <f ca="1"/>
        <v>OK</v>
      </c>
    </row>
    <row r="7675" spans="2:34">
      <c r="B7675" s="2">
        <f ca="1"/>
        <v>0.54824980751564367</v>
      </c>
      <c r="O7675" s="2">
        <f ca="1"/>
        <v>1.0120397826483858</v>
      </c>
      <c r="X7675" s="2">
        <f ca="1"/>
        <v>51.79018522351317</v>
      </c>
      <c r="AG7675" s="2">
        <f ca="1"/>
        <v>0.1118432812753305</v>
      </c>
      <c r="AH7675" s="2" t="str">
        <f ca="1"/>
        <v>OK</v>
      </c>
    </row>
    <row r="7676" spans="2:34">
      <c r="B7676" s="2">
        <f ca="1"/>
        <v>0.180215534579798</v>
      </c>
      <c r="O7676" s="2">
        <f ca="1"/>
        <v>1.010900848432206</v>
      </c>
      <c r="X7676" s="2">
        <f ca="1"/>
        <v>62.464561779298677</v>
      </c>
      <c r="AG7676" s="2">
        <f ca="1"/>
        <v>0.81669853656239</v>
      </c>
      <c r="AH7676" s="2" t="str">
        <f ca="1"/>
        <v>Bad</v>
      </c>
    </row>
    <row r="7677" spans="2:34">
      <c r="B7677" s="2">
        <f ca="1"/>
        <v>0.31470236952611774</v>
      </c>
      <c r="O7677" s="2">
        <f ca="1"/>
        <v>0.74010198655592285</v>
      </c>
      <c r="X7677" s="2">
        <f ca="1"/>
        <v>41.608986301105865</v>
      </c>
      <c r="AG7677" s="2">
        <f ca="1"/>
        <v>0.19901888624885888</v>
      </c>
      <c r="AH7677" s="2" t="str">
        <f ca="1"/>
        <v>OK</v>
      </c>
    </row>
    <row r="7678" spans="2:34">
      <c r="B7678" s="2">
        <f ca="1"/>
        <v>0.23211463814488464</v>
      </c>
      <c r="O7678" s="2">
        <f ca="1"/>
        <v>0.2761999046807882</v>
      </c>
      <c r="X7678" s="2">
        <f ca="1"/>
        <v>23.760086981002001</v>
      </c>
      <c r="AG7678" s="2">
        <f ca="1"/>
        <v>0.63767584902083208</v>
      </c>
      <c r="AH7678" s="2" t="str">
        <f ca="1"/>
        <v>Bad</v>
      </c>
    </row>
    <row r="7679" spans="2:34">
      <c r="B7679" s="2">
        <f ca="1"/>
        <v>0.74063509021555185</v>
      </c>
      <c r="O7679" s="2">
        <f ca="1"/>
        <v>-2.0254421232864579</v>
      </c>
      <c r="X7679" s="2">
        <f ca="1"/>
        <v>52.877054717371863</v>
      </c>
      <c r="AG7679" s="2">
        <f ca="1"/>
        <v>0.19912884071411696</v>
      </c>
      <c r="AH7679" s="2" t="str">
        <f ca="1"/>
        <v>OK</v>
      </c>
    </row>
    <row r="7680" spans="2:34">
      <c r="B7680" s="2">
        <f ca="1"/>
        <v>0.63626829636979432</v>
      </c>
      <c r="O7680" s="2">
        <f ca="1"/>
        <v>1.0441608825549367</v>
      </c>
      <c r="X7680" s="2">
        <f ca="1"/>
        <v>32.397283676367977</v>
      </c>
      <c r="AG7680" s="2">
        <f ca="1"/>
        <v>0.93840535601751562</v>
      </c>
      <c r="AH7680" s="2" t="str">
        <f ca="1"/>
        <v>Bad</v>
      </c>
    </row>
    <row r="7681" spans="2:34">
      <c r="B7681" s="2">
        <f ca="1"/>
        <v>2.7890506264056647E-2</v>
      </c>
      <c r="O7681" s="2">
        <f ca="1"/>
        <v>0.4129103428473116</v>
      </c>
      <c r="X7681" s="2">
        <f ca="1"/>
        <v>23.045088669603579</v>
      </c>
      <c r="AG7681" s="2">
        <f ca="1"/>
        <v>0.30682891842451743</v>
      </c>
      <c r="AH7681" s="2" t="str">
        <f ca="1"/>
        <v>OK</v>
      </c>
    </row>
    <row r="7682" spans="2:34">
      <c r="B7682" s="2">
        <f ca="1"/>
        <v>0.17043463539023573</v>
      </c>
      <c r="O7682" s="2">
        <f ca="1"/>
        <v>0.90402219611430912</v>
      </c>
      <c r="X7682" s="2">
        <f ca="1"/>
        <v>87.001547198691782</v>
      </c>
      <c r="AG7682" s="2">
        <f ca="1"/>
        <v>0.49855322114669565</v>
      </c>
      <c r="AH7682" s="2" t="str">
        <f ca="1"/>
        <v>Bad</v>
      </c>
    </row>
    <row r="7683" spans="2:34">
      <c r="B7683" s="2">
        <f ca="1"/>
        <v>0.95731962439232077</v>
      </c>
      <c r="O7683" s="2">
        <f ca="1"/>
        <v>-1.3896467132142543</v>
      </c>
      <c r="X7683" s="2">
        <f ca="1"/>
        <v>43.635392039381877</v>
      </c>
      <c r="AG7683" s="2">
        <f ca="1"/>
        <v>0.21680667566253753</v>
      </c>
      <c r="AH7683" s="2" t="str">
        <f ca="1"/>
        <v>OK</v>
      </c>
    </row>
    <row r="7684" spans="2:34">
      <c r="B7684" s="2">
        <f ca="1"/>
        <v>0.2733162441133945</v>
      </c>
      <c r="O7684" s="2">
        <f ca="1"/>
        <v>-0.11861006131272124</v>
      </c>
      <c r="X7684" s="2">
        <f ca="1"/>
        <v>39.605164381187656</v>
      </c>
      <c r="AG7684" s="2">
        <f ca="1"/>
        <v>0.63959091721375771</v>
      </c>
      <c r="AH7684" s="2" t="str">
        <f ca="1"/>
        <v>Bad</v>
      </c>
    </row>
    <row r="7685" spans="2:34">
      <c r="B7685" s="2">
        <f ca="1"/>
        <v>0.43288065869212677</v>
      </c>
      <c r="O7685" s="2">
        <f ca="1"/>
        <v>1.4678410526414636</v>
      </c>
      <c r="X7685" s="2">
        <f ca="1"/>
        <v>44.27791073901961</v>
      </c>
      <c r="AG7685" s="2">
        <f ca="1"/>
        <v>0.33920892582960116</v>
      </c>
      <c r="AH7685" s="2" t="str">
        <f ca="1"/>
        <v>OK</v>
      </c>
    </row>
    <row r="7686" spans="2:34">
      <c r="B7686" s="2">
        <f ca="1"/>
        <v>0.38376930863984793</v>
      </c>
      <c r="O7686" s="2">
        <f ca="1"/>
        <v>0.54272851509395592</v>
      </c>
      <c r="X7686" s="2">
        <f ca="1"/>
        <v>69.461351981838462</v>
      </c>
      <c r="AG7686" s="2">
        <f ca="1"/>
        <v>0.59380178595443356</v>
      </c>
      <c r="AH7686" s="2" t="str">
        <f ca="1"/>
        <v>Bad</v>
      </c>
    </row>
    <row r="7687" spans="2:34">
      <c r="B7687" s="2">
        <f ca="1"/>
        <v>0.23503161727230304</v>
      </c>
      <c r="O7687" s="2">
        <f ca="1"/>
        <v>-0.41058020292453123</v>
      </c>
      <c r="X7687" s="2">
        <f ca="1"/>
        <v>54.466625309344067</v>
      </c>
      <c r="AG7687" s="2">
        <f ca="1"/>
        <v>0.11372959100467694</v>
      </c>
      <c r="AH7687" s="2" t="str">
        <f ca="1"/>
        <v>OK</v>
      </c>
    </row>
    <row r="7688" spans="2:34">
      <c r="B7688" s="2">
        <f ca="1"/>
        <v>0.60107647419007493</v>
      </c>
      <c r="O7688" s="2">
        <f ca="1"/>
        <v>-0.36245389650331494</v>
      </c>
      <c r="X7688" s="2">
        <f ca="1"/>
        <v>41.595850485105537</v>
      </c>
      <c r="AG7688" s="2">
        <f ca="1"/>
        <v>0.78587741127744559</v>
      </c>
      <c r="AH7688" s="2" t="str">
        <f ca="1"/>
        <v>Bad</v>
      </c>
    </row>
    <row r="7689" spans="2:34">
      <c r="B7689" s="2">
        <f ca="1"/>
        <v>0.40069197635493659</v>
      </c>
      <c r="O7689" s="2">
        <f ca="1"/>
        <v>-0.42770542950835311</v>
      </c>
      <c r="X7689" s="2">
        <f ca="1"/>
        <v>39.059899138887204</v>
      </c>
      <c r="AG7689" s="2">
        <f ca="1"/>
        <v>0.3944582015432283</v>
      </c>
      <c r="AH7689" s="2" t="str">
        <f ca="1"/>
        <v>OK</v>
      </c>
    </row>
    <row r="7690" spans="2:34">
      <c r="B7690" s="2">
        <f ca="1"/>
        <v>0.7211483152414595</v>
      </c>
      <c r="O7690" s="2">
        <f ca="1"/>
        <v>0.63438033478560485</v>
      </c>
      <c r="X7690" s="2">
        <f ca="1"/>
        <v>44.928694462924256</v>
      </c>
      <c r="AG7690" s="2">
        <f ca="1"/>
        <v>1.6307659224605642E-2</v>
      </c>
      <c r="AH7690" s="2" t="str">
        <f ca="1"/>
        <v>Good</v>
      </c>
    </row>
    <row r="7691" spans="2:34">
      <c r="B7691" s="2">
        <f ca="1"/>
        <v>0.95403724184372085</v>
      </c>
      <c r="O7691" s="2">
        <f ca="1"/>
        <v>0.36405136470172855</v>
      </c>
      <c r="X7691" s="2">
        <f ca="1"/>
        <v>28.739153108399197</v>
      </c>
      <c r="AG7691" s="2">
        <f ca="1"/>
        <v>0.8821472951694358</v>
      </c>
      <c r="AH7691" s="2" t="str">
        <f ca="1"/>
        <v>Bad</v>
      </c>
    </row>
    <row r="7692" spans="2:34">
      <c r="B7692" s="2">
        <f ca="1"/>
        <v>0.57026381010365634</v>
      </c>
      <c r="O7692" s="2">
        <f ca="1"/>
        <v>-2.5965265029154697E-2</v>
      </c>
      <c r="X7692" s="2">
        <f ca="1"/>
        <v>39.870060335724077</v>
      </c>
      <c r="AG7692" s="2">
        <f ca="1"/>
        <v>0.97760423490906057</v>
      </c>
      <c r="AH7692" s="2" t="str">
        <f ca="1"/>
        <v>Bad</v>
      </c>
    </row>
    <row r="7693" spans="2:34">
      <c r="B7693" s="2">
        <f ca="1"/>
        <v>0.28239913497859859</v>
      </c>
      <c r="O7693" s="2">
        <f ca="1"/>
        <v>6.967260702223632E-3</v>
      </c>
      <c r="X7693" s="2">
        <f ca="1"/>
        <v>61.499052399119975</v>
      </c>
      <c r="AG7693" s="2">
        <f ca="1"/>
        <v>0.91939611121660358</v>
      </c>
      <c r="AH7693" s="2" t="str">
        <f ca="1"/>
        <v>Bad</v>
      </c>
    </row>
    <row r="7694" spans="2:34">
      <c r="B7694" s="2">
        <f ca="1"/>
        <v>0.84587609544288944</v>
      </c>
      <c r="O7694" s="2">
        <f ca="1"/>
        <v>0.21574856255184688</v>
      </c>
      <c r="X7694" s="2">
        <f ca="1"/>
        <v>35.270078915670368</v>
      </c>
      <c r="AG7694" s="2">
        <f ca="1"/>
        <v>0.93056392309779246</v>
      </c>
      <c r="AH7694" s="2" t="str">
        <f ca="1"/>
        <v>Bad</v>
      </c>
    </row>
    <row r="7695" spans="2:34">
      <c r="B7695" s="2">
        <f ca="1"/>
        <v>0.67459311963083235</v>
      </c>
      <c r="O7695" s="2">
        <f ca="1"/>
        <v>-0.45587674931478944</v>
      </c>
      <c r="X7695" s="2">
        <f ca="1"/>
        <v>65.538041032906577</v>
      </c>
      <c r="AG7695" s="2">
        <f ca="1"/>
        <v>0.40239594703658166</v>
      </c>
      <c r="AH7695" s="2" t="str">
        <f ca="1"/>
        <v>Bad</v>
      </c>
    </row>
    <row r="7696" spans="2:34">
      <c r="B7696" s="2">
        <f ca="1"/>
        <v>0.5530031136011504</v>
      </c>
      <c r="O7696" s="2">
        <f ca="1"/>
        <v>2.35305228106479</v>
      </c>
      <c r="X7696" s="2">
        <f ca="1"/>
        <v>54.159286145896395</v>
      </c>
      <c r="AG7696" s="2">
        <f ca="1"/>
        <v>0.9171951597560688</v>
      </c>
      <c r="AH7696" s="2" t="str">
        <f ca="1"/>
        <v>Bad</v>
      </c>
    </row>
    <row r="7697" spans="2:34">
      <c r="B7697" s="2">
        <f ca="1"/>
        <v>0.64761095266880098</v>
      </c>
      <c r="O7697" s="2">
        <f ca="1"/>
        <v>0.31646724517622182</v>
      </c>
      <c r="X7697" s="2">
        <f ca="1"/>
        <v>39.34382861712357</v>
      </c>
      <c r="AG7697" s="2">
        <f ca="1"/>
        <v>0.38382533399473662</v>
      </c>
      <c r="AH7697" s="2" t="str">
        <f ca="1"/>
        <v>OK</v>
      </c>
    </row>
    <row r="7698" spans="2:34">
      <c r="B7698" s="2">
        <f ca="1"/>
        <v>0.26752447607967311</v>
      </c>
      <c r="O7698" s="2">
        <f ca="1"/>
        <v>-1.1591619128987445</v>
      </c>
      <c r="X7698" s="2">
        <f ca="1"/>
        <v>50.313916989814956</v>
      </c>
      <c r="AG7698" s="2">
        <f ca="1"/>
        <v>0.5875117560721248</v>
      </c>
      <c r="AH7698" s="2" t="str">
        <f ca="1"/>
        <v>Bad</v>
      </c>
    </row>
    <row r="7699" spans="2:34">
      <c r="B7699" s="2">
        <f ca="1"/>
        <v>0.19443922609186037</v>
      </c>
      <c r="O7699" s="2">
        <f ca="1"/>
        <v>2.494660909280157</v>
      </c>
      <c r="X7699" s="2">
        <f ca="1"/>
        <v>36.524580083117527</v>
      </c>
      <c r="AG7699" s="2">
        <f ca="1"/>
        <v>1.7832949733062708E-2</v>
      </c>
      <c r="AH7699" s="2" t="str">
        <f ca="1"/>
        <v>Good</v>
      </c>
    </row>
    <row r="7700" spans="2:34">
      <c r="B7700" s="2">
        <f ca="1"/>
        <v>6.6552202908824132E-2</v>
      </c>
      <c r="O7700" s="2">
        <f ca="1"/>
        <v>0.36118289569174988</v>
      </c>
      <c r="X7700" s="2">
        <f ca="1"/>
        <v>41.813172667395065</v>
      </c>
      <c r="AG7700" s="2">
        <f ca="1"/>
        <v>0.54464688740247813</v>
      </c>
      <c r="AH7700" s="2" t="str">
        <f ca="1"/>
        <v>Bad</v>
      </c>
    </row>
    <row r="7701" spans="2:34">
      <c r="B7701" s="2">
        <f ca="1"/>
        <v>0.9178100606861026</v>
      </c>
      <c r="O7701" s="2">
        <f ca="1"/>
        <v>1.2679021494223335</v>
      </c>
      <c r="X7701" s="2">
        <f ca="1"/>
        <v>69.97002280388871</v>
      </c>
      <c r="AG7701" s="2">
        <f ca="1"/>
        <v>2.8951198388528887E-2</v>
      </c>
      <c r="AH7701" s="2" t="str">
        <f ca="1"/>
        <v>Good</v>
      </c>
    </row>
    <row r="7702" spans="2:34">
      <c r="B7702" s="2">
        <f ca="1"/>
        <v>0.36332836786554012</v>
      </c>
      <c r="O7702" s="2">
        <f ca="1"/>
        <v>-1.6260392598372437</v>
      </c>
      <c r="X7702" s="2">
        <f ca="1"/>
        <v>45.726341074674394</v>
      </c>
      <c r="AG7702" s="2">
        <f ca="1"/>
        <v>0.1672076444833599</v>
      </c>
      <c r="AH7702" s="2" t="str">
        <f ca="1"/>
        <v>OK</v>
      </c>
    </row>
    <row r="7703" spans="2:34">
      <c r="B7703" s="2">
        <f ca="1"/>
        <v>0.48327292196087845</v>
      </c>
      <c r="O7703" s="2">
        <f ca="1"/>
        <v>-0.35871553253380983</v>
      </c>
      <c r="X7703" s="2">
        <f ca="1"/>
        <v>53.847486468762384</v>
      </c>
      <c r="AG7703" s="2">
        <f ca="1"/>
        <v>0.70018957023844064</v>
      </c>
      <c r="AH7703" s="2" t="str">
        <f ca="1"/>
        <v>Bad</v>
      </c>
    </row>
    <row r="7704" spans="2:34">
      <c r="B7704" s="2">
        <f ca="1"/>
        <v>0.56993598981793903</v>
      </c>
      <c r="O7704" s="2">
        <f ca="1"/>
        <v>-1.5492494822938288</v>
      </c>
      <c r="X7704" s="2">
        <f ca="1"/>
        <v>45.294176035568881</v>
      </c>
      <c r="AG7704" s="2">
        <f ca="1"/>
        <v>0.86458445575225396</v>
      </c>
      <c r="AH7704" s="2" t="str">
        <f ca="1"/>
        <v>Bad</v>
      </c>
    </row>
    <row r="7705" spans="2:34">
      <c r="B7705" s="2">
        <f ca="1"/>
        <v>0.46809392793236659</v>
      </c>
      <c r="O7705" s="2">
        <f ca="1"/>
        <v>-1.7854187465729206E-2</v>
      </c>
      <c r="X7705" s="2">
        <f ca="1"/>
        <v>40.488710532947046</v>
      </c>
      <c r="AG7705" s="2">
        <f ca="1"/>
        <v>0.53471244070963597</v>
      </c>
      <c r="AH7705" s="2" t="str">
        <f ca="1"/>
        <v>Bad</v>
      </c>
    </row>
    <row r="7706" spans="2:34">
      <c r="B7706" s="2">
        <f ca="1"/>
        <v>0.28135827525861701</v>
      </c>
      <c r="O7706" s="2">
        <f ca="1"/>
        <v>-1.7760478359883278</v>
      </c>
      <c r="X7706" s="2">
        <f ca="1"/>
        <v>35.933381832129974</v>
      </c>
      <c r="AG7706" s="2">
        <f ca="1"/>
        <v>0.49674306331293816</v>
      </c>
      <c r="AH7706" s="2" t="str">
        <f ca="1"/>
        <v>Bad</v>
      </c>
    </row>
    <row r="7707" spans="2:34">
      <c r="B7707" s="2">
        <f ca="1"/>
        <v>8.1089224895135592E-2</v>
      </c>
      <c r="O7707" s="2">
        <f ca="1"/>
        <v>-0.2136909174647201</v>
      </c>
      <c r="X7707" s="2">
        <f ca="1"/>
        <v>60.346488510360707</v>
      </c>
      <c r="AG7707" s="2">
        <f ca="1"/>
        <v>0.82773212555823861</v>
      </c>
      <c r="AH7707" s="2" t="str">
        <f ca="1"/>
        <v>Bad</v>
      </c>
    </row>
    <row r="7708" spans="2:34">
      <c r="B7708" s="2">
        <f ca="1"/>
        <v>6.2836653175998958E-2</v>
      </c>
      <c r="O7708" s="2">
        <f ca="1"/>
        <v>-0.40575844309450831</v>
      </c>
      <c r="X7708" s="2">
        <f ca="1"/>
        <v>59.885870513392106</v>
      </c>
      <c r="AG7708" s="2">
        <f ca="1"/>
        <v>0.44287260731636424</v>
      </c>
      <c r="AH7708" s="2" t="str">
        <f ca="1"/>
        <v>Bad</v>
      </c>
    </row>
    <row r="7709" spans="2:34">
      <c r="B7709" s="2">
        <f ca="1"/>
        <v>9.7463708798131821E-2</v>
      </c>
      <c r="O7709" s="2">
        <f ca="1"/>
        <v>-0.53080708823858369</v>
      </c>
      <c r="X7709" s="2">
        <f ca="1"/>
        <v>62.7528626257334</v>
      </c>
      <c r="AG7709" s="2">
        <f ca="1"/>
        <v>0.97886410247501177</v>
      </c>
      <c r="AH7709" s="2" t="str">
        <f ca="1"/>
        <v>Bad</v>
      </c>
    </row>
    <row r="7710" spans="2:34">
      <c r="B7710" s="2">
        <f ca="1"/>
        <v>0.91457760021203205</v>
      </c>
      <c r="O7710" s="2">
        <f ca="1"/>
        <v>2.0625433027030851</v>
      </c>
      <c r="X7710" s="2">
        <f ca="1"/>
        <v>33.377628578563218</v>
      </c>
      <c r="AG7710" s="2">
        <f ca="1"/>
        <v>0.66376160791228056</v>
      </c>
      <c r="AH7710" s="2" t="str">
        <f ca="1"/>
        <v>Bad</v>
      </c>
    </row>
    <row r="7711" spans="2:34">
      <c r="B7711" s="2">
        <f ca="1"/>
        <v>9.8780136835361354E-2</v>
      </c>
      <c r="O7711" s="2">
        <f ca="1"/>
        <v>2.3394617357475042E-2</v>
      </c>
      <c r="X7711" s="2">
        <f ca="1"/>
        <v>75.489153506583136</v>
      </c>
      <c r="AG7711" s="2">
        <f ca="1"/>
        <v>0.78049759317479173</v>
      </c>
      <c r="AH7711" s="2" t="str">
        <f ca="1"/>
        <v>Bad</v>
      </c>
    </row>
    <row r="7712" spans="2:34">
      <c r="B7712" s="2">
        <f ca="1"/>
        <v>0.42560779744812605</v>
      </c>
      <c r="O7712" s="2">
        <f ca="1"/>
        <v>-2.6122040733562679</v>
      </c>
      <c r="X7712" s="2">
        <f ca="1"/>
        <v>47.156045392586279</v>
      </c>
      <c r="AG7712" s="2">
        <f ca="1"/>
        <v>0.43695802933247241</v>
      </c>
      <c r="AH7712" s="2" t="str">
        <f ca="1"/>
        <v>Bad</v>
      </c>
    </row>
    <row r="7713" spans="2:34">
      <c r="B7713" s="2">
        <f ca="1"/>
        <v>0.77913243301433299</v>
      </c>
      <c r="O7713" s="2">
        <f ca="1"/>
        <v>-0.37857627685663936</v>
      </c>
      <c r="X7713" s="2">
        <f ca="1"/>
        <v>67.245051554532978</v>
      </c>
      <c r="AG7713" s="2">
        <f ca="1"/>
        <v>0.32322966109454931</v>
      </c>
      <c r="AH7713" s="2" t="str">
        <f ca="1"/>
        <v>OK</v>
      </c>
    </row>
    <row r="7714" spans="2:34">
      <c r="B7714" s="2">
        <f ca="1"/>
        <v>0.21251243037593137</v>
      </c>
      <c r="O7714" s="2">
        <f ca="1"/>
        <v>-1.566054732528342</v>
      </c>
      <c r="X7714" s="2">
        <f ca="1"/>
        <v>76.5989147010431</v>
      </c>
      <c r="AG7714" s="2">
        <f ca="1"/>
        <v>0.61180992311085181</v>
      </c>
      <c r="AH7714" s="2" t="str">
        <f ca="1"/>
        <v>Bad</v>
      </c>
    </row>
    <row r="7715" spans="2:34">
      <c r="B7715" s="2">
        <f ca="1"/>
        <v>0.2447129086836215</v>
      </c>
      <c r="O7715" s="2">
        <f ca="1"/>
        <v>1.2771435437434129</v>
      </c>
      <c r="X7715" s="2">
        <f ca="1"/>
        <v>42.050397389036561</v>
      </c>
      <c r="AG7715" s="2">
        <f ca="1"/>
        <v>0.20928082136665416</v>
      </c>
      <c r="AH7715" s="2" t="str">
        <f ca="1"/>
        <v>OK</v>
      </c>
    </row>
    <row r="7716" spans="2:34">
      <c r="B7716" s="2">
        <f ca="1"/>
        <v>0.62270420587371156</v>
      </c>
      <c r="O7716" s="2">
        <f ca="1"/>
        <v>-1.7054470073139794</v>
      </c>
      <c r="X7716" s="2">
        <f ca="1"/>
        <v>73.759073213216965</v>
      </c>
      <c r="AG7716" s="2">
        <f ca="1"/>
        <v>0.377952463646132</v>
      </c>
      <c r="AH7716" s="2" t="str">
        <f ca="1"/>
        <v>OK</v>
      </c>
    </row>
    <row r="7717" spans="2:34">
      <c r="B7717" s="2">
        <f ca="1"/>
        <v>0.93796664649295503</v>
      </c>
      <c r="O7717" s="2">
        <f ca="1"/>
        <v>0.79912225727865371</v>
      </c>
      <c r="X7717" s="2">
        <f ca="1"/>
        <v>32.396307113959686</v>
      </c>
      <c r="AG7717" s="2">
        <f ca="1"/>
        <v>0.29993922428887254</v>
      </c>
      <c r="AH7717" s="2" t="str">
        <f ca="1"/>
        <v>OK</v>
      </c>
    </row>
    <row r="7718" spans="2:34">
      <c r="B7718" s="2">
        <f ca="1"/>
        <v>0.10810051532493858</v>
      </c>
      <c r="O7718" s="2">
        <f ca="1"/>
        <v>-1.4402771040751572</v>
      </c>
      <c r="X7718" s="2">
        <f ca="1"/>
        <v>50.688939982768801</v>
      </c>
      <c r="AG7718" s="2">
        <f ca="1"/>
        <v>0.20614784909054218</v>
      </c>
      <c r="AH7718" s="2" t="str">
        <f ca="1"/>
        <v>OK</v>
      </c>
    </row>
    <row r="7719" spans="2:34">
      <c r="B7719" s="2">
        <f ca="1"/>
        <v>1.8986636448566019E-2</v>
      </c>
      <c r="O7719" s="2">
        <f ca="1"/>
        <v>-0.3274351307753221</v>
      </c>
      <c r="X7719" s="2">
        <f ca="1"/>
        <v>54.111026426809673</v>
      </c>
      <c r="AG7719" s="2">
        <f ca="1"/>
        <v>5.6605233375665698E-2</v>
      </c>
      <c r="AH7719" s="2" t="str">
        <f ca="1"/>
        <v>OK</v>
      </c>
    </row>
    <row r="7720" spans="2:34">
      <c r="B7720" s="2">
        <f ca="1"/>
        <v>0.25877838868644587</v>
      </c>
      <c r="O7720" s="2">
        <f ca="1"/>
        <v>0.60646040996287365</v>
      </c>
      <c r="X7720" s="2">
        <f ca="1"/>
        <v>49.420657073933981</v>
      </c>
      <c r="AG7720" s="2">
        <f ca="1"/>
        <v>0.42830943906335928</v>
      </c>
      <c r="AH7720" s="2" t="str">
        <f ca="1"/>
        <v>Bad</v>
      </c>
    </row>
    <row r="7721" spans="2:34">
      <c r="B7721" s="2">
        <f ca="1"/>
        <v>0.66424993835654189</v>
      </c>
      <c r="O7721" s="2">
        <f ca="1"/>
        <v>1.5365569606693024</v>
      </c>
      <c r="X7721" s="2">
        <f ca="1"/>
        <v>66.778053790243007</v>
      </c>
      <c r="AG7721" s="2">
        <f ca="1"/>
        <v>0.97674572031062823</v>
      </c>
      <c r="AH7721" s="2" t="str">
        <f ca="1"/>
        <v>Bad</v>
      </c>
    </row>
    <row r="7722" spans="2:34">
      <c r="B7722" s="2">
        <f ca="1"/>
        <v>0.40916448781821457</v>
      </c>
      <c r="O7722" s="2">
        <f ca="1"/>
        <v>0.50677509736509307</v>
      </c>
      <c r="X7722" s="2">
        <f ca="1"/>
        <v>46.601433241060377</v>
      </c>
      <c r="AG7722" s="2">
        <f ca="1"/>
        <v>0.71236356568038195</v>
      </c>
      <c r="AH7722" s="2" t="str">
        <f ca="1"/>
        <v>Bad</v>
      </c>
    </row>
    <row r="7723" spans="2:34">
      <c r="B7723" s="2">
        <f ca="1"/>
        <v>0.27734396472153566</v>
      </c>
      <c r="O7723" s="2">
        <f ca="1"/>
        <v>2.1194162665088476E-2</v>
      </c>
      <c r="X7723" s="2">
        <f ca="1"/>
        <v>48.57826201590165</v>
      </c>
      <c r="AG7723" s="2">
        <f ca="1"/>
        <v>0.68373083441341143</v>
      </c>
      <c r="AH7723" s="2" t="str">
        <f ca="1"/>
        <v>Bad</v>
      </c>
    </row>
    <row r="7724" spans="2:34">
      <c r="B7724" s="2">
        <f ca="1"/>
        <v>0.81301283330240848</v>
      </c>
      <c r="O7724" s="2">
        <f ca="1"/>
        <v>-0.87568921026303048</v>
      </c>
      <c r="X7724" s="2">
        <f ca="1"/>
        <v>76.848282899959599</v>
      </c>
      <c r="AG7724" s="2">
        <f ca="1"/>
        <v>0.57367464138416024</v>
      </c>
      <c r="AH7724" s="2" t="str">
        <f ca="1"/>
        <v>Bad</v>
      </c>
    </row>
    <row r="7725" spans="2:34">
      <c r="B7725" s="2">
        <f ca="1"/>
        <v>0.93231562379107769</v>
      </c>
      <c r="O7725" s="2">
        <f ca="1"/>
        <v>-3.9326697779041513E-2</v>
      </c>
      <c r="X7725" s="2">
        <f ca="1"/>
        <v>64.631390505671703</v>
      </c>
      <c r="AG7725" s="2">
        <f ca="1"/>
        <v>0.60169529753249917</v>
      </c>
      <c r="AH7725" s="2" t="str">
        <f ca="1"/>
        <v>Bad</v>
      </c>
    </row>
    <row r="7726" spans="2:34">
      <c r="B7726" s="2">
        <f ca="1"/>
        <v>0.72733129697017662</v>
      </c>
      <c r="O7726" s="2">
        <f ca="1"/>
        <v>-0.18497146282710103</v>
      </c>
      <c r="X7726" s="2">
        <f ca="1"/>
        <v>65.452262452018999</v>
      </c>
      <c r="AG7726" s="2">
        <f ca="1"/>
        <v>0.43653710178782124</v>
      </c>
      <c r="AH7726" s="2" t="str">
        <f ca="1"/>
        <v>Bad</v>
      </c>
    </row>
    <row r="7727" spans="2:34">
      <c r="B7727" s="2">
        <f ca="1"/>
        <v>0.77865940515248222</v>
      </c>
      <c r="O7727" s="2">
        <f ca="1"/>
        <v>0.48075290124722841</v>
      </c>
      <c r="X7727" s="2">
        <f ca="1"/>
        <v>46.483676877448943</v>
      </c>
      <c r="AG7727" s="2">
        <f ca="1"/>
        <v>0.94061619862802681</v>
      </c>
      <c r="AH7727" s="2" t="str">
        <f ca="1"/>
        <v>Bad</v>
      </c>
    </row>
    <row r="7728" spans="2:34">
      <c r="B7728" s="2">
        <f ca="1"/>
        <v>0.65596115972247349</v>
      </c>
      <c r="O7728" s="2">
        <f ca="1"/>
        <v>-1.6732606156273897</v>
      </c>
      <c r="X7728" s="2">
        <f ca="1"/>
        <v>25.938955150699027</v>
      </c>
      <c r="AG7728" s="2">
        <f ca="1"/>
        <v>0.90785808114077526</v>
      </c>
      <c r="AH7728" s="2" t="str">
        <f ca="1"/>
        <v>Bad</v>
      </c>
    </row>
    <row r="7729" spans="2:34">
      <c r="B7729" s="2">
        <f ca="1"/>
        <v>0.35462486403038374</v>
      </c>
      <c r="O7729" s="2">
        <f ca="1"/>
        <v>1.1016891095024401</v>
      </c>
      <c r="X7729" s="2">
        <f ca="1"/>
        <v>77.797101224749937</v>
      </c>
      <c r="AG7729" s="2">
        <f ca="1"/>
        <v>8.4109395851297508E-2</v>
      </c>
      <c r="AH7729" s="2" t="str">
        <f ca="1"/>
        <v>OK</v>
      </c>
    </row>
    <row r="7730" spans="2:34">
      <c r="B7730" s="2">
        <f ca="1"/>
        <v>9.3390702875252751E-2</v>
      </c>
      <c r="O7730" s="2">
        <f ca="1"/>
        <v>-0.97021581163608051</v>
      </c>
      <c r="X7730" s="2">
        <f ca="1"/>
        <v>60.079530316306482</v>
      </c>
      <c r="AG7730" s="2">
        <f ca="1"/>
        <v>0.24302370173539578</v>
      </c>
      <c r="AH7730" s="2" t="str">
        <f ca="1"/>
        <v>OK</v>
      </c>
    </row>
    <row r="7731" spans="2:34">
      <c r="B7731" s="2">
        <f ca="1"/>
        <v>0.23606835578292085</v>
      </c>
      <c r="O7731" s="2">
        <f ca="1"/>
        <v>0.26125279333929607</v>
      </c>
      <c r="X7731" s="2">
        <f ca="1"/>
        <v>38.309514312610339</v>
      </c>
      <c r="AG7731" s="2">
        <f ca="1"/>
        <v>0.32547972406649128</v>
      </c>
      <c r="AH7731" s="2" t="str">
        <f ca="1"/>
        <v>OK</v>
      </c>
    </row>
    <row r="7732" spans="2:34">
      <c r="B7732" s="2">
        <f ca="1"/>
        <v>0.15843545832153971</v>
      </c>
      <c r="O7732" s="2">
        <f ca="1"/>
        <v>-0.31473519408202399</v>
      </c>
      <c r="X7732" s="2">
        <f ca="1"/>
        <v>92.965609433927114</v>
      </c>
      <c r="AG7732" s="2">
        <f ca="1"/>
        <v>0.23227652471685589</v>
      </c>
      <c r="AH7732" s="2" t="str">
        <f ca="1"/>
        <v>OK</v>
      </c>
    </row>
    <row r="7733" spans="2:34">
      <c r="B7733" s="2">
        <f ca="1"/>
        <v>2.8755636450677358E-2</v>
      </c>
      <c r="O7733" s="2">
        <f ca="1"/>
        <v>-1.2092600107221525</v>
      </c>
      <c r="X7733" s="2">
        <f ca="1"/>
        <v>48.465806382225239</v>
      </c>
      <c r="AG7733" s="2">
        <f ca="1"/>
        <v>0.40047531844066042</v>
      </c>
      <c r="AH7733" s="2" t="str">
        <f ca="1"/>
        <v>Bad</v>
      </c>
    </row>
    <row r="7734" spans="2:34">
      <c r="B7734" s="2">
        <f ca="1"/>
        <v>0.77912142476414692</v>
      </c>
      <c r="O7734" s="2">
        <f ca="1"/>
        <v>0.62806808608708398</v>
      </c>
      <c r="X7734" s="2">
        <f ca="1"/>
        <v>46.864010359599916</v>
      </c>
      <c r="AG7734" s="2">
        <f ca="1"/>
        <v>0.49896601111432703</v>
      </c>
      <c r="AH7734" s="2" t="str">
        <f ca="1"/>
        <v>Bad</v>
      </c>
    </row>
    <row r="7735" spans="2:34">
      <c r="B7735" s="2">
        <f ca="1"/>
        <v>0.67140387449532768</v>
      </c>
      <c r="O7735" s="2">
        <f ca="1"/>
        <v>-0.3178030961770153</v>
      </c>
      <c r="X7735" s="2">
        <f ca="1"/>
        <v>72.93110921521972</v>
      </c>
      <c r="AG7735" s="2">
        <f ca="1"/>
        <v>0.31895624116935406</v>
      </c>
      <c r="AH7735" s="2" t="str">
        <f ca="1"/>
        <v>OK</v>
      </c>
    </row>
    <row r="7736" spans="2:34">
      <c r="B7736" s="2">
        <f ca="1"/>
        <v>0.35028009581855613</v>
      </c>
      <c r="O7736" s="2">
        <f ca="1"/>
        <v>1.5642364896435432</v>
      </c>
      <c r="X7736" s="2">
        <f ca="1"/>
        <v>100.64323931880055</v>
      </c>
      <c r="AG7736" s="2">
        <f ca="1"/>
        <v>0.43275476496718923</v>
      </c>
      <c r="AH7736" s="2" t="str">
        <f ca="1"/>
        <v>Bad</v>
      </c>
    </row>
    <row r="7737" spans="2:34">
      <c r="B7737" s="2">
        <f ca="1"/>
        <v>0.1881503989781026</v>
      </c>
      <c r="O7737" s="2">
        <f ca="1"/>
        <v>-0.69255874557534103</v>
      </c>
      <c r="X7737" s="2">
        <f ca="1"/>
        <v>35.543780587234778</v>
      </c>
      <c r="AG7737" s="2">
        <f ca="1"/>
        <v>0.78783991042608026</v>
      </c>
      <c r="AH7737" s="2" t="str">
        <f ca="1"/>
        <v>Bad</v>
      </c>
    </row>
    <row r="7738" spans="2:34">
      <c r="B7738" s="2">
        <f ca="1"/>
        <v>0.75169741234272225</v>
      </c>
      <c r="O7738" s="2">
        <f ca="1"/>
        <v>1.3119480423257792</v>
      </c>
      <c r="X7738" s="2">
        <f ca="1"/>
        <v>57.561258585589172</v>
      </c>
      <c r="AG7738" s="2">
        <f ca="1"/>
        <v>0.20720216979475814</v>
      </c>
      <c r="AH7738" s="2" t="str">
        <f ca="1"/>
        <v>OK</v>
      </c>
    </row>
    <row r="7739" spans="2:34">
      <c r="B7739" s="2">
        <f ca="1"/>
        <v>0.71294643882567321</v>
      </c>
      <c r="O7739" s="2">
        <f ca="1"/>
        <v>-1.0799031506208909</v>
      </c>
      <c r="X7739" s="2">
        <f ca="1"/>
        <v>22.001344335749096</v>
      </c>
      <c r="AG7739" s="2">
        <f ca="1"/>
        <v>0.35745697461068371</v>
      </c>
      <c r="AH7739" s="2" t="str">
        <f ca="1"/>
        <v>OK</v>
      </c>
    </row>
    <row r="7740" spans="2:34">
      <c r="B7740" s="2">
        <f ca="1"/>
        <v>0.57899177770289789</v>
      </c>
      <c r="O7740" s="2">
        <f ca="1"/>
        <v>1.6272970091347527</v>
      </c>
      <c r="X7740" s="2">
        <f ca="1"/>
        <v>32.486747543355328</v>
      </c>
      <c r="AG7740" s="2">
        <f ca="1"/>
        <v>0.25287626665550289</v>
      </c>
      <c r="AH7740" s="2" t="str">
        <f ca="1"/>
        <v>OK</v>
      </c>
    </row>
    <row r="7741" spans="2:34">
      <c r="B7741" s="2">
        <f ca="1"/>
        <v>0.33713557066276945</v>
      </c>
      <c r="O7741" s="2">
        <f ca="1"/>
        <v>-0.10708754138140249</v>
      </c>
      <c r="X7741" s="2">
        <f ca="1"/>
        <v>26.401080042767138</v>
      </c>
      <c r="AG7741" s="2">
        <f ca="1"/>
        <v>0.20578593214764118</v>
      </c>
      <c r="AH7741" s="2" t="str">
        <f ca="1"/>
        <v>OK</v>
      </c>
    </row>
    <row r="7742" spans="2:34">
      <c r="B7742" s="2">
        <f ca="1"/>
        <v>0.83092405487552146</v>
      </c>
      <c r="O7742" s="2">
        <f ca="1"/>
        <v>-0.63696545731957765</v>
      </c>
      <c r="X7742" s="2">
        <f ca="1"/>
        <v>60.947924401391028</v>
      </c>
      <c r="AG7742" s="2">
        <f ca="1"/>
        <v>0.23990666589757859</v>
      </c>
      <c r="AH7742" s="2" t="str">
        <f ca="1"/>
        <v>OK</v>
      </c>
    </row>
    <row r="7743" spans="2:34">
      <c r="B7743" s="2">
        <f ca="1"/>
        <v>0.55355912143013941</v>
      </c>
      <c r="O7743" s="2">
        <f ca="1"/>
        <v>-0.90973249919356047</v>
      </c>
      <c r="X7743" s="2">
        <f ca="1"/>
        <v>34.304161686387189</v>
      </c>
      <c r="AG7743" s="2">
        <f ca="1"/>
        <v>0.95583609504370681</v>
      </c>
      <c r="AH7743" s="2" t="str">
        <f ca="1"/>
        <v>Bad</v>
      </c>
    </row>
    <row r="7744" spans="2:34">
      <c r="B7744" s="2">
        <f ca="1"/>
        <v>0.72611874800311527</v>
      </c>
      <c r="O7744" s="2">
        <f ca="1"/>
        <v>1.1296012027130904</v>
      </c>
      <c r="X7744" s="2">
        <f ca="1"/>
        <v>33.08763597097213</v>
      </c>
      <c r="AG7744" s="2">
        <f ca="1"/>
        <v>0.39711795376880454</v>
      </c>
      <c r="AH7744" s="2" t="str">
        <f ca="1"/>
        <v>OK</v>
      </c>
    </row>
    <row r="7745" spans="2:34">
      <c r="B7745" s="2">
        <f ca="1"/>
        <v>0.81813808420550704</v>
      </c>
      <c r="O7745" s="2">
        <f ca="1"/>
        <v>1.0966950306464962</v>
      </c>
      <c r="X7745" s="2">
        <f ca="1"/>
        <v>42.724290005567681</v>
      </c>
      <c r="AG7745" s="2">
        <f ca="1"/>
        <v>0.88783225775659957</v>
      </c>
      <c r="AH7745" s="2" t="str">
        <f ca="1"/>
        <v>Bad</v>
      </c>
    </row>
    <row r="7746" spans="2:34">
      <c r="B7746" s="2">
        <f ca="1"/>
        <v>7.2131617166552919E-2</v>
      </c>
      <c r="O7746" s="2">
        <f ca="1"/>
        <v>0.30539083896091712</v>
      </c>
      <c r="X7746" s="2">
        <f ca="1"/>
        <v>19.403486902119077</v>
      </c>
      <c r="AG7746" s="2">
        <f ca="1"/>
        <v>0.4011027107005356</v>
      </c>
      <c r="AH7746" s="2" t="str">
        <f ca="1"/>
        <v>Bad</v>
      </c>
    </row>
    <row r="7747" spans="2:34">
      <c r="B7747" s="2">
        <f ca="1"/>
        <v>0.84892130601287508</v>
      </c>
      <c r="O7747" s="2">
        <f ca="1"/>
        <v>0.28893102986823305</v>
      </c>
      <c r="X7747" s="2">
        <f ca="1"/>
        <v>45.302489228985607</v>
      </c>
      <c r="AG7747" s="2">
        <f ca="1"/>
        <v>0.94717529476492524</v>
      </c>
      <c r="AH7747" s="2" t="str">
        <f ca="1"/>
        <v>Bad</v>
      </c>
    </row>
    <row r="7748" spans="2:34">
      <c r="B7748" s="2">
        <f ca="1"/>
        <v>0.80435624186523391</v>
      </c>
      <c r="O7748" s="2">
        <f ca="1"/>
        <v>0.68202588286170951</v>
      </c>
      <c r="X7748" s="2">
        <f ca="1"/>
        <v>82.636707688743485</v>
      </c>
      <c r="AG7748" s="2">
        <f ca="1"/>
        <v>0.93160870572119259</v>
      </c>
      <c r="AH7748" s="2" t="str">
        <f ca="1"/>
        <v>Bad</v>
      </c>
    </row>
    <row r="7749" spans="2:34">
      <c r="B7749" s="2">
        <f ca="1"/>
        <v>0.95805519416411689</v>
      </c>
      <c r="O7749" s="2">
        <f ca="1"/>
        <v>-1.9267508891389415</v>
      </c>
      <c r="X7749" s="2">
        <f ca="1"/>
        <v>36.944097960768424</v>
      </c>
      <c r="AG7749" s="2">
        <f ca="1"/>
        <v>0.64638111279234312</v>
      </c>
      <c r="AH7749" s="2" t="str">
        <f ca="1"/>
        <v>Bad</v>
      </c>
    </row>
    <row r="7750" spans="2:34">
      <c r="B7750" s="2">
        <f ca="1"/>
        <v>0.19400713357566879</v>
      </c>
      <c r="O7750" s="2">
        <f ca="1"/>
        <v>-0.4147235017573343</v>
      </c>
      <c r="X7750" s="2">
        <f ca="1"/>
        <v>52.466357816783457</v>
      </c>
      <c r="AG7750" s="2">
        <f ca="1"/>
        <v>0.20721273450155953</v>
      </c>
      <c r="AH7750" s="2" t="str">
        <f ca="1"/>
        <v>OK</v>
      </c>
    </row>
    <row r="7751" spans="2:34">
      <c r="B7751" s="2">
        <f ca="1"/>
        <v>0.16095397335970718</v>
      </c>
      <c r="O7751" s="2">
        <f ca="1"/>
        <v>-0.13517439967938391</v>
      </c>
      <c r="X7751" s="2">
        <f ca="1"/>
        <v>46.163841420184283</v>
      </c>
      <c r="AG7751" s="2">
        <f ca="1"/>
        <v>0.52643160202817008</v>
      </c>
      <c r="AH7751" s="2" t="str">
        <f ca="1"/>
        <v>Bad</v>
      </c>
    </row>
    <row r="7752" spans="2:34">
      <c r="B7752" s="2">
        <f ca="1"/>
        <v>0.13021665520083281</v>
      </c>
      <c r="O7752" s="2">
        <f ca="1"/>
        <v>-0.57380816339843499</v>
      </c>
      <c r="X7752" s="2">
        <f ca="1"/>
        <v>20.281147335487482</v>
      </c>
      <c r="AG7752" s="2">
        <f ca="1"/>
        <v>0.20195340594614253</v>
      </c>
      <c r="AH7752" s="2" t="str">
        <f ca="1"/>
        <v>OK</v>
      </c>
    </row>
    <row r="7753" spans="2:34">
      <c r="B7753" s="2">
        <f ca="1"/>
        <v>0.83014127521429026</v>
      </c>
      <c r="O7753" s="2">
        <f ca="1"/>
        <v>0.1958555923749104</v>
      </c>
      <c r="X7753" s="2">
        <f ca="1"/>
        <v>83.062137424946741</v>
      </c>
      <c r="AG7753" s="2">
        <f ca="1"/>
        <v>0.72478722326798795</v>
      </c>
      <c r="AH7753" s="2" t="str">
        <f ca="1"/>
        <v>Bad</v>
      </c>
    </row>
    <row r="7754" spans="2:34">
      <c r="B7754" s="2">
        <f ca="1"/>
        <v>0.7908621380827412</v>
      </c>
      <c r="O7754" s="2">
        <f ca="1"/>
        <v>-1.5485280232017986</v>
      </c>
      <c r="X7754" s="2">
        <f ca="1"/>
        <v>48.361584617842468</v>
      </c>
      <c r="AG7754" s="2">
        <f ca="1"/>
        <v>0.81269428110882447</v>
      </c>
      <c r="AH7754" s="2" t="str">
        <f ca="1"/>
        <v>Bad</v>
      </c>
    </row>
    <row r="7755" spans="2:34">
      <c r="B7755" s="2">
        <f ca="1"/>
        <v>0.46882077717032722</v>
      </c>
      <c r="O7755" s="2">
        <f ca="1"/>
        <v>-0.91093904149111127</v>
      </c>
      <c r="X7755" s="2">
        <f ca="1"/>
        <v>45.443267271043311</v>
      </c>
      <c r="AG7755" s="2">
        <f ca="1"/>
        <v>0.46590696794283426</v>
      </c>
      <c r="AH7755" s="2" t="str">
        <f ca="1"/>
        <v>Bad</v>
      </c>
    </row>
    <row r="7756" spans="2:34">
      <c r="B7756" s="2">
        <f ca="1"/>
        <v>0.89791312969305359</v>
      </c>
      <c r="O7756" s="2">
        <f ca="1"/>
        <v>0.54348166258914932</v>
      </c>
      <c r="X7756" s="2">
        <f ca="1"/>
        <v>61.100684103553242</v>
      </c>
      <c r="AG7756" s="2">
        <f ca="1"/>
        <v>0.52508245576787593</v>
      </c>
      <c r="AH7756" s="2" t="str">
        <f ca="1"/>
        <v>Bad</v>
      </c>
    </row>
    <row r="7757" spans="2:34">
      <c r="B7757" s="2">
        <f ca="1"/>
        <v>0.1534306752154182</v>
      </c>
      <c r="O7757" s="2">
        <f ca="1"/>
        <v>-0.79931406533268656</v>
      </c>
      <c r="X7757" s="2">
        <f ca="1"/>
        <v>49.395449322724389</v>
      </c>
      <c r="AG7757" s="2">
        <f ca="1"/>
        <v>0.29565371130676876</v>
      </c>
      <c r="AH7757" s="2" t="str">
        <f ca="1"/>
        <v>OK</v>
      </c>
    </row>
    <row r="7758" spans="2:34">
      <c r="B7758" s="2">
        <f ca="1"/>
        <v>0.52720694461382789</v>
      </c>
      <c r="O7758" s="2">
        <f ca="1"/>
        <v>1.3817921742145707</v>
      </c>
      <c r="X7758" s="2">
        <f ca="1"/>
        <v>44.690266091180327</v>
      </c>
      <c r="AG7758" s="2">
        <f ca="1"/>
        <v>0.64119582346782389</v>
      </c>
      <c r="AH7758" s="2" t="str">
        <f ca="1"/>
        <v>Bad</v>
      </c>
    </row>
    <row r="7759" spans="2:34">
      <c r="B7759" s="2">
        <f ca="1"/>
        <v>0.5200881997697131</v>
      </c>
      <c r="O7759" s="2">
        <f ca="1"/>
        <v>-0.2459442254260209</v>
      </c>
      <c r="X7759" s="2">
        <f ca="1"/>
        <v>51.960153886479965</v>
      </c>
      <c r="AG7759" s="2">
        <f ca="1"/>
        <v>0.39864580248671078</v>
      </c>
      <c r="AH7759" s="2" t="str">
        <f ca="1"/>
        <v>OK</v>
      </c>
    </row>
    <row r="7760" spans="2:34">
      <c r="B7760" s="2">
        <f ca="1"/>
        <v>0.97155477629975939</v>
      </c>
      <c r="O7760" s="2">
        <f ca="1"/>
        <v>-0.24216028114575208</v>
      </c>
      <c r="X7760" s="2">
        <f ca="1"/>
        <v>33.668249013449504</v>
      </c>
      <c r="AG7760" s="2">
        <f ca="1"/>
        <v>0.6635797721537906</v>
      </c>
      <c r="AH7760" s="2" t="str">
        <f ca="1"/>
        <v>Bad</v>
      </c>
    </row>
    <row r="7761" spans="2:34">
      <c r="B7761" s="2">
        <f ca="1"/>
        <v>9.0543260855150631E-2</v>
      </c>
      <c r="O7761" s="2">
        <f ca="1"/>
        <v>1.6890920472845623</v>
      </c>
      <c r="X7761" s="2">
        <f ca="1"/>
        <v>22.537719668179619</v>
      </c>
      <c r="AG7761" s="2">
        <f ca="1"/>
        <v>0.60500243520816621</v>
      </c>
      <c r="AH7761" s="2" t="str">
        <f ca="1"/>
        <v>Bad</v>
      </c>
    </row>
    <row r="7762" spans="2:34">
      <c r="B7762" s="2">
        <f ca="1"/>
        <v>1.3697495524271019E-2</v>
      </c>
      <c r="O7762" s="2">
        <f ca="1"/>
        <v>-0.90702926151462648</v>
      </c>
      <c r="X7762" s="2">
        <f ca="1"/>
        <v>60.817795313937879</v>
      </c>
      <c r="AG7762" s="2">
        <f ca="1"/>
        <v>0.98211039644891263</v>
      </c>
      <c r="AH7762" s="2" t="str">
        <f ca="1"/>
        <v>Bad</v>
      </c>
    </row>
    <row r="7763" spans="2:34">
      <c r="B7763" s="2">
        <f ca="1"/>
        <v>0.86972094304951675</v>
      </c>
      <c r="O7763" s="2">
        <f ca="1"/>
        <v>0.24250964128647667</v>
      </c>
      <c r="X7763" s="2">
        <f ca="1"/>
        <v>26.59989468213114</v>
      </c>
      <c r="AG7763" s="2">
        <f ca="1"/>
        <v>0.8639147383908421</v>
      </c>
      <c r="AH7763" s="2" t="str">
        <f ca="1"/>
        <v>Bad</v>
      </c>
    </row>
    <row r="7764" spans="2:34">
      <c r="B7764" s="2">
        <f ca="1"/>
        <v>0.52282187647875134</v>
      </c>
      <c r="O7764" s="2">
        <f ca="1"/>
        <v>-1.7556674470349294</v>
      </c>
      <c r="X7764" s="2">
        <f ca="1"/>
        <v>32.118128413805231</v>
      </c>
      <c r="AG7764" s="2">
        <f ca="1"/>
        <v>0.39630533924723776</v>
      </c>
      <c r="AH7764" s="2" t="str">
        <f ca="1"/>
        <v>OK</v>
      </c>
    </row>
    <row r="7765" spans="2:34">
      <c r="B7765" s="2">
        <f ca="1"/>
        <v>0.4456434064324144</v>
      </c>
      <c r="O7765" s="2">
        <f ca="1"/>
        <v>1.4459343862937701</v>
      </c>
      <c r="X7765" s="2">
        <f ca="1"/>
        <v>61.232789070707398</v>
      </c>
      <c r="AG7765" s="2">
        <f ca="1"/>
        <v>0.70125486586507768</v>
      </c>
      <c r="AH7765" s="2" t="str">
        <f ca="1"/>
        <v>Bad</v>
      </c>
    </row>
    <row r="7766" spans="2:34">
      <c r="B7766" s="2">
        <f ca="1"/>
        <v>0.62462398738938707</v>
      </c>
      <c r="O7766" s="2">
        <f ca="1"/>
        <v>9.7797921067762431E-2</v>
      </c>
      <c r="X7766" s="2">
        <f ca="1"/>
        <v>92.618105699279511</v>
      </c>
      <c r="AG7766" s="2">
        <f ca="1"/>
        <v>0.88445821991890439</v>
      </c>
      <c r="AH7766" s="2" t="str">
        <f ca="1"/>
        <v>Bad</v>
      </c>
    </row>
    <row r="7767" spans="2:34">
      <c r="B7767" s="2">
        <f ca="1"/>
        <v>0.9457823110478476</v>
      </c>
      <c r="O7767" s="2">
        <f ca="1"/>
        <v>0.13661768067320562</v>
      </c>
      <c r="X7767" s="2">
        <f ca="1"/>
        <v>42.226304087135695</v>
      </c>
      <c r="AG7767" s="2">
        <f ca="1"/>
        <v>0.39584920042843352</v>
      </c>
      <c r="AH7767" s="2" t="str">
        <f ca="1"/>
        <v>OK</v>
      </c>
    </row>
    <row r="7768" spans="2:34">
      <c r="B7768" s="2">
        <f ca="1"/>
        <v>0.14462352569016779</v>
      </c>
      <c r="O7768" s="2">
        <f ca="1"/>
        <v>0.36818219317346984</v>
      </c>
      <c r="X7768" s="2">
        <f ca="1"/>
        <v>35.671776000515472</v>
      </c>
      <c r="AG7768" s="2">
        <f ca="1"/>
        <v>0.49771733757446013</v>
      </c>
      <c r="AH7768" s="2" t="str">
        <f ca="1"/>
        <v>Bad</v>
      </c>
    </row>
    <row r="7769" spans="2:34">
      <c r="B7769" s="2">
        <f ca="1"/>
        <v>0.29994316750611061</v>
      </c>
      <c r="O7769" s="2">
        <f ca="1"/>
        <v>0.84035005280520647</v>
      </c>
      <c r="X7769" s="2">
        <f ca="1"/>
        <v>56.030869585265826</v>
      </c>
      <c r="AG7769" s="2">
        <f ca="1"/>
        <v>0.14240286105569178</v>
      </c>
      <c r="AH7769" s="2" t="str">
        <f ca="1"/>
        <v>OK</v>
      </c>
    </row>
    <row r="7770" spans="2:34">
      <c r="B7770" s="2">
        <f ca="1"/>
        <v>0.62268481117981955</v>
      </c>
      <c r="O7770" s="2">
        <f ca="1"/>
        <v>0.91141944825354715</v>
      </c>
      <c r="X7770" s="2">
        <f ca="1"/>
        <v>47.36855397738217</v>
      </c>
      <c r="AG7770" s="2">
        <f ca="1"/>
        <v>0.22552707732430943</v>
      </c>
      <c r="AH7770" s="2" t="str">
        <f ca="1"/>
        <v>OK</v>
      </c>
    </row>
    <row r="7771" spans="2:34">
      <c r="B7771" s="2">
        <f ca="1"/>
        <v>0.27394644481917507</v>
      </c>
      <c r="O7771" s="2">
        <f ca="1"/>
        <v>0.9094882400971942</v>
      </c>
      <c r="X7771" s="2">
        <f ca="1"/>
        <v>33.269034472916694</v>
      </c>
      <c r="AG7771" s="2">
        <f ca="1"/>
        <v>8.9753198862078998E-2</v>
      </c>
      <c r="AH7771" s="2" t="str">
        <f ca="1"/>
        <v>OK</v>
      </c>
    </row>
    <row r="7772" spans="2:34">
      <c r="B7772" s="2">
        <f ca="1"/>
        <v>0.4839789835067505</v>
      </c>
      <c r="O7772" s="2">
        <f ca="1"/>
        <v>-0.96561439357507084</v>
      </c>
      <c r="X7772" s="2">
        <f ca="1"/>
        <v>43.509703179012682</v>
      </c>
      <c r="AG7772" s="2">
        <f ca="1"/>
        <v>0.78921842711875922</v>
      </c>
      <c r="AH7772" s="2" t="str">
        <f ca="1"/>
        <v>Bad</v>
      </c>
    </row>
    <row r="7773" spans="2:34">
      <c r="B7773" s="2">
        <f ca="1"/>
        <v>5.7436871246739019E-2</v>
      </c>
      <c r="O7773" s="2">
        <f ca="1"/>
        <v>1.4123776509335748E-2</v>
      </c>
      <c r="X7773" s="2">
        <f ca="1"/>
        <v>49.238001806780275</v>
      </c>
      <c r="AG7773" s="2">
        <f ca="1"/>
        <v>0.92786175838355378</v>
      </c>
      <c r="AH7773" s="2" t="str">
        <f ca="1"/>
        <v>Bad</v>
      </c>
    </row>
    <row r="7774" spans="2:34">
      <c r="B7774" s="2">
        <f ca="1"/>
        <v>0.60446853353960472</v>
      </c>
      <c r="O7774" s="2">
        <f ca="1"/>
        <v>-1.5393447518123471</v>
      </c>
      <c r="X7774" s="2">
        <f ca="1"/>
        <v>38.174070989564008</v>
      </c>
      <c r="AG7774" s="2">
        <f ca="1"/>
        <v>0.71603319688057332</v>
      </c>
      <c r="AH7774" s="2" t="str">
        <f ca="1"/>
        <v>Bad</v>
      </c>
    </row>
    <row r="7775" spans="2:34">
      <c r="B7775" s="2">
        <f ca="1"/>
        <v>9.1154896964171339E-2</v>
      </c>
      <c r="O7775" s="2">
        <f ca="1"/>
        <v>1.6615356872662463</v>
      </c>
      <c r="X7775" s="2">
        <f ca="1"/>
        <v>40.535438326272235</v>
      </c>
      <c r="AG7775" s="2">
        <f ca="1"/>
        <v>9.9684092342863906E-2</v>
      </c>
      <c r="AH7775" s="2" t="str">
        <f ca="1"/>
        <v>OK</v>
      </c>
    </row>
    <row r="7776" spans="2:34">
      <c r="B7776" s="2">
        <f ca="1"/>
        <v>0.3995586507228146</v>
      </c>
      <c r="O7776" s="2">
        <f ca="1"/>
        <v>0.78234241574907071</v>
      </c>
      <c r="X7776" s="2">
        <f ca="1"/>
        <v>62.458801263657797</v>
      </c>
      <c r="AG7776" s="2">
        <f ca="1"/>
        <v>0.29228691249041971</v>
      </c>
      <c r="AH7776" s="2" t="str">
        <f ca="1"/>
        <v>OK</v>
      </c>
    </row>
    <row r="7777" spans="2:34">
      <c r="B7777" s="2">
        <f ca="1"/>
        <v>0.97670297215685187</v>
      </c>
      <c r="O7777" s="2">
        <f ca="1"/>
        <v>-0.82989320524860322</v>
      </c>
      <c r="X7777" s="2">
        <f ca="1"/>
        <v>52.171531113935544</v>
      </c>
      <c r="AG7777" s="2">
        <f ca="1"/>
        <v>0.20965634300734748</v>
      </c>
      <c r="AH7777" s="2" t="str">
        <f ca="1"/>
        <v>OK</v>
      </c>
    </row>
    <row r="7778" spans="2:34">
      <c r="B7778" s="2">
        <f ca="1"/>
        <v>0.4005374135871167</v>
      </c>
      <c r="O7778" s="2">
        <f ca="1"/>
        <v>1.787576940619523</v>
      </c>
      <c r="X7778" s="2">
        <f ca="1"/>
        <v>57.612776187924986</v>
      </c>
      <c r="AG7778" s="2">
        <f ca="1"/>
        <v>0.93906191797796845</v>
      </c>
      <c r="AH7778" s="2" t="str">
        <f ca="1"/>
        <v>Bad</v>
      </c>
    </row>
    <row r="7779" spans="2:34">
      <c r="B7779" s="2">
        <f ca="1"/>
        <v>0.44931872718048127</v>
      </c>
      <c r="O7779" s="2">
        <f ca="1"/>
        <v>-2.4716632209737464</v>
      </c>
      <c r="X7779" s="2">
        <f ca="1"/>
        <v>57.865865689996184</v>
      </c>
      <c r="AG7779" s="2">
        <f ca="1"/>
        <v>0.86230241149064257</v>
      </c>
      <c r="AH7779" s="2" t="str">
        <f ca="1"/>
        <v>Bad</v>
      </c>
    </row>
    <row r="7780" spans="2:34">
      <c r="B7780" s="2">
        <f ca="1"/>
        <v>0.75193975078927777</v>
      </c>
      <c r="O7780" s="2">
        <f ca="1"/>
        <v>-0.31255968293409592</v>
      </c>
      <c r="X7780" s="2">
        <f ca="1"/>
        <v>37.341412231693276</v>
      </c>
      <c r="AG7780" s="2">
        <f ca="1"/>
        <v>0.32452091862892751</v>
      </c>
      <c r="AH7780" s="2" t="str">
        <f ca="1"/>
        <v>OK</v>
      </c>
    </row>
    <row r="7781" spans="2:34">
      <c r="B7781" s="2">
        <f ca="1"/>
        <v>0.49338683621233725</v>
      </c>
      <c r="O7781" s="2">
        <f ca="1"/>
        <v>0.8174226316498302</v>
      </c>
      <c r="X7781" s="2">
        <f ca="1"/>
        <v>60.949674592585758</v>
      </c>
      <c r="AG7781" s="2">
        <f ca="1"/>
        <v>0.19905196646485268</v>
      </c>
      <c r="AH7781" s="2" t="str">
        <f ca="1"/>
        <v>OK</v>
      </c>
    </row>
    <row r="7782" spans="2:34">
      <c r="B7782" s="2">
        <f ca="1"/>
        <v>0.32931109902784583</v>
      </c>
      <c r="O7782" s="2">
        <f ca="1"/>
        <v>0.2553305738541472</v>
      </c>
      <c r="X7782" s="2">
        <f ca="1"/>
        <v>30.568517992941501</v>
      </c>
      <c r="AG7782" s="2">
        <f ca="1"/>
        <v>0.89199833850545041</v>
      </c>
      <c r="AH7782" s="2" t="str">
        <f ca="1"/>
        <v>Bad</v>
      </c>
    </row>
    <row r="7783" spans="2:34">
      <c r="B7783" s="2">
        <f ca="1"/>
        <v>0.69059196557947167</v>
      </c>
      <c r="O7783" s="2">
        <f ca="1"/>
        <v>-0.20995244762618193</v>
      </c>
      <c r="X7783" s="2">
        <f ca="1"/>
        <v>77.321147858544663</v>
      </c>
      <c r="AG7783" s="2">
        <f ca="1"/>
        <v>0.39459625947209997</v>
      </c>
      <c r="AH7783" s="2" t="str">
        <f ca="1"/>
        <v>OK</v>
      </c>
    </row>
    <row r="7784" spans="2:34">
      <c r="B7784" s="2">
        <f ca="1"/>
        <v>0.35328152115925748</v>
      </c>
      <c r="O7784" s="2">
        <f ca="1"/>
        <v>0.33030142579431876</v>
      </c>
      <c r="X7784" s="2">
        <f ca="1"/>
        <v>40.299778790719316</v>
      </c>
      <c r="AG7784" s="2">
        <f ca="1"/>
        <v>0.1619762091166661</v>
      </c>
      <c r="AH7784" s="2" t="str">
        <f ca="1"/>
        <v>OK</v>
      </c>
    </row>
    <row r="7785" spans="2:34">
      <c r="B7785" s="2">
        <f ca="1"/>
        <v>0.35414115254253065</v>
      </c>
      <c r="O7785" s="2">
        <f ca="1"/>
        <v>-0.97533879213639796</v>
      </c>
      <c r="X7785" s="2">
        <f ca="1"/>
        <v>67.26429385519053</v>
      </c>
      <c r="AG7785" s="2">
        <f ca="1"/>
        <v>0.44527598897252263</v>
      </c>
      <c r="AH7785" s="2" t="str">
        <f ca="1"/>
        <v>Bad</v>
      </c>
    </row>
    <row r="7786" spans="2:34">
      <c r="B7786" s="2">
        <f ca="1"/>
        <v>0.60410921267434348</v>
      </c>
      <c r="O7786" s="2">
        <f ca="1"/>
        <v>1.7692942222975867</v>
      </c>
      <c r="X7786" s="2">
        <f ca="1"/>
        <v>37.256791136583736</v>
      </c>
      <c r="AG7786" s="2">
        <f ca="1"/>
        <v>0.17381401151281839</v>
      </c>
      <c r="AH7786" s="2" t="str">
        <f ca="1"/>
        <v>OK</v>
      </c>
    </row>
    <row r="7787" spans="2:34">
      <c r="B7787" s="2">
        <f ca="1"/>
        <v>0.72337699772791009</v>
      </c>
      <c r="O7787" s="2">
        <f ca="1"/>
        <v>1.4065120941012781</v>
      </c>
      <c r="X7787" s="2">
        <f ca="1"/>
        <v>18.517396707207268</v>
      </c>
      <c r="AG7787" s="2">
        <f ca="1"/>
        <v>0.60502565418408016</v>
      </c>
      <c r="AH7787" s="2" t="str">
        <f ca="1"/>
        <v>Bad</v>
      </c>
    </row>
    <row r="7788" spans="2:34">
      <c r="B7788" s="2">
        <f ca="1"/>
        <v>2.7440177956776113E-2</v>
      </c>
      <c r="O7788" s="2">
        <f ca="1"/>
        <v>0.20218139268699203</v>
      </c>
      <c r="X7788" s="2">
        <f ca="1"/>
        <v>52.183203335274285</v>
      </c>
      <c r="AG7788" s="2">
        <f ca="1"/>
        <v>0.69933001937802564</v>
      </c>
      <c r="AH7788" s="2" t="str">
        <f ca="1"/>
        <v>Bad</v>
      </c>
    </row>
    <row r="7789" spans="2:34">
      <c r="B7789" s="2">
        <f ca="1"/>
        <v>0.25686452760442235</v>
      </c>
      <c r="O7789" s="2">
        <f ca="1"/>
        <v>-1.3497058759916645</v>
      </c>
      <c r="X7789" s="2">
        <f ca="1"/>
        <v>41.771068372974739</v>
      </c>
      <c r="AG7789" s="2">
        <f ca="1"/>
        <v>5.2164766147912989E-2</v>
      </c>
      <c r="AH7789" s="2" t="str">
        <f ca="1"/>
        <v>OK</v>
      </c>
    </row>
    <row r="7790" spans="2:34">
      <c r="B7790" s="2">
        <f ca="1"/>
        <v>0.37919379479212822</v>
      </c>
      <c r="O7790" s="2">
        <f ca="1"/>
        <v>-0.11875772280922757</v>
      </c>
      <c r="X7790" s="2">
        <f ca="1"/>
        <v>45.862488480787455</v>
      </c>
      <c r="AG7790" s="2">
        <f ca="1"/>
        <v>0.8484585033256733</v>
      </c>
      <c r="AH7790" s="2" t="str">
        <f ca="1"/>
        <v>Bad</v>
      </c>
    </row>
    <row r="7791" spans="2:34">
      <c r="B7791" s="2">
        <f ca="1"/>
        <v>0.32545213685567775</v>
      </c>
      <c r="O7791" s="2">
        <f ca="1"/>
        <v>6.4003852905740677E-2</v>
      </c>
      <c r="X7791" s="2">
        <f ca="1"/>
        <v>28.920498834020741</v>
      </c>
      <c r="AG7791" s="2">
        <f ca="1"/>
        <v>0.74414642753201843</v>
      </c>
      <c r="AH7791" s="2" t="str">
        <f ca="1"/>
        <v>Bad</v>
      </c>
    </row>
    <row r="7792" spans="2:34">
      <c r="B7792" s="2">
        <f ca="1"/>
        <v>0.75947220108070423</v>
      </c>
      <c r="O7792" s="2">
        <f ca="1"/>
        <v>0.43841521142113987</v>
      </c>
      <c r="X7792" s="2">
        <f ca="1"/>
        <v>32.143756104050752</v>
      </c>
      <c r="AG7792" s="2">
        <f ca="1"/>
        <v>0.65499806640888836</v>
      </c>
      <c r="AH7792" s="2" t="str">
        <f ca="1"/>
        <v>Bad</v>
      </c>
    </row>
    <row r="7793" spans="2:34">
      <c r="B7793" s="2">
        <f ca="1"/>
        <v>2.2477579576096751E-4</v>
      </c>
      <c r="O7793" s="2">
        <f ca="1"/>
        <v>-1.3461547054209269</v>
      </c>
      <c r="X7793" s="2">
        <f ca="1"/>
        <v>44.051790471054488</v>
      </c>
      <c r="AG7793" s="2">
        <f ca="1"/>
        <v>1.2369210974592093E-2</v>
      </c>
      <c r="AH7793" s="2" t="str">
        <f ca="1"/>
        <v>Good</v>
      </c>
    </row>
    <row r="7794" spans="2:34">
      <c r="B7794" s="2">
        <f ca="1"/>
        <v>0.77263526002746286</v>
      </c>
      <c r="O7794" s="2">
        <f ca="1"/>
        <v>1.4899608124218906</v>
      </c>
      <c r="X7794" s="2">
        <f ca="1"/>
        <v>43.597741354897025</v>
      </c>
      <c r="AG7794" s="2">
        <f ca="1"/>
        <v>0.39063110341683904</v>
      </c>
      <c r="AH7794" s="2" t="str">
        <f ca="1"/>
        <v>OK</v>
      </c>
    </row>
    <row r="7795" spans="2:34">
      <c r="B7795" s="2">
        <f ca="1"/>
        <v>0.39318453673956744</v>
      </c>
      <c r="O7795" s="2">
        <f ca="1"/>
        <v>-1.2480772821601469</v>
      </c>
      <c r="X7795" s="2">
        <f ca="1"/>
        <v>46.772281030193767</v>
      </c>
      <c r="AG7795" s="2">
        <f ca="1"/>
        <v>0.70426558001205586</v>
      </c>
      <c r="AH7795" s="2" t="str">
        <f ca="1"/>
        <v>Bad</v>
      </c>
    </row>
    <row r="7796" spans="2:34">
      <c r="B7796" s="2">
        <f ca="1"/>
        <v>3.6390921946465538E-2</v>
      </c>
      <c r="O7796" s="2">
        <f ca="1"/>
        <v>-2.1239968794113322E-2</v>
      </c>
      <c r="X7796" s="2">
        <f ca="1"/>
        <v>32.174393898363547</v>
      </c>
      <c r="AG7796" s="2">
        <f ca="1"/>
        <v>0.90017587165660595</v>
      </c>
      <c r="AH7796" s="2" t="str">
        <f ca="1"/>
        <v>Bad</v>
      </c>
    </row>
    <row r="7797" spans="2:34">
      <c r="B7797" s="2">
        <f ca="1"/>
        <v>0.34477308628344638</v>
      </c>
      <c r="O7797" s="2">
        <f ca="1"/>
        <v>-0.14380681348035032</v>
      </c>
      <c r="X7797" s="2">
        <f ca="1"/>
        <v>36.691988912029572</v>
      </c>
      <c r="AG7797" s="2">
        <f ca="1"/>
        <v>0.11334981733883698</v>
      </c>
      <c r="AH7797" s="2" t="str">
        <f ca="1"/>
        <v>OK</v>
      </c>
    </row>
    <row r="7798" spans="2:34">
      <c r="B7798" s="2">
        <f ca="1"/>
        <v>0.56705721733980607</v>
      </c>
      <c r="O7798" s="2">
        <f ca="1"/>
        <v>1.4545442824982326</v>
      </c>
      <c r="X7798" s="2">
        <f ca="1"/>
        <v>40.244342415496988</v>
      </c>
      <c r="AG7798" s="2">
        <f ca="1"/>
        <v>0.48896232383787064</v>
      </c>
      <c r="AH7798" s="2" t="str">
        <f ca="1"/>
        <v>Bad</v>
      </c>
    </row>
    <row r="7799" spans="2:34">
      <c r="B7799" s="2">
        <f ca="1"/>
        <v>0.67030444713096116</v>
      </c>
      <c r="O7799" s="2">
        <f ca="1"/>
        <v>-0.94016080252086087</v>
      </c>
      <c r="X7799" s="2">
        <f ca="1"/>
        <v>36.447201157823777</v>
      </c>
      <c r="AG7799" s="2">
        <f ca="1"/>
        <v>0.20070477368833828</v>
      </c>
      <c r="AH7799" s="2" t="str">
        <f ca="1"/>
        <v>OK</v>
      </c>
    </row>
    <row r="7800" spans="2:34">
      <c r="B7800" s="2">
        <f ca="1"/>
        <v>0.25568448798672017</v>
      </c>
      <c r="O7800" s="2">
        <f ca="1"/>
        <v>1.2503452087473668</v>
      </c>
      <c r="X7800" s="2">
        <f ca="1"/>
        <v>37.314087804206373</v>
      </c>
      <c r="AG7800" s="2">
        <f ca="1"/>
        <v>0.24089499951952553</v>
      </c>
      <c r="AH7800" s="2" t="str">
        <f ca="1"/>
        <v>OK</v>
      </c>
    </row>
    <row r="7801" spans="2:34">
      <c r="B7801" s="2">
        <f ca="1"/>
        <v>0.21543671871082304</v>
      </c>
      <c r="O7801" s="2">
        <f ca="1"/>
        <v>0.35777447329405238</v>
      </c>
      <c r="X7801" s="2">
        <f ca="1"/>
        <v>44.080118866817386</v>
      </c>
      <c r="AG7801" s="2">
        <f ca="1"/>
        <v>0.3980315753141046</v>
      </c>
      <c r="AH7801" s="2" t="str">
        <f ca="1"/>
        <v>OK</v>
      </c>
    </row>
    <row r="7802" spans="2:34">
      <c r="B7802" s="2">
        <f ca="1"/>
        <v>0.60424123181029143</v>
      </c>
      <c r="O7802" s="2">
        <f ca="1"/>
        <v>-1.3205851068617251</v>
      </c>
      <c r="X7802" s="2">
        <f ca="1"/>
        <v>58.14811251274439</v>
      </c>
      <c r="AG7802" s="2">
        <f ca="1"/>
        <v>0.88906707765575765</v>
      </c>
      <c r="AH7802" s="2" t="str">
        <f ca="1"/>
        <v>Bad</v>
      </c>
    </row>
    <row r="7803" spans="2:34">
      <c r="B7803" s="2">
        <f ca="1"/>
        <v>0.42481791191669949</v>
      </c>
      <c r="O7803" s="2">
        <f ca="1"/>
        <v>-0.35899683171181046</v>
      </c>
      <c r="X7803" s="2">
        <f ca="1"/>
        <v>47.933733693834384</v>
      </c>
      <c r="AG7803" s="2">
        <f ca="1"/>
        <v>0.9188480652915223</v>
      </c>
      <c r="AH7803" s="2" t="str">
        <f ca="1"/>
        <v>Bad</v>
      </c>
    </row>
    <row r="7804" spans="2:34">
      <c r="B7804" s="2">
        <f ca="1"/>
        <v>0.36402993433881781</v>
      </c>
      <c r="O7804" s="2">
        <f ca="1"/>
        <v>1.2780524816236953</v>
      </c>
      <c r="X7804" s="2">
        <f ca="1"/>
        <v>72.417223191193784</v>
      </c>
      <c r="AG7804" s="2">
        <f ca="1"/>
        <v>0.93458180973331939</v>
      </c>
      <c r="AH7804" s="2" t="str">
        <f ca="1"/>
        <v>Bad</v>
      </c>
    </row>
    <row r="7805" spans="2:34">
      <c r="B7805" s="2">
        <f ca="1"/>
        <v>0.2938146017340455</v>
      </c>
      <c r="O7805" s="2">
        <f ca="1"/>
        <v>0.82308711315981675</v>
      </c>
      <c r="X7805" s="2">
        <f ca="1"/>
        <v>44.690245027209187</v>
      </c>
      <c r="AG7805" s="2">
        <f ca="1"/>
        <v>0.24459061760583189</v>
      </c>
      <c r="AH7805" s="2" t="str">
        <f ca="1"/>
        <v>OK</v>
      </c>
    </row>
    <row r="7806" spans="2:34">
      <c r="B7806" s="2">
        <f ca="1"/>
        <v>0.54843455610001057</v>
      </c>
      <c r="O7806" s="2">
        <f ca="1"/>
        <v>1.9055862608889895</v>
      </c>
      <c r="X7806" s="2">
        <f ca="1"/>
        <v>42.356545747361395</v>
      </c>
      <c r="AG7806" s="2">
        <f ca="1"/>
        <v>0.84639096099386801</v>
      </c>
      <c r="AH7806" s="2" t="str">
        <f ca="1"/>
        <v>Bad</v>
      </c>
    </row>
    <row r="7807" spans="2:34">
      <c r="B7807" s="2">
        <f ca="1"/>
        <v>0.20534717523410828</v>
      </c>
      <c r="O7807" s="2">
        <f ca="1"/>
        <v>-0.44339827151099293</v>
      </c>
      <c r="X7807" s="2">
        <f ca="1"/>
        <v>41.40548336618</v>
      </c>
      <c r="AG7807" s="2">
        <f ca="1"/>
        <v>0.43282152842729915</v>
      </c>
      <c r="AH7807" s="2" t="str">
        <f ca="1"/>
        <v>Bad</v>
      </c>
    </row>
    <row r="7808" spans="2:34">
      <c r="B7808" s="2">
        <f ca="1"/>
        <v>3.3861760348112835E-2</v>
      </c>
      <c r="O7808" s="2">
        <f ca="1"/>
        <v>-0.1596454258593302</v>
      </c>
      <c r="X7808" s="2">
        <f ca="1"/>
        <v>30.345439848794996</v>
      </c>
      <c r="AG7808" s="2">
        <f ca="1"/>
        <v>0.88985987832477598</v>
      </c>
      <c r="AH7808" s="2" t="str">
        <f ca="1"/>
        <v>Bad</v>
      </c>
    </row>
    <row r="7809" spans="2:34">
      <c r="B7809" s="2">
        <f ca="1"/>
        <v>0.13764636452665857</v>
      </c>
      <c r="O7809" s="2">
        <f ca="1"/>
        <v>-1.960291474371719</v>
      </c>
      <c r="X7809" s="2">
        <f ca="1"/>
        <v>40.355201808661398</v>
      </c>
      <c r="AG7809" s="2">
        <f ca="1"/>
        <v>0.59605145257951331</v>
      </c>
      <c r="AH7809" s="2" t="str">
        <f ca="1"/>
        <v>Bad</v>
      </c>
    </row>
    <row r="7810" spans="2:34">
      <c r="B7810" s="2">
        <f ca="1"/>
        <v>0.32752739241797535</v>
      </c>
      <c r="O7810" s="2">
        <f ca="1"/>
        <v>-2.0593604469478839</v>
      </c>
      <c r="X7810" s="2">
        <f ca="1"/>
        <v>56.409417197412928</v>
      </c>
      <c r="AG7810" s="2">
        <f ca="1"/>
        <v>0.98585554942238307</v>
      </c>
      <c r="AH7810" s="2" t="str">
        <f ca="1"/>
        <v>Bad</v>
      </c>
    </row>
    <row r="7811" spans="2:34">
      <c r="B7811" s="2">
        <f ca="1"/>
        <v>0.73051666691400352</v>
      </c>
      <c r="O7811" s="2">
        <f ca="1"/>
        <v>-0.38534482583846974</v>
      </c>
      <c r="X7811" s="2">
        <f ca="1"/>
        <v>40.737989936474307</v>
      </c>
      <c r="AG7811" s="2">
        <f ca="1"/>
        <v>0.49974602939972645</v>
      </c>
      <c r="AH7811" s="2" t="str">
        <f ca="1"/>
        <v>Bad</v>
      </c>
    </row>
    <row r="7812" spans="2:34">
      <c r="B7812" s="2">
        <f ca="1"/>
        <v>9.0530227947992037E-2</v>
      </c>
      <c r="O7812" s="2">
        <f ca="1"/>
        <v>-0.58717974465733946</v>
      </c>
      <c r="X7812" s="2">
        <f ca="1"/>
        <v>39.800756164284039</v>
      </c>
      <c r="AG7812" s="2">
        <f ca="1"/>
        <v>0.28859808274603749</v>
      </c>
      <c r="AH7812" s="2" t="str">
        <f ca="1"/>
        <v>OK</v>
      </c>
    </row>
    <row r="7813" spans="2:34">
      <c r="B7813" s="2">
        <f ca="1"/>
        <v>0.68447134933512932</v>
      </c>
      <c r="O7813" s="2">
        <f ca="1"/>
        <v>-1.7450185443969026</v>
      </c>
      <c r="X7813" s="2">
        <f ca="1"/>
        <v>49.052270200318048</v>
      </c>
      <c r="AG7813" s="2">
        <f ca="1"/>
        <v>0.27760611616530761</v>
      </c>
      <c r="AH7813" s="2" t="str">
        <f ca="1"/>
        <v>OK</v>
      </c>
    </row>
    <row r="7814" spans="2:34">
      <c r="B7814" s="2">
        <f ca="1"/>
        <v>0.84910266077205598</v>
      </c>
      <c r="O7814" s="2">
        <f ca="1"/>
        <v>0.19862538105261038</v>
      </c>
      <c r="X7814" s="2">
        <f ca="1"/>
        <v>88.069689903196306</v>
      </c>
      <c r="AG7814" s="2">
        <f ca="1"/>
        <v>0.8867616590633971</v>
      </c>
      <c r="AH7814" s="2" t="str">
        <f ca="1"/>
        <v>Bad</v>
      </c>
    </row>
    <row r="7815" spans="2:34">
      <c r="B7815" s="2">
        <f ca="1"/>
        <v>0.26827212754187713</v>
      </c>
      <c r="O7815" s="2">
        <f ca="1"/>
        <v>-0.16187206230439816</v>
      </c>
      <c r="X7815" s="2">
        <f ca="1"/>
        <v>61.366850016627623</v>
      </c>
      <c r="AG7815" s="2">
        <f ca="1"/>
        <v>0.22287101446232449</v>
      </c>
      <c r="AH7815" s="2" t="str">
        <f ca="1"/>
        <v>OK</v>
      </c>
    </row>
    <row r="7816" spans="2:34">
      <c r="B7816" s="2">
        <f ca="1"/>
        <v>0.97395185987372668</v>
      </c>
      <c r="O7816" s="2">
        <f ca="1"/>
        <v>-0.36775559261774615</v>
      </c>
      <c r="X7816" s="2">
        <f ca="1"/>
        <v>65.507285072060469</v>
      </c>
      <c r="AG7816" s="2">
        <f ca="1"/>
        <v>0.98286048889555033</v>
      </c>
      <c r="AH7816" s="2" t="str">
        <f ca="1"/>
        <v>Bad</v>
      </c>
    </row>
    <row r="7817" spans="2:34">
      <c r="B7817" s="2">
        <f ca="1"/>
        <v>0.30116443502215517</v>
      </c>
      <c r="O7817" s="2">
        <f ca="1"/>
        <v>-1.9608846809086964</v>
      </c>
      <c r="X7817" s="2">
        <f ca="1"/>
        <v>53.382226931329356</v>
      </c>
      <c r="AG7817" s="2">
        <f ca="1"/>
        <v>1.4093487721597242E-2</v>
      </c>
      <c r="AH7817" s="2" t="str">
        <f ca="1"/>
        <v>Good</v>
      </c>
    </row>
    <row r="7818" spans="2:34">
      <c r="B7818" s="2">
        <f ca="1"/>
        <v>0.65534087996220047</v>
      </c>
      <c r="O7818" s="2">
        <f ca="1"/>
        <v>-1.6024558071204189</v>
      </c>
      <c r="X7818" s="2">
        <f ca="1"/>
        <v>55.46847647975455</v>
      </c>
      <c r="AG7818" s="2">
        <f ca="1"/>
        <v>0.99055674709610608</v>
      </c>
      <c r="AH7818" s="2" t="str">
        <f ca="1"/>
        <v>Bad</v>
      </c>
    </row>
    <row r="7819" spans="2:34">
      <c r="B7819" s="2">
        <f ca="1"/>
        <v>0.34737070477387677</v>
      </c>
      <c r="O7819" s="2">
        <f ca="1"/>
        <v>-1.0636532463632213</v>
      </c>
      <c r="X7819" s="2">
        <f ca="1"/>
        <v>62.652067682219403</v>
      </c>
      <c r="AG7819" s="2">
        <f ca="1"/>
        <v>0.37101338197286271</v>
      </c>
      <c r="AH7819" s="2" t="str">
        <f ca="1"/>
        <v>OK</v>
      </c>
    </row>
    <row r="7820" spans="2:34">
      <c r="B7820" s="2">
        <f ca="1"/>
        <v>0.34231093097626086</v>
      </c>
      <c r="O7820" s="2">
        <f ca="1"/>
        <v>0.9511989888390161</v>
      </c>
      <c r="X7820" s="2">
        <f ca="1"/>
        <v>44.632981348037397</v>
      </c>
      <c r="AG7820" s="2">
        <f ca="1"/>
        <v>0.94218524870381737</v>
      </c>
      <c r="AH7820" s="2" t="str">
        <f ca="1"/>
        <v>Bad</v>
      </c>
    </row>
    <row r="7821" spans="2:34">
      <c r="B7821" s="2">
        <f ca="1"/>
        <v>7.6269844620764582E-2</v>
      </c>
      <c r="O7821" s="2">
        <f ca="1"/>
        <v>0.14630993288743258</v>
      </c>
      <c r="X7821" s="2">
        <f ca="1"/>
        <v>44.402038407487801</v>
      </c>
      <c r="AG7821" s="2">
        <f ca="1"/>
        <v>0.36671871826279334</v>
      </c>
      <c r="AH7821" s="2" t="str">
        <f ca="1"/>
        <v>OK</v>
      </c>
    </row>
    <row r="7822" spans="2:34">
      <c r="B7822" s="2">
        <f ca="1"/>
        <v>0.36460772349873527</v>
      </c>
      <c r="O7822" s="2">
        <f ca="1"/>
        <v>-1.013057293343584</v>
      </c>
      <c r="X7822" s="2">
        <f ca="1"/>
        <v>43.130467184993705</v>
      </c>
      <c r="AG7822" s="2">
        <f ca="1"/>
        <v>0.17528810395883587</v>
      </c>
      <c r="AH7822" s="2" t="str">
        <f ca="1"/>
        <v>OK</v>
      </c>
    </row>
    <row r="7823" spans="2:34">
      <c r="B7823" s="2">
        <f ca="1"/>
        <v>0.44280630110315689</v>
      </c>
      <c r="O7823" s="2">
        <f ca="1"/>
        <v>-0.77686614019484157</v>
      </c>
      <c r="X7823" s="2">
        <f ca="1"/>
        <v>48.736726326862154</v>
      </c>
      <c r="AG7823" s="2">
        <f ca="1"/>
        <v>0.50391650389216558</v>
      </c>
      <c r="AH7823" s="2" t="str">
        <f ca="1"/>
        <v>Bad</v>
      </c>
    </row>
    <row r="7824" spans="2:34">
      <c r="B7824" s="2">
        <f ca="1"/>
        <v>0.23245112754093022</v>
      </c>
      <c r="O7824" s="2">
        <f ca="1"/>
        <v>0.92832562571438504</v>
      </c>
      <c r="X7824" s="2">
        <f ca="1"/>
        <v>42.090035898636991</v>
      </c>
      <c r="AG7824" s="2">
        <f ca="1"/>
        <v>0.93473103607596042</v>
      </c>
      <c r="AH7824" s="2" t="str">
        <f ca="1"/>
        <v>Bad</v>
      </c>
    </row>
    <row r="7825" spans="2:34">
      <c r="B7825" s="2">
        <f ca="1"/>
        <v>0.10869304777339406</v>
      </c>
      <c r="O7825" s="2">
        <f ca="1"/>
        <v>-0.29655629934019695</v>
      </c>
      <c r="X7825" s="2">
        <f ca="1"/>
        <v>61.909928315751124</v>
      </c>
      <c r="AG7825" s="2">
        <f ca="1"/>
        <v>0.84416270165371743</v>
      </c>
      <c r="AH7825" s="2" t="str">
        <f ca="1"/>
        <v>Bad</v>
      </c>
    </row>
    <row r="7826" spans="2:34">
      <c r="B7826" s="2">
        <f ca="1"/>
        <v>0.58136443862240905</v>
      </c>
      <c r="O7826" s="2">
        <f ca="1"/>
        <v>0.80428675792519833</v>
      </c>
      <c r="X7826" s="2">
        <f ca="1"/>
        <v>53.996339020210307</v>
      </c>
      <c r="AG7826" s="2">
        <f ca="1"/>
        <v>0.93593917489157752</v>
      </c>
      <c r="AH7826" s="2" t="str">
        <f ca="1"/>
        <v>Bad</v>
      </c>
    </row>
    <row r="7827" spans="2:34">
      <c r="B7827" s="2">
        <f ca="1"/>
        <v>0.54497013497725355</v>
      </c>
      <c r="O7827" s="2">
        <f ca="1"/>
        <v>-0.98801335141862234</v>
      </c>
      <c r="X7827" s="2">
        <f ca="1"/>
        <v>56.841702659534917</v>
      </c>
      <c r="AG7827" s="2">
        <f ca="1"/>
        <v>0.17815618718249282</v>
      </c>
      <c r="AH7827" s="2" t="str">
        <f ca="1"/>
        <v>OK</v>
      </c>
    </row>
    <row r="7828" spans="2:34">
      <c r="B7828" s="2">
        <f ca="1"/>
        <v>0.76603248658927492</v>
      </c>
      <c r="O7828" s="2">
        <f ca="1"/>
        <v>-1.8757688136774349</v>
      </c>
      <c r="X7828" s="2">
        <f ca="1"/>
        <v>71.249472370762902</v>
      </c>
      <c r="AG7828" s="2">
        <f ca="1"/>
        <v>0.4043442160279882</v>
      </c>
      <c r="AH7828" s="2" t="str">
        <f ca="1"/>
        <v>Bad</v>
      </c>
    </row>
    <row r="7829" spans="2:34">
      <c r="B7829" s="2">
        <f ca="1"/>
        <v>1.6976902622833689E-2</v>
      </c>
      <c r="O7829" s="2">
        <f ca="1"/>
        <v>-0.69999659661010771</v>
      </c>
      <c r="X7829" s="2">
        <f ca="1"/>
        <v>106.52741177586839</v>
      </c>
      <c r="AG7829" s="2">
        <f ca="1"/>
        <v>0.87575815326152195</v>
      </c>
      <c r="AH7829" s="2" t="str">
        <f ca="1"/>
        <v>Bad</v>
      </c>
    </row>
    <row r="7830" spans="2:34">
      <c r="B7830" s="2">
        <f ca="1"/>
        <v>0.91247823253416827</v>
      </c>
      <c r="O7830" s="2">
        <f ca="1"/>
        <v>-2.2375552958783693</v>
      </c>
      <c r="X7830" s="2">
        <f ca="1"/>
        <v>48.741683258503883</v>
      </c>
      <c r="AG7830" s="2">
        <f ca="1"/>
        <v>0.65586248325513541</v>
      </c>
      <c r="AH7830" s="2" t="str">
        <f ca="1"/>
        <v>Bad</v>
      </c>
    </row>
    <row r="7831" spans="2:34">
      <c r="B7831" s="2">
        <f ca="1"/>
        <v>0.83445346097304318</v>
      </c>
      <c r="O7831" s="2">
        <f ca="1"/>
        <v>0.9566120136176941</v>
      </c>
      <c r="X7831" s="2">
        <f ca="1"/>
        <v>45.973040944858099</v>
      </c>
      <c r="AG7831" s="2">
        <f ca="1"/>
        <v>0.71043040369045429</v>
      </c>
      <c r="AH7831" s="2" t="str">
        <f ca="1"/>
        <v>Bad</v>
      </c>
    </row>
    <row r="7832" spans="2:34">
      <c r="B7832" s="2">
        <f ca="1"/>
        <v>0.29978234139802318</v>
      </c>
      <c r="O7832" s="2">
        <f ca="1"/>
        <v>0.61704626198576695</v>
      </c>
      <c r="X7832" s="2">
        <f ca="1"/>
        <v>36.129403433193204</v>
      </c>
      <c r="AG7832" s="2">
        <f ca="1"/>
        <v>0.29709154614306033</v>
      </c>
      <c r="AH7832" s="2" t="str">
        <f ca="1"/>
        <v>OK</v>
      </c>
    </row>
    <row r="7833" spans="2:34">
      <c r="B7833" s="2">
        <f ca="1"/>
        <v>0.13363136611935245</v>
      </c>
      <c r="O7833" s="2">
        <f ca="1"/>
        <v>-0.96703514385266431</v>
      </c>
      <c r="X7833" s="2">
        <f ca="1"/>
        <v>55.751924274411266</v>
      </c>
      <c r="AG7833" s="2">
        <f ca="1"/>
        <v>0.85720381907892174</v>
      </c>
      <c r="AH7833" s="2" t="str">
        <f ca="1"/>
        <v>Bad</v>
      </c>
    </row>
    <row r="7834" spans="2:34">
      <c r="B7834" s="2">
        <f ca="1"/>
        <v>0.84994580493146055</v>
      </c>
      <c r="O7834" s="2">
        <f ca="1"/>
        <v>-0.61694369630583523</v>
      </c>
      <c r="X7834" s="2">
        <f ca="1"/>
        <v>47.058524122988899</v>
      </c>
      <c r="AG7834" s="2">
        <f ca="1"/>
        <v>0.29443818448835368</v>
      </c>
      <c r="AH7834" s="2" t="str">
        <f ca="1"/>
        <v>OK</v>
      </c>
    </row>
    <row r="7835" spans="2:34">
      <c r="B7835" s="2">
        <f ca="1"/>
        <v>9.2476786734304373E-2</v>
      </c>
      <c r="O7835" s="2">
        <f ca="1"/>
        <v>0.58424067195681439</v>
      </c>
      <c r="X7835" s="2">
        <f ca="1"/>
        <v>24.803794812428297</v>
      </c>
      <c r="AG7835" s="2">
        <f ca="1"/>
        <v>0.84010886310235677</v>
      </c>
      <c r="AH7835" s="2" t="str">
        <f ca="1"/>
        <v>Bad</v>
      </c>
    </row>
    <row r="7836" spans="2:34">
      <c r="B7836" s="2">
        <f ca="1"/>
        <v>0.80453619667504128</v>
      </c>
      <c r="O7836" s="2">
        <f ca="1"/>
        <v>2.0916083951987132</v>
      </c>
      <c r="X7836" s="2">
        <f ca="1"/>
        <v>66.949536871066314</v>
      </c>
      <c r="AG7836" s="2">
        <f ca="1"/>
        <v>3.5217590385505426E-2</v>
      </c>
      <c r="AH7836" s="2" t="str">
        <f ca="1"/>
        <v>Good</v>
      </c>
    </row>
    <row r="7837" spans="2:34">
      <c r="B7837" s="2">
        <f ca="1"/>
        <v>0.68023423144729911</v>
      </c>
      <c r="O7837" s="2">
        <f ca="1"/>
        <v>-0.41499001866423574</v>
      </c>
      <c r="X7837" s="2">
        <f ca="1"/>
        <v>56.88738297744262</v>
      </c>
      <c r="AG7837" s="2">
        <f ca="1"/>
        <v>0.67077873430159141</v>
      </c>
      <c r="AH7837" s="2" t="str">
        <f ca="1"/>
        <v>Bad</v>
      </c>
    </row>
    <row r="7838" spans="2:34">
      <c r="B7838" s="2">
        <f ca="1"/>
        <v>4.5377849505369605E-2</v>
      </c>
      <c r="O7838" s="2">
        <f ca="1"/>
        <v>-1.116386652882644</v>
      </c>
      <c r="X7838" s="2">
        <f ca="1"/>
        <v>36.259682390725196</v>
      </c>
      <c r="AG7838" s="2">
        <f ca="1"/>
        <v>0.17436509463854222</v>
      </c>
      <c r="AH7838" s="2" t="str">
        <f ca="1"/>
        <v>OK</v>
      </c>
    </row>
    <row r="7839" spans="2:34">
      <c r="B7839" s="2">
        <f ca="1"/>
        <v>0.86100912409308661</v>
      </c>
      <c r="O7839" s="2">
        <f ca="1"/>
        <v>3.2148855677653326E-2</v>
      </c>
      <c r="X7839" s="2">
        <f ca="1"/>
        <v>46.319186342082396</v>
      </c>
      <c r="AG7839" s="2">
        <f ca="1"/>
        <v>0.31717917413575636</v>
      </c>
      <c r="AH7839" s="2" t="str">
        <f ca="1"/>
        <v>OK</v>
      </c>
    </row>
    <row r="7840" spans="2:34">
      <c r="B7840" s="2">
        <f ca="1"/>
        <v>6.4607831493331824E-2</v>
      </c>
      <c r="O7840" s="2">
        <f ca="1"/>
        <v>-1.4624568102790387</v>
      </c>
      <c r="X7840" s="2">
        <f ca="1"/>
        <v>41.553640446995814</v>
      </c>
      <c r="AG7840" s="2">
        <f ca="1"/>
        <v>0.20164422790384551</v>
      </c>
      <c r="AH7840" s="2" t="str">
        <f ca="1"/>
        <v>OK</v>
      </c>
    </row>
    <row r="7841" spans="2:34">
      <c r="B7841" s="2">
        <f ca="1"/>
        <v>0.68683470151075743</v>
      </c>
      <c r="O7841" s="2">
        <f ca="1"/>
        <v>-0.88592264854793468</v>
      </c>
      <c r="X7841" s="2">
        <f ca="1"/>
        <v>36.186460392668806</v>
      </c>
      <c r="AG7841" s="2">
        <f ca="1"/>
        <v>0.58817994145121277</v>
      </c>
      <c r="AH7841" s="2" t="str">
        <f ca="1"/>
        <v>Bad</v>
      </c>
    </row>
    <row r="7842" spans="2:34">
      <c r="B7842" s="2">
        <f ca="1"/>
        <v>0.65374327835629287</v>
      </c>
      <c r="O7842" s="2">
        <f ca="1"/>
        <v>0.46166838330582471</v>
      </c>
      <c r="X7842" s="2">
        <f ca="1"/>
        <v>65.173786426807695</v>
      </c>
      <c r="AG7842" s="2">
        <f ca="1"/>
        <v>0.9414810661505093</v>
      </c>
      <c r="AH7842" s="2" t="str">
        <f ca="1"/>
        <v>Bad</v>
      </c>
    </row>
    <row r="7843" spans="2:34">
      <c r="B7843" s="2">
        <f ca="1"/>
        <v>0.17489993443963026</v>
      </c>
      <c r="O7843" s="2">
        <f ca="1"/>
        <v>-1.6979761849438737</v>
      </c>
      <c r="X7843" s="2">
        <f ca="1"/>
        <v>36.825533122073296</v>
      </c>
      <c r="AG7843" s="2">
        <f ca="1"/>
        <v>2.1711036226491176E-2</v>
      </c>
      <c r="AH7843" s="2" t="str">
        <f ca="1"/>
        <v>Good</v>
      </c>
    </row>
    <row r="7844" spans="2:34">
      <c r="B7844" s="2">
        <f ca="1"/>
        <v>0.63925788788330618</v>
      </c>
      <c r="O7844" s="2">
        <f ca="1"/>
        <v>-0.25162922588803821</v>
      </c>
      <c r="X7844" s="2">
        <f ca="1"/>
        <v>60.521616823033504</v>
      </c>
      <c r="AG7844" s="2">
        <f ca="1"/>
        <v>0.45486525886206275</v>
      </c>
      <c r="AH7844" s="2" t="str">
        <f ca="1"/>
        <v>Bad</v>
      </c>
    </row>
    <row r="7845" spans="2:34">
      <c r="B7845" s="2">
        <f ca="1"/>
        <v>0.3410523980737834</v>
      </c>
      <c r="O7845" s="2">
        <f ca="1"/>
        <v>-0.66147835311643022</v>
      </c>
      <c r="X7845" s="2">
        <f ca="1"/>
        <v>82.113286126582793</v>
      </c>
      <c r="AG7845" s="2">
        <f ca="1"/>
        <v>1.5294930362335979E-2</v>
      </c>
      <c r="AH7845" s="2" t="str">
        <f ca="1"/>
        <v>Good</v>
      </c>
    </row>
    <row r="7846" spans="2:34">
      <c r="B7846" s="2">
        <f ca="1"/>
        <v>0.89247500266943747</v>
      </c>
      <c r="O7846" s="2">
        <f ca="1"/>
        <v>-1.4979902547790984</v>
      </c>
      <c r="X7846" s="2">
        <f ca="1"/>
        <v>49.539533536894098</v>
      </c>
      <c r="AG7846" s="2">
        <f ca="1"/>
        <v>0.82749529249685927</v>
      </c>
      <c r="AH7846" s="2" t="str">
        <f ca="1"/>
        <v>Bad</v>
      </c>
    </row>
    <row r="7847" spans="2:34">
      <c r="B7847" s="2">
        <f ca="1"/>
        <v>0.94757464979813033</v>
      </c>
      <c r="O7847" s="2">
        <f ca="1"/>
        <v>-0.78151645061618535</v>
      </c>
      <c r="X7847" s="2">
        <f ca="1"/>
        <v>47.086617484334717</v>
      </c>
      <c r="AG7847" s="2">
        <f ca="1"/>
        <v>5.6069777387063979E-2</v>
      </c>
      <c r="AH7847" s="2" t="str">
        <f ca="1"/>
        <v>OK</v>
      </c>
    </row>
    <row r="7848" spans="2:34">
      <c r="B7848" s="2">
        <f ca="1"/>
        <v>0.96161568437648404</v>
      </c>
      <c r="O7848" s="2">
        <f ca="1"/>
        <v>-1.2886012964730773</v>
      </c>
      <c r="X7848" s="2">
        <f ca="1"/>
        <v>48.09742051768572</v>
      </c>
      <c r="AG7848" s="2">
        <f ca="1"/>
        <v>0.85468141967954891</v>
      </c>
      <c r="AH7848" s="2" t="str">
        <f ca="1"/>
        <v>Bad</v>
      </c>
    </row>
    <row r="7849" spans="2:34">
      <c r="B7849" s="2">
        <f ca="1"/>
        <v>0.79671814871200541</v>
      </c>
      <c r="O7849" s="2">
        <f ca="1"/>
        <v>-1.1444367956508761</v>
      </c>
      <c r="X7849" s="2">
        <f ca="1"/>
        <v>36.921775723890377</v>
      </c>
      <c r="AG7849" s="2">
        <f ca="1"/>
        <v>0.37628024600069443</v>
      </c>
      <c r="AH7849" s="2" t="str">
        <f ca="1"/>
        <v>OK</v>
      </c>
    </row>
    <row r="7850" spans="2:34">
      <c r="B7850" s="2">
        <f ca="1"/>
        <v>0.35430753477408006</v>
      </c>
      <c r="O7850" s="2">
        <f ca="1"/>
        <v>-0.18277649162014864</v>
      </c>
      <c r="X7850" s="2">
        <f ca="1"/>
        <v>93.546093676860821</v>
      </c>
      <c r="AG7850" s="2">
        <f ca="1"/>
        <v>0.65068042417447347</v>
      </c>
      <c r="AH7850" s="2" t="str">
        <f ca="1"/>
        <v>Bad</v>
      </c>
    </row>
    <row r="7851" spans="2:34">
      <c r="B7851" s="2">
        <f ca="1"/>
        <v>0.32098766186611494</v>
      </c>
      <c r="O7851" s="2">
        <f ca="1"/>
        <v>-0.13920917488576889</v>
      </c>
      <c r="X7851" s="2">
        <f ca="1"/>
        <v>26.594989356497493</v>
      </c>
      <c r="AG7851" s="2">
        <f ca="1"/>
        <v>0.26531900365877648</v>
      </c>
      <c r="AH7851" s="2" t="str">
        <f ca="1"/>
        <v>OK</v>
      </c>
    </row>
    <row r="7852" spans="2:34">
      <c r="B7852" s="2">
        <f ca="1"/>
        <v>0.41133540525239121</v>
      </c>
      <c r="O7852" s="2">
        <f ca="1"/>
        <v>-0.22726065969569931</v>
      </c>
      <c r="X7852" s="2">
        <f ca="1"/>
        <v>42.697432424146051</v>
      </c>
      <c r="AG7852" s="2">
        <f ca="1"/>
        <v>0.24816219121969119</v>
      </c>
      <c r="AH7852" s="2" t="str">
        <f ca="1"/>
        <v>OK</v>
      </c>
    </row>
    <row r="7853" spans="2:34">
      <c r="B7853" s="2">
        <f ca="1"/>
        <v>0.48757898796933219</v>
      </c>
      <c r="O7853" s="2">
        <f ca="1"/>
        <v>-8.3089296370856658E-2</v>
      </c>
      <c r="X7853" s="2">
        <f ca="1"/>
        <v>59.769063570406615</v>
      </c>
      <c r="AG7853" s="2">
        <f ca="1"/>
        <v>0.89773524943504124</v>
      </c>
      <c r="AH7853" s="2" t="str">
        <f ca="1"/>
        <v>Bad</v>
      </c>
    </row>
    <row r="7854" spans="2:34">
      <c r="B7854" s="2">
        <f ca="1"/>
        <v>0.14810227799292863</v>
      </c>
      <c r="O7854" s="2">
        <f ca="1"/>
        <v>0.94173237284242062</v>
      </c>
      <c r="X7854" s="2">
        <f ca="1"/>
        <v>50.996040880029547</v>
      </c>
      <c r="AG7854" s="2">
        <f ca="1"/>
        <v>0.22309456913480674</v>
      </c>
      <c r="AH7854" s="2" t="str">
        <f ca="1"/>
        <v>OK</v>
      </c>
    </row>
    <row r="7855" spans="2:34">
      <c r="B7855" s="2">
        <f ca="1"/>
        <v>0.24982308776436879</v>
      </c>
      <c r="O7855" s="2">
        <f ca="1"/>
        <v>0.70097658714859123</v>
      </c>
      <c r="X7855" s="2">
        <f ca="1"/>
        <v>39.395041919626557</v>
      </c>
      <c r="AG7855" s="2">
        <f ca="1"/>
        <v>0.11730089631778551</v>
      </c>
      <c r="AH7855" s="2" t="str">
        <f ca="1"/>
        <v>OK</v>
      </c>
    </row>
    <row r="7856" spans="2:34">
      <c r="B7856" s="2">
        <f ca="1"/>
        <v>0.86574208631852478</v>
      </c>
      <c r="O7856" s="2">
        <f ca="1"/>
        <v>-0.19842409646639783</v>
      </c>
      <c r="X7856" s="2">
        <f ca="1"/>
        <v>54.718577811112901</v>
      </c>
      <c r="AG7856" s="2">
        <f ca="1"/>
        <v>0.46823272535987703</v>
      </c>
      <c r="AH7856" s="2" t="str">
        <f ca="1"/>
        <v>Bad</v>
      </c>
    </row>
    <row r="7857" spans="2:34">
      <c r="B7857" s="2">
        <f ca="1"/>
        <v>0.59494730714611155</v>
      </c>
      <c r="O7857" s="2">
        <f ca="1"/>
        <v>-1.0723889711617416E-3</v>
      </c>
      <c r="X7857" s="2">
        <f ca="1"/>
        <v>66.57188444841897</v>
      </c>
      <c r="AG7857" s="2">
        <f ca="1"/>
        <v>0.60736966167344875</v>
      </c>
      <c r="AH7857" s="2" t="str">
        <f ca="1"/>
        <v>Bad</v>
      </c>
    </row>
    <row r="7858" spans="2:34">
      <c r="B7858" s="2">
        <f ca="1"/>
        <v>0.3642329655865808</v>
      </c>
      <c r="O7858" s="2">
        <f ca="1"/>
        <v>5.5494937115483367E-2</v>
      </c>
      <c r="X7858" s="2">
        <f ca="1"/>
        <v>51.112113575739855</v>
      </c>
      <c r="AG7858" s="2">
        <f ca="1"/>
        <v>0.3420877249585077</v>
      </c>
      <c r="AH7858" s="2" t="str">
        <f ca="1"/>
        <v>OK</v>
      </c>
    </row>
    <row r="7859" spans="2:34">
      <c r="B7859" s="2">
        <f ca="1"/>
        <v>0.17704223052803081</v>
      </c>
      <c r="O7859" s="2">
        <f ca="1"/>
        <v>-0.99109614899090304</v>
      </c>
      <c r="X7859" s="2">
        <f ca="1"/>
        <v>44.302926025165227</v>
      </c>
      <c r="AG7859" s="2">
        <f ca="1"/>
        <v>0.16514481850389129</v>
      </c>
      <c r="AH7859" s="2" t="str">
        <f ca="1"/>
        <v>OK</v>
      </c>
    </row>
    <row r="7860" spans="2:34">
      <c r="B7860" s="2">
        <f ca="1"/>
        <v>0.82357263035152561</v>
      </c>
      <c r="O7860" s="2">
        <f ca="1"/>
        <v>-2.2699209626596017</v>
      </c>
      <c r="X7860" s="2">
        <f ca="1"/>
        <v>62.180632554131918</v>
      </c>
      <c r="AG7860" s="2">
        <f ca="1"/>
        <v>0.68851835404502015</v>
      </c>
      <c r="AH7860" s="2" t="str">
        <f ca="1"/>
        <v>Bad</v>
      </c>
    </row>
    <row r="7861" spans="2:34">
      <c r="B7861" s="2">
        <f ca="1"/>
        <v>0.19320014346998282</v>
      </c>
      <c r="O7861" s="2">
        <f ca="1"/>
        <v>0.97629892684859598</v>
      </c>
      <c r="X7861" s="2">
        <f ca="1"/>
        <v>37.764616095619658</v>
      </c>
      <c r="AG7861" s="2">
        <f ca="1"/>
        <v>0.66360736741657833</v>
      </c>
      <c r="AH7861" s="2" t="str">
        <f ca="1"/>
        <v>Bad</v>
      </c>
    </row>
    <row r="7862" spans="2:34">
      <c r="B7862" s="2">
        <f ca="1"/>
        <v>0.65312414933759366</v>
      </c>
      <c r="O7862" s="2">
        <f ca="1"/>
        <v>-0.14339317747864522</v>
      </c>
      <c r="X7862" s="2">
        <f ca="1"/>
        <v>40.415908694507849</v>
      </c>
      <c r="AG7862" s="2">
        <f ca="1"/>
        <v>0.95650120509481584</v>
      </c>
      <c r="AH7862" s="2" t="str">
        <f ca="1"/>
        <v>Bad</v>
      </c>
    </row>
    <row r="7863" spans="2:34">
      <c r="B7863" s="2">
        <f ca="1"/>
        <v>0.11862362189652265</v>
      </c>
      <c r="O7863" s="2">
        <f ca="1"/>
        <v>1.2476782056244458</v>
      </c>
      <c r="X7863" s="2">
        <f ca="1"/>
        <v>26.846243267044088</v>
      </c>
      <c r="AG7863" s="2">
        <f ca="1"/>
        <v>5.2045316702542532E-2</v>
      </c>
      <c r="AH7863" s="2" t="str">
        <f ca="1"/>
        <v>OK</v>
      </c>
    </row>
    <row r="7864" spans="2:34">
      <c r="B7864" s="2">
        <f ca="1"/>
        <v>0.54126284292036919</v>
      </c>
      <c r="O7864" s="2">
        <f ca="1"/>
        <v>1.5864791763118913</v>
      </c>
      <c r="X7864" s="2">
        <f ca="1"/>
        <v>55.356114459126175</v>
      </c>
      <c r="AG7864" s="2">
        <f ca="1"/>
        <v>0.79018926646644716</v>
      </c>
      <c r="AH7864" s="2" t="str">
        <f ca="1"/>
        <v>Bad</v>
      </c>
    </row>
    <row r="7865" spans="2:34">
      <c r="B7865" s="2">
        <f ca="1"/>
        <v>0.99419608785304647</v>
      </c>
      <c r="O7865" s="2">
        <f ca="1"/>
        <v>-1.0735446479873181</v>
      </c>
      <c r="X7865" s="2">
        <f ca="1"/>
        <v>55.137964629991878</v>
      </c>
      <c r="AG7865" s="2">
        <f ca="1"/>
        <v>0.36935640731202479</v>
      </c>
      <c r="AH7865" s="2" t="str">
        <f ca="1"/>
        <v>OK</v>
      </c>
    </row>
    <row r="7866" spans="2:34">
      <c r="B7866" s="2">
        <f ca="1"/>
        <v>0.45531835267819787</v>
      </c>
      <c r="O7866" s="2">
        <f ca="1"/>
        <v>1.3437370210806627</v>
      </c>
      <c r="X7866" s="2">
        <f ca="1"/>
        <v>65.37599779658818</v>
      </c>
      <c r="AG7866" s="2">
        <f ca="1"/>
        <v>0.31356460323104041</v>
      </c>
      <c r="AH7866" s="2" t="str">
        <f ca="1"/>
        <v>OK</v>
      </c>
    </row>
    <row r="7867" spans="2:34">
      <c r="B7867" s="2">
        <f ca="1"/>
        <v>0.7761082395047858</v>
      </c>
      <c r="O7867" s="2">
        <f ca="1"/>
        <v>-1.8477692171347098</v>
      </c>
      <c r="X7867" s="2">
        <f ca="1"/>
        <v>37.693686859995189</v>
      </c>
      <c r="AG7867" s="2">
        <f ca="1"/>
        <v>0.50191175094988139</v>
      </c>
      <c r="AH7867" s="2" t="str">
        <f ca="1"/>
        <v>Bad</v>
      </c>
    </row>
    <row r="7868" spans="2:34">
      <c r="B7868" s="2">
        <f ca="1"/>
        <v>0.58738781544285446</v>
      </c>
      <c r="O7868" s="2">
        <f ca="1"/>
        <v>-1.3816984679334297</v>
      </c>
      <c r="X7868" s="2">
        <f ca="1"/>
        <v>45.342291883857754</v>
      </c>
      <c r="AG7868" s="2">
        <f ca="1"/>
        <v>0.13196912106618242</v>
      </c>
      <c r="AH7868" s="2" t="str">
        <f ca="1"/>
        <v>OK</v>
      </c>
    </row>
    <row r="7869" spans="2:34">
      <c r="B7869" s="2">
        <f ca="1"/>
        <v>0.97402790654243443</v>
      </c>
      <c r="O7869" s="2">
        <f ca="1"/>
        <v>1.661664734271344</v>
      </c>
      <c r="X7869" s="2">
        <f ca="1"/>
        <v>63.055290586866221</v>
      </c>
      <c r="AG7869" s="2">
        <f ca="1"/>
        <v>0.37972942362771911</v>
      </c>
      <c r="AH7869" s="2" t="str">
        <f ca="1"/>
        <v>OK</v>
      </c>
    </row>
    <row r="7870" spans="2:34">
      <c r="B7870" s="2">
        <f ca="1"/>
        <v>0.3609098771514172</v>
      </c>
      <c r="O7870" s="2">
        <f ca="1"/>
        <v>-0.87562762524403071</v>
      </c>
      <c r="X7870" s="2">
        <f ca="1"/>
        <v>65.372947142630778</v>
      </c>
      <c r="AG7870" s="2">
        <f ca="1"/>
        <v>0.74768386876236681</v>
      </c>
      <c r="AH7870" s="2" t="str">
        <f ca="1"/>
        <v>Bad</v>
      </c>
    </row>
    <row r="7871" spans="2:34">
      <c r="B7871" s="2">
        <f ca="1"/>
        <v>0.80705161241290657</v>
      </c>
      <c r="O7871" s="2">
        <f ca="1"/>
        <v>1.5320501772566455</v>
      </c>
      <c r="X7871" s="2">
        <f ca="1"/>
        <v>44.114563018419808</v>
      </c>
      <c r="AG7871" s="2">
        <f ca="1"/>
        <v>7.2756473006689859E-2</v>
      </c>
      <c r="AH7871" s="2" t="str">
        <f ca="1"/>
        <v>OK</v>
      </c>
    </row>
    <row r="7872" spans="2:34">
      <c r="B7872" s="2">
        <f ca="1"/>
        <v>0.20378577788041752</v>
      </c>
      <c r="O7872" s="2">
        <f ca="1"/>
        <v>0.26136217776898568</v>
      </c>
      <c r="X7872" s="2">
        <f ca="1"/>
        <v>21.851464972008678</v>
      </c>
      <c r="AG7872" s="2">
        <f ca="1"/>
        <v>0.32279671928532849</v>
      </c>
      <c r="AH7872" s="2" t="str">
        <f ca="1"/>
        <v>OK</v>
      </c>
    </row>
    <row r="7873" spans="2:34">
      <c r="B7873" s="2">
        <f ca="1"/>
        <v>0.23527168177573432</v>
      </c>
      <c r="O7873" s="2">
        <f ca="1"/>
        <v>-0.31210818207030877</v>
      </c>
      <c r="X7873" s="2">
        <f ca="1"/>
        <v>59.360161958055784</v>
      </c>
      <c r="AG7873" s="2">
        <f ca="1"/>
        <v>0.58801050775149744</v>
      </c>
      <c r="AH7873" s="2" t="str">
        <f ca="1"/>
        <v>Bad</v>
      </c>
    </row>
    <row r="7874" spans="2:34">
      <c r="B7874" s="2">
        <f ca="1"/>
        <v>0.50130824491175363</v>
      </c>
      <c r="O7874" s="2">
        <f ca="1"/>
        <v>-3.6199021846960416E-2</v>
      </c>
      <c r="X7874" s="2">
        <f ca="1"/>
        <v>25.385314136895317</v>
      </c>
      <c r="AG7874" s="2">
        <f ca="1"/>
        <v>0.10400608193342031</v>
      </c>
      <c r="AH7874" s="2" t="str">
        <f ca="1"/>
        <v>OK</v>
      </c>
    </row>
    <row r="7875" spans="2:34">
      <c r="B7875" s="2">
        <f ca="1"/>
        <v>0.3851118713961692</v>
      </c>
      <c r="O7875" s="2">
        <f ca="1"/>
        <v>0.18419944879482048</v>
      </c>
      <c r="X7875" s="2">
        <f ca="1"/>
        <v>51.415143326591064</v>
      </c>
      <c r="AG7875" s="2">
        <f ca="1"/>
        <v>0.94294031952937796</v>
      </c>
      <c r="AH7875" s="2" t="str">
        <f ca="1"/>
        <v>Bad</v>
      </c>
    </row>
    <row r="7876" spans="2:34">
      <c r="B7876" s="2">
        <f ca="1"/>
        <v>0.80733769316736947</v>
      </c>
      <c r="O7876" s="2">
        <f ca="1"/>
        <v>0.35024105859941462</v>
      </c>
      <c r="X7876" s="2">
        <f ca="1"/>
        <v>102.16065513748676</v>
      </c>
      <c r="AG7876" s="2">
        <f ca="1"/>
        <v>0.22943437698311309</v>
      </c>
      <c r="AH7876" s="2" t="str">
        <f ca="1"/>
        <v>OK</v>
      </c>
    </row>
    <row r="7877" spans="2:34">
      <c r="B7877" s="2">
        <f ca="1"/>
        <v>4.9984111967739553E-2</v>
      </c>
      <c r="O7877" s="2">
        <f ca="1"/>
        <v>1.8188794885886626</v>
      </c>
      <c r="X7877" s="2">
        <f ca="1"/>
        <v>45.429326890479643</v>
      </c>
      <c r="AG7877" s="2">
        <f ca="1"/>
        <v>0.28343375979794616</v>
      </c>
      <c r="AH7877" s="2" t="str">
        <f ca="1"/>
        <v>OK</v>
      </c>
    </row>
    <row r="7878" spans="2:34">
      <c r="B7878" s="2">
        <f ca="1"/>
        <v>5.4502214783617831E-2</v>
      </c>
      <c r="O7878" s="2">
        <f ca="1"/>
        <v>-0.38405735262702984</v>
      </c>
      <c r="X7878" s="2">
        <f ca="1"/>
        <v>59.945356353981495</v>
      </c>
      <c r="AG7878" s="2">
        <f ca="1"/>
        <v>0.23838295288182798</v>
      </c>
      <c r="AH7878" s="2" t="str">
        <f ca="1"/>
        <v>OK</v>
      </c>
    </row>
    <row r="7879" spans="2:34">
      <c r="B7879" s="2">
        <f ca="1"/>
        <v>0.6646890751299801</v>
      </c>
      <c r="O7879" s="2">
        <f ca="1"/>
        <v>-0.55052877263067024</v>
      </c>
      <c r="X7879" s="2">
        <f ca="1"/>
        <v>37.238200442764871</v>
      </c>
      <c r="AG7879" s="2">
        <f ca="1"/>
        <v>0.23295046270027409</v>
      </c>
      <c r="AH7879" s="2" t="str">
        <f ca="1"/>
        <v>OK</v>
      </c>
    </row>
    <row r="7880" spans="2:34">
      <c r="B7880" s="2">
        <f ca="1"/>
        <v>0.54183321029392162</v>
      </c>
      <c r="O7880" s="2">
        <f ca="1"/>
        <v>-0.24707833782762845</v>
      </c>
      <c r="X7880" s="2">
        <f ca="1"/>
        <v>71.572037885000512</v>
      </c>
      <c r="AG7880" s="2">
        <f ca="1"/>
        <v>0.302578018147039</v>
      </c>
      <c r="AH7880" s="2" t="str">
        <f ca="1"/>
        <v>OK</v>
      </c>
    </row>
    <row r="7881" spans="2:34">
      <c r="B7881" s="2">
        <f ca="1"/>
        <v>0.6552706660205152</v>
      </c>
      <c r="O7881" s="2">
        <f ca="1"/>
        <v>0.32122416714738333</v>
      </c>
      <c r="X7881" s="2">
        <f ca="1"/>
        <v>34.16120265846385</v>
      </c>
      <c r="AG7881" s="2">
        <f ca="1"/>
        <v>0.1354290563557059</v>
      </c>
      <c r="AH7881" s="2" t="str">
        <f ca="1"/>
        <v>OK</v>
      </c>
    </row>
    <row r="7882" spans="2:34">
      <c r="B7882" s="2">
        <f ca="1"/>
        <v>0.57756820476314319</v>
      </c>
      <c r="O7882" s="2">
        <f ca="1"/>
        <v>0.963829460168936</v>
      </c>
      <c r="X7882" s="2">
        <f ca="1"/>
        <v>39.399157754110519</v>
      </c>
      <c r="AG7882" s="2">
        <f ca="1"/>
        <v>0.88624754127919592</v>
      </c>
      <c r="AH7882" s="2" t="str">
        <f ca="1"/>
        <v>Bad</v>
      </c>
    </row>
    <row r="7883" spans="2:34">
      <c r="B7883" s="2">
        <f ca="1"/>
        <v>0.29540117998016702</v>
      </c>
      <c r="O7883" s="2">
        <f ca="1"/>
        <v>2.0078221416717303</v>
      </c>
      <c r="X7883" s="2">
        <f ca="1"/>
        <v>39.112541671412103</v>
      </c>
      <c r="AG7883" s="2">
        <f ca="1"/>
        <v>0.10353259143602056</v>
      </c>
      <c r="AH7883" s="2" t="str">
        <f ca="1"/>
        <v>OK</v>
      </c>
    </row>
    <row r="7884" spans="2:34">
      <c r="B7884" s="2">
        <f ca="1"/>
        <v>0.26282053016398166</v>
      </c>
      <c r="O7884" s="2">
        <f ca="1"/>
        <v>2.1029016162200276</v>
      </c>
      <c r="X7884" s="2">
        <f ca="1"/>
        <v>100.35717066167068</v>
      </c>
      <c r="AG7884" s="2">
        <f ca="1"/>
        <v>0.84425399204438878</v>
      </c>
      <c r="AH7884" s="2" t="str">
        <f ca="1"/>
        <v>Bad</v>
      </c>
    </row>
    <row r="7885" spans="2:34">
      <c r="B7885" s="2">
        <f ca="1"/>
        <v>0.79470055024236785</v>
      </c>
      <c r="O7885" s="2">
        <f ca="1"/>
        <v>0.50747204100431931</v>
      </c>
      <c r="X7885" s="2">
        <f ca="1"/>
        <v>58.619694444431659</v>
      </c>
      <c r="AG7885" s="2">
        <f ca="1"/>
        <v>7.251558358988075E-2</v>
      </c>
      <c r="AH7885" s="2" t="str">
        <f ca="1"/>
        <v>OK</v>
      </c>
    </row>
    <row r="7886" spans="2:34">
      <c r="B7886" s="2">
        <f ca="1"/>
        <v>0.99098713180979336</v>
      </c>
      <c r="O7886" s="2">
        <f ca="1"/>
        <v>4.4410480550367948E-2</v>
      </c>
      <c r="X7886" s="2">
        <f ca="1"/>
        <v>68.070974957159706</v>
      </c>
      <c r="AG7886" s="2">
        <f ca="1"/>
        <v>1.8076935508922309E-2</v>
      </c>
      <c r="AH7886" s="2" t="str">
        <f ca="1"/>
        <v>Good</v>
      </c>
    </row>
    <row r="7887" spans="2:34">
      <c r="B7887" s="2">
        <f ca="1"/>
        <v>0.35368793235933094</v>
      </c>
      <c r="O7887" s="2">
        <f ca="1"/>
        <v>-0.5672849751892558</v>
      </c>
      <c r="X7887" s="2">
        <f ca="1"/>
        <v>59.276176996953858</v>
      </c>
      <c r="AG7887" s="2">
        <f ca="1"/>
        <v>5.854797004433232E-2</v>
      </c>
      <c r="AH7887" s="2" t="str">
        <f ca="1"/>
        <v>OK</v>
      </c>
    </row>
    <row r="7888" spans="2:34">
      <c r="B7888" s="2">
        <f ca="1"/>
        <v>0.48707313668191987</v>
      </c>
      <c r="O7888" s="2">
        <f ca="1"/>
        <v>0.14807283063598764</v>
      </c>
      <c r="X7888" s="2">
        <f ca="1"/>
        <v>39.917898409532306</v>
      </c>
      <c r="AG7888" s="2">
        <f ca="1"/>
        <v>0.52345890616348445</v>
      </c>
      <c r="AH7888" s="2" t="str">
        <f ca="1"/>
        <v>Bad</v>
      </c>
    </row>
    <row r="7889" spans="2:34">
      <c r="B7889" s="2">
        <f ca="1"/>
        <v>0.22895185001116558</v>
      </c>
      <c r="O7889" s="2">
        <f ca="1"/>
        <v>-0.52813443619557177</v>
      </c>
      <c r="X7889" s="2">
        <f ca="1"/>
        <v>65.614686340732717</v>
      </c>
      <c r="AG7889" s="2">
        <f ca="1"/>
        <v>0.30772615129713143</v>
      </c>
      <c r="AH7889" s="2" t="str">
        <f ca="1"/>
        <v>OK</v>
      </c>
    </row>
    <row r="7890" spans="2:34">
      <c r="B7890" s="2">
        <f ca="1"/>
        <v>0.25092550920223777</v>
      </c>
      <c r="O7890" s="2">
        <f ca="1"/>
        <v>1.9503976763802469</v>
      </c>
      <c r="X7890" s="2">
        <f ca="1"/>
        <v>32.837221675113959</v>
      </c>
      <c r="AG7890" s="2">
        <f ca="1"/>
        <v>0.52022127362501935</v>
      </c>
      <c r="AH7890" s="2" t="str">
        <f ca="1"/>
        <v>Bad</v>
      </c>
    </row>
    <row r="7891" spans="2:34">
      <c r="B7891" s="2">
        <f ca="1"/>
        <v>0.63113096297881355</v>
      </c>
      <c r="O7891" s="2">
        <f ca="1"/>
        <v>8.465256189659702E-2</v>
      </c>
      <c r="X7891" s="2">
        <f ca="1"/>
        <v>75.535212958337937</v>
      </c>
      <c r="AG7891" s="2">
        <f ca="1"/>
        <v>0.23365685189115193</v>
      </c>
      <c r="AH7891" s="2" t="str">
        <f ca="1"/>
        <v>OK</v>
      </c>
    </row>
    <row r="7892" spans="2:34">
      <c r="B7892" s="2">
        <f ca="1"/>
        <v>4.9066478596480056E-3</v>
      </c>
      <c r="O7892" s="2">
        <f ca="1"/>
        <v>9.9007815157401258E-2</v>
      </c>
      <c r="X7892" s="2">
        <f ca="1"/>
        <v>36.078259727723896</v>
      </c>
      <c r="AG7892" s="2">
        <f ca="1"/>
        <v>0.95789758184569096</v>
      </c>
      <c r="AH7892" s="2" t="str">
        <f ca="1"/>
        <v>Bad</v>
      </c>
    </row>
    <row r="7893" spans="2:34">
      <c r="B7893" s="2">
        <f ca="1"/>
        <v>0.2972571947182352</v>
      </c>
      <c r="O7893" s="2">
        <f ca="1"/>
        <v>0.38249457248040342</v>
      </c>
      <c r="X7893" s="2">
        <f ca="1"/>
        <v>46.60557510182705</v>
      </c>
      <c r="AG7893" s="2">
        <f ca="1"/>
        <v>0.20221293026921128</v>
      </c>
      <c r="AH7893" s="2" t="str">
        <f ca="1"/>
        <v>OK</v>
      </c>
    </row>
    <row r="7894" spans="2:34">
      <c r="B7894" s="2">
        <f ca="1"/>
        <v>0.48757980368207243</v>
      </c>
      <c r="O7894" s="2">
        <f ca="1"/>
        <v>-6.9436935585983822E-2</v>
      </c>
      <c r="X7894" s="2">
        <f ca="1"/>
        <v>48.669045542891695</v>
      </c>
      <c r="AG7894" s="2">
        <f ca="1"/>
        <v>0.29473224901602046</v>
      </c>
      <c r="AH7894" s="2" t="str">
        <f ca="1"/>
        <v>OK</v>
      </c>
    </row>
    <row r="7895" spans="2:34">
      <c r="B7895" s="2">
        <f ca="1"/>
        <v>0.21300441701108475</v>
      </c>
      <c r="O7895" s="2">
        <f ca="1"/>
        <v>-0.90717996737872597</v>
      </c>
      <c r="X7895" s="2">
        <f ca="1"/>
        <v>51.455041770184941</v>
      </c>
      <c r="AG7895" s="2">
        <f ca="1"/>
        <v>0.14879204819778735</v>
      </c>
      <c r="AH7895" s="2" t="str">
        <f ca="1"/>
        <v>OK</v>
      </c>
    </row>
    <row r="7896" spans="2:34">
      <c r="B7896" s="2">
        <f ca="1"/>
        <v>0.53551657396850061</v>
      </c>
      <c r="O7896" s="2">
        <f ca="1"/>
        <v>-0.83657640721396798</v>
      </c>
      <c r="X7896" s="2">
        <f ca="1"/>
        <v>45.574460845890442</v>
      </c>
      <c r="AG7896" s="2">
        <f ca="1"/>
        <v>0.51165184303523636</v>
      </c>
      <c r="AH7896" s="2" t="str">
        <f ca="1"/>
        <v>Bad</v>
      </c>
    </row>
    <row r="7897" spans="2:34">
      <c r="B7897" s="2">
        <f ca="1"/>
        <v>0.79102178843860504</v>
      </c>
      <c r="O7897" s="2">
        <f ca="1"/>
        <v>0.12363546018682478</v>
      </c>
      <c r="X7897" s="2">
        <f ca="1"/>
        <v>58.840924559719042</v>
      </c>
      <c r="AG7897" s="2">
        <f ca="1"/>
        <v>0.35603746417004967</v>
      </c>
      <c r="AH7897" s="2" t="str">
        <f ca="1"/>
        <v>OK</v>
      </c>
    </row>
    <row r="7898" spans="2:34">
      <c r="B7898" s="2">
        <f ca="1"/>
        <v>0.79856651674333645</v>
      </c>
      <c r="O7898" s="2">
        <f ca="1"/>
        <v>2.7988311557445189</v>
      </c>
      <c r="X7898" s="2">
        <f ca="1"/>
        <v>54.83176725891424</v>
      </c>
      <c r="AG7898" s="2">
        <f ca="1"/>
        <v>8.4904557906319011E-2</v>
      </c>
      <c r="AH7898" s="2" t="str">
        <f ca="1"/>
        <v>OK</v>
      </c>
    </row>
    <row r="7899" spans="2:34">
      <c r="B7899" s="2">
        <f ca="1"/>
        <v>4.2402858145333511E-2</v>
      </c>
      <c r="O7899" s="2">
        <f ca="1"/>
        <v>-0.59430119012574978</v>
      </c>
      <c r="X7899" s="2">
        <f ca="1"/>
        <v>39.683835058905075</v>
      </c>
      <c r="AG7899" s="2">
        <f ca="1"/>
        <v>0.65718493727056315</v>
      </c>
      <c r="AH7899" s="2" t="str">
        <f ca="1"/>
        <v>Bad</v>
      </c>
    </row>
    <row r="7900" spans="2:34">
      <c r="B7900" s="2">
        <f ca="1"/>
        <v>4.4949894014909564E-2</v>
      </c>
      <c r="O7900" s="2">
        <f ca="1"/>
        <v>-0.52927365359156042</v>
      </c>
      <c r="X7900" s="2">
        <f ca="1"/>
        <v>27.929284287145755</v>
      </c>
      <c r="AG7900" s="2">
        <f ca="1"/>
        <v>0.31392376317606185</v>
      </c>
      <c r="AH7900" s="2" t="str">
        <f ca="1"/>
        <v>OK</v>
      </c>
    </row>
    <row r="7901" spans="2:34">
      <c r="B7901" s="2">
        <f ca="1"/>
        <v>0.37085519659329336</v>
      </c>
      <c r="O7901" s="2">
        <f ca="1"/>
        <v>0.81789485201904677</v>
      </c>
      <c r="X7901" s="2">
        <f ca="1"/>
        <v>69.19188404702534</v>
      </c>
      <c r="AG7901" s="2">
        <f ca="1"/>
        <v>0.5416064484652594</v>
      </c>
      <c r="AH7901" s="2" t="str">
        <f ca="1"/>
        <v>Bad</v>
      </c>
    </row>
    <row r="7902" spans="2:34">
      <c r="B7902" s="2">
        <f ca="1"/>
        <v>0.56922540504403929</v>
      </c>
      <c r="O7902" s="2">
        <f ca="1"/>
        <v>0.37386841118672548</v>
      </c>
      <c r="X7902" s="2">
        <f ca="1"/>
        <v>52.446947391058046</v>
      </c>
      <c r="AG7902" s="2">
        <f ca="1"/>
        <v>1.0500272148110223E-2</v>
      </c>
      <c r="AH7902" s="2" t="str">
        <f ca="1"/>
        <v>Good</v>
      </c>
    </row>
    <row r="7903" spans="2:34">
      <c r="B7903" s="2">
        <f ca="1"/>
        <v>0.66422078723264733</v>
      </c>
      <c r="O7903" s="2">
        <f ca="1"/>
        <v>-0.14529928041328316</v>
      </c>
      <c r="X7903" s="2">
        <f ca="1"/>
        <v>42.598135231228056</v>
      </c>
      <c r="AG7903" s="2">
        <f ca="1"/>
        <v>0.51194032574242976</v>
      </c>
      <c r="AH7903" s="2" t="str">
        <f ca="1"/>
        <v>Bad</v>
      </c>
    </row>
    <row r="7904" spans="2:34">
      <c r="B7904" s="2">
        <f ca="1"/>
        <v>0.91539373777650623</v>
      </c>
      <c r="O7904" s="2">
        <f ca="1"/>
        <v>2.3467676822286334</v>
      </c>
      <c r="X7904" s="2">
        <f ca="1"/>
        <v>47.840463601990066</v>
      </c>
      <c r="AG7904" s="2">
        <f ca="1"/>
        <v>0.80824670532382603</v>
      </c>
      <c r="AH7904" s="2" t="str">
        <f ca="1"/>
        <v>Bad</v>
      </c>
    </row>
    <row r="7905" spans="2:34">
      <c r="B7905" s="2">
        <f ca="1"/>
        <v>0.21115882112227524</v>
      </c>
      <c r="O7905" s="2">
        <f ca="1"/>
        <v>2.0234391385714376</v>
      </c>
      <c r="X7905" s="2">
        <f ca="1"/>
        <v>77.372316834572018</v>
      </c>
      <c r="AG7905" s="2">
        <f ca="1"/>
        <v>0.27233081565878736</v>
      </c>
      <c r="AH7905" s="2" t="str">
        <f ca="1"/>
        <v>OK</v>
      </c>
    </row>
    <row r="7906" spans="2:34">
      <c r="B7906" s="2">
        <f ca="1"/>
        <v>0.11845461265408619</v>
      </c>
      <c r="O7906" s="2">
        <f ca="1"/>
        <v>0.3170885534475249</v>
      </c>
      <c r="X7906" s="2">
        <f ca="1"/>
        <v>29.907586822942299</v>
      </c>
      <c r="AG7906" s="2">
        <f ca="1"/>
        <v>0.52212656083729891</v>
      </c>
      <c r="AH7906" s="2" t="str">
        <f ca="1"/>
        <v>Bad</v>
      </c>
    </row>
    <row r="7907" spans="2:34">
      <c r="B7907" s="2">
        <f ca="1"/>
        <v>0.59874067852638402</v>
      </c>
      <c r="O7907" s="2">
        <f ca="1"/>
        <v>1.3907609630095574</v>
      </c>
      <c r="X7907" s="2">
        <f ca="1"/>
        <v>76.324869431982123</v>
      </c>
      <c r="AG7907" s="2">
        <f ca="1"/>
        <v>0.99693252492380413</v>
      </c>
      <c r="AH7907" s="2" t="str">
        <f ca="1"/>
        <v>Bad</v>
      </c>
    </row>
    <row r="7908" spans="2:34">
      <c r="B7908" s="2">
        <f ca="1"/>
        <v>4.8501456030054291E-2</v>
      </c>
      <c r="O7908" s="2">
        <f ca="1"/>
        <v>0.86889959705152375</v>
      </c>
      <c r="X7908" s="2">
        <f ca="1"/>
        <v>41.829633708194621</v>
      </c>
      <c r="AG7908" s="2">
        <f ca="1"/>
        <v>0.23872546772342962</v>
      </c>
      <c r="AH7908" s="2" t="str">
        <f ca="1"/>
        <v>OK</v>
      </c>
    </row>
    <row r="7909" spans="2:34">
      <c r="B7909" s="2">
        <f ca="1"/>
        <v>0.44547189798144404</v>
      </c>
      <c r="O7909" s="2">
        <f ca="1"/>
        <v>0.40117465989018719</v>
      </c>
      <c r="X7909" s="2">
        <f ca="1"/>
        <v>38.251874619804049</v>
      </c>
      <c r="AG7909" s="2">
        <f ca="1"/>
        <v>0.90623975736991058</v>
      </c>
      <c r="AH7909" s="2" t="str">
        <f ca="1"/>
        <v>Bad</v>
      </c>
    </row>
    <row r="7910" spans="2:34">
      <c r="B7910" s="2">
        <f ca="1"/>
        <v>0.79465335898538525</v>
      </c>
      <c r="O7910" s="2">
        <f ca="1"/>
        <v>1.3257480722606652</v>
      </c>
      <c r="X7910" s="2">
        <f ca="1"/>
        <v>65.233552219615419</v>
      </c>
      <c r="AG7910" s="2">
        <f ca="1"/>
        <v>0.14082492333726426</v>
      </c>
      <c r="AH7910" s="2" t="str">
        <f ca="1"/>
        <v>OK</v>
      </c>
    </row>
    <row r="7911" spans="2:34">
      <c r="B7911" s="2">
        <f ca="1"/>
        <v>0.57142730041817758</v>
      </c>
      <c r="O7911" s="2">
        <f ca="1"/>
        <v>-1.564285028318245</v>
      </c>
      <c r="X7911" s="2">
        <f ca="1"/>
        <v>46.200603345204563</v>
      </c>
      <c r="AG7911" s="2">
        <f ca="1"/>
        <v>0.76172121263492421</v>
      </c>
      <c r="AH7911" s="2" t="str">
        <f ca="1"/>
        <v>Bad</v>
      </c>
    </row>
    <row r="7912" spans="2:34">
      <c r="B7912" s="2">
        <f ca="1"/>
        <v>0.46653289116827268</v>
      </c>
      <c r="O7912" s="2">
        <f ca="1"/>
        <v>0.53941279719101587</v>
      </c>
      <c r="X7912" s="2">
        <f ca="1"/>
        <v>38.564107692621022</v>
      </c>
      <c r="AG7912" s="2">
        <f ca="1"/>
        <v>0.69074251742330905</v>
      </c>
      <c r="AH7912" s="2" t="str">
        <f ca="1"/>
        <v>Bad</v>
      </c>
    </row>
    <row r="7913" spans="2:34">
      <c r="B7913" s="2">
        <f ca="1"/>
        <v>0.64438539840394315</v>
      </c>
      <c r="O7913" s="2">
        <f ca="1"/>
        <v>0.85540846337488141</v>
      </c>
      <c r="X7913" s="2">
        <f ca="1"/>
        <v>73.553807729888845</v>
      </c>
      <c r="AG7913" s="2">
        <f ca="1"/>
        <v>0.83920199812986751</v>
      </c>
      <c r="AH7913" s="2" t="str">
        <f ca="1"/>
        <v>Bad</v>
      </c>
    </row>
    <row r="7914" spans="2:34">
      <c r="B7914" s="2">
        <f ca="1"/>
        <v>6.4244161795205201E-2</v>
      </c>
      <c r="O7914" s="2">
        <f ca="1"/>
        <v>-3.6945856951816597E-2</v>
      </c>
      <c r="X7914" s="2">
        <f ca="1"/>
        <v>46.081230686183979</v>
      </c>
      <c r="AG7914" s="2">
        <f ca="1"/>
        <v>5.3538076948509428E-3</v>
      </c>
      <c r="AH7914" s="2" t="str">
        <f ca="1"/>
        <v>Good</v>
      </c>
    </row>
    <row r="7915" spans="2:34">
      <c r="B7915" s="2">
        <f ca="1"/>
        <v>0.77840062997779524</v>
      </c>
      <c r="O7915" s="2">
        <f ca="1"/>
        <v>-1.0487931860534885</v>
      </c>
      <c r="X7915" s="2">
        <f ca="1"/>
        <v>68.073321073624271</v>
      </c>
      <c r="AG7915" s="2">
        <f ca="1"/>
        <v>0.81480561671904361</v>
      </c>
      <c r="AH7915" s="2" t="str">
        <f ca="1"/>
        <v>Bad</v>
      </c>
    </row>
    <row r="7916" spans="2:34">
      <c r="B7916" s="2">
        <f ca="1"/>
        <v>0.77545238150867313</v>
      </c>
      <c r="O7916" s="2">
        <f ca="1"/>
        <v>-8.6783417370093069E-2</v>
      </c>
      <c r="X7916" s="2">
        <f ca="1"/>
        <v>43.63211570771373</v>
      </c>
      <c r="AG7916" s="2">
        <f ca="1"/>
        <v>0.10278200291536144</v>
      </c>
      <c r="AH7916" s="2" t="str">
        <f ca="1"/>
        <v>OK</v>
      </c>
    </row>
    <row r="7917" spans="2:34">
      <c r="B7917" s="2">
        <f ca="1"/>
        <v>0.45635532982763172</v>
      </c>
      <c r="O7917" s="2">
        <f ca="1"/>
        <v>-0.24883332156192178</v>
      </c>
      <c r="X7917" s="2">
        <f ca="1"/>
        <v>41.227514389873186</v>
      </c>
      <c r="AG7917" s="2">
        <f ca="1"/>
        <v>1.6561262162039903E-2</v>
      </c>
      <c r="AH7917" s="2" t="str">
        <f ca="1"/>
        <v>Good</v>
      </c>
    </row>
    <row r="7918" spans="2:34">
      <c r="B7918" s="2">
        <f ca="1"/>
        <v>0.10884504339993017</v>
      </c>
      <c r="O7918" s="2">
        <f ca="1"/>
        <v>-0.73974019909721622</v>
      </c>
      <c r="X7918" s="2">
        <f ca="1"/>
        <v>56.81265675078788</v>
      </c>
      <c r="AG7918" s="2">
        <f ca="1"/>
        <v>0.5621602963745771</v>
      </c>
      <c r="AH7918" s="2" t="str">
        <f ca="1"/>
        <v>Bad</v>
      </c>
    </row>
    <row r="7919" spans="2:34">
      <c r="B7919" s="2">
        <f ca="1"/>
        <v>0.31929341737923789</v>
      </c>
      <c r="O7919" s="2">
        <f ca="1"/>
        <v>-0.93742742585131456</v>
      </c>
      <c r="X7919" s="2">
        <f ca="1"/>
        <v>88.128312026807762</v>
      </c>
      <c r="AG7919" s="2">
        <f ca="1"/>
        <v>0.43020636760125708</v>
      </c>
      <c r="AH7919" s="2" t="str">
        <f ca="1"/>
        <v>Bad</v>
      </c>
    </row>
    <row r="7920" spans="2:34">
      <c r="B7920" s="2">
        <f ca="1"/>
        <v>0.83479964777789761</v>
      </c>
      <c r="O7920" s="2">
        <f ca="1"/>
        <v>-1.836365649664957</v>
      </c>
      <c r="X7920" s="2">
        <f ca="1"/>
        <v>56.438885319177182</v>
      </c>
      <c r="AG7920" s="2">
        <f ca="1"/>
        <v>0.9952638027682692</v>
      </c>
      <c r="AH7920" s="2" t="str">
        <f ca="1"/>
        <v>Bad</v>
      </c>
    </row>
    <row r="7921" spans="2:34">
      <c r="B7921" s="2">
        <f ca="1"/>
        <v>0.94334610420181608</v>
      </c>
      <c r="O7921" s="2">
        <f ca="1"/>
        <v>-0.58287831134004853</v>
      </c>
      <c r="X7921" s="2">
        <f ca="1"/>
        <v>29.467280871299486</v>
      </c>
      <c r="AG7921" s="2">
        <f ca="1"/>
        <v>0.60715877594841428</v>
      </c>
      <c r="AH7921" s="2" t="str">
        <f ca="1"/>
        <v>Bad</v>
      </c>
    </row>
    <row r="7922" spans="2:34">
      <c r="B7922" s="2">
        <f ca="1"/>
        <v>0.55134605687264404</v>
      </c>
      <c r="O7922" s="2">
        <f ca="1"/>
        <v>0.50812555107807478</v>
      </c>
      <c r="X7922" s="2">
        <f ca="1"/>
        <v>45.990139445718597</v>
      </c>
      <c r="AG7922" s="2">
        <f ca="1"/>
        <v>0.44405666249014941</v>
      </c>
      <c r="AH7922" s="2" t="str">
        <f ca="1"/>
        <v>Bad</v>
      </c>
    </row>
    <row r="7923" spans="2:34">
      <c r="B7923" s="2">
        <f ca="1"/>
        <v>0.86618837824380734</v>
      </c>
      <c r="O7923" s="2">
        <f ca="1"/>
        <v>0.31202513826451944</v>
      </c>
      <c r="X7923" s="2">
        <f ca="1"/>
        <v>34.778704326881403</v>
      </c>
      <c r="AG7923" s="2">
        <f ca="1"/>
        <v>0.67694494604672029</v>
      </c>
      <c r="AH7923" s="2" t="str">
        <f ca="1"/>
        <v>Bad</v>
      </c>
    </row>
    <row r="7924" spans="2:34">
      <c r="B7924" s="2">
        <f ca="1"/>
        <v>0.86088897722473812</v>
      </c>
      <c r="O7924" s="2">
        <f ca="1"/>
        <v>7.5499932828828595E-2</v>
      </c>
      <c r="X7924" s="2">
        <f ca="1"/>
        <v>36.216218203420006</v>
      </c>
      <c r="AG7924" s="2">
        <f ca="1"/>
        <v>0.85127121174565978</v>
      </c>
      <c r="AH7924" s="2" t="str">
        <f ca="1"/>
        <v>Bad</v>
      </c>
    </row>
    <row r="7925" spans="2:34">
      <c r="B7925" s="2">
        <f ca="1"/>
        <v>0.68909318085728066</v>
      </c>
      <c r="O7925" s="2">
        <f ca="1"/>
        <v>1.3323154888201041</v>
      </c>
      <c r="X7925" s="2">
        <f ca="1"/>
        <v>32.278920871019892</v>
      </c>
      <c r="AG7925" s="2">
        <f ca="1"/>
        <v>0.95988394361925833</v>
      </c>
      <c r="AH7925" s="2" t="str">
        <f ca="1"/>
        <v>Bad</v>
      </c>
    </row>
    <row r="7926" spans="2:34">
      <c r="B7926" s="2">
        <f ca="1"/>
        <v>0.77155297273120316</v>
      </c>
      <c r="O7926" s="2">
        <f ca="1"/>
        <v>1.3191520424691909</v>
      </c>
      <c r="X7926" s="2">
        <f ca="1"/>
        <v>32.406107507256166</v>
      </c>
      <c r="AG7926" s="2">
        <f ca="1"/>
        <v>0.38457608228916618</v>
      </c>
      <c r="AH7926" s="2" t="str">
        <f ca="1"/>
        <v>OK</v>
      </c>
    </row>
    <row r="7927" spans="2:34">
      <c r="B7927" s="2">
        <f ca="1"/>
        <v>0.64048527977173597</v>
      </c>
      <c r="O7927" s="2">
        <f ca="1"/>
        <v>-1.2300540093729264</v>
      </c>
      <c r="X7927" s="2">
        <f ca="1"/>
        <v>54.837448813359167</v>
      </c>
      <c r="AG7927" s="2">
        <f ca="1"/>
        <v>0.23677606118637895</v>
      </c>
      <c r="AH7927" s="2" t="str">
        <f ca="1"/>
        <v>OK</v>
      </c>
    </row>
    <row r="7928" spans="2:34">
      <c r="B7928" s="2">
        <f ca="1"/>
        <v>1.199809734908408E-2</v>
      </c>
      <c r="O7928" s="2">
        <f ca="1"/>
        <v>1.1415167876387018</v>
      </c>
      <c r="X7928" s="2">
        <f ca="1"/>
        <v>49.875072160318645</v>
      </c>
      <c r="AG7928" s="2">
        <f ca="1"/>
        <v>0.23979811048321586</v>
      </c>
      <c r="AH7928" s="2" t="str">
        <f ca="1"/>
        <v>OK</v>
      </c>
    </row>
    <row r="7929" spans="2:34">
      <c r="B7929" s="2">
        <f ca="1"/>
        <v>0.5327905387542442</v>
      </c>
      <c r="O7929" s="2">
        <f ca="1"/>
        <v>-0.83633288007971884</v>
      </c>
      <c r="X7929" s="2">
        <f ca="1"/>
        <v>70.13572125648696</v>
      </c>
      <c r="AG7929" s="2">
        <f ca="1"/>
        <v>0.61670207475338756</v>
      </c>
      <c r="AH7929" s="2" t="str">
        <f ca="1"/>
        <v>Bad</v>
      </c>
    </row>
    <row r="7930" spans="2:34">
      <c r="B7930" s="2">
        <f ca="1"/>
        <v>0.69728751382395626</v>
      </c>
      <c r="O7930" s="2">
        <f ca="1"/>
        <v>0.77039608357578782</v>
      </c>
      <c r="X7930" s="2">
        <f ca="1"/>
        <v>36.790029614607327</v>
      </c>
      <c r="AG7930" s="2">
        <f ca="1"/>
        <v>0.41583909184719992</v>
      </c>
      <c r="AH7930" s="2" t="str">
        <f ca="1"/>
        <v>Bad</v>
      </c>
    </row>
    <row r="7931" spans="2:34">
      <c r="B7931" s="2">
        <f ca="1"/>
        <v>5.4732414831860643E-2</v>
      </c>
      <c r="O7931" s="2">
        <f ca="1"/>
        <v>1.2097360339598831</v>
      </c>
      <c r="X7931" s="2">
        <f ca="1"/>
        <v>68.659983304564193</v>
      </c>
      <c r="AG7931" s="2">
        <f ca="1"/>
        <v>0.45214786141099483</v>
      </c>
      <c r="AH7931" s="2" t="str">
        <f ca="1"/>
        <v>Bad</v>
      </c>
    </row>
    <row r="7932" spans="2:34">
      <c r="B7932" s="2">
        <f ca="1"/>
        <v>0.16674546665116385</v>
      </c>
      <c r="O7932" s="2">
        <f ca="1"/>
        <v>0.72598993556929947</v>
      </c>
      <c r="X7932" s="2">
        <f ca="1"/>
        <v>54.526583475576615</v>
      </c>
      <c r="AG7932" s="2">
        <f ca="1"/>
        <v>0.6254482293173298</v>
      </c>
      <c r="AH7932" s="2" t="str">
        <f ca="1"/>
        <v>Bad</v>
      </c>
    </row>
    <row r="7933" spans="2:34">
      <c r="B7933" s="2">
        <f ca="1"/>
        <v>7.107015394132743E-2</v>
      </c>
      <c r="O7933" s="2">
        <f ca="1"/>
        <v>0.79084806249821571</v>
      </c>
      <c r="X7933" s="2">
        <f ca="1"/>
        <v>34.908504098222188</v>
      </c>
      <c r="AG7933" s="2">
        <f ca="1"/>
        <v>0.74160290883576363</v>
      </c>
      <c r="AH7933" s="2" t="str">
        <f ca="1"/>
        <v>Bad</v>
      </c>
    </row>
    <row r="7934" spans="2:34">
      <c r="B7934" s="2">
        <f ca="1"/>
        <v>0.44196972494554099</v>
      </c>
      <c r="O7934" s="2">
        <f ca="1"/>
        <v>1.1410129553568145</v>
      </c>
      <c r="X7934" s="2">
        <f ca="1"/>
        <v>50.573187952178138</v>
      </c>
      <c r="AG7934" s="2">
        <f ca="1"/>
        <v>0.2460888978669018</v>
      </c>
      <c r="AH7934" s="2" t="str">
        <f ca="1"/>
        <v>OK</v>
      </c>
    </row>
    <row r="7935" spans="2:34">
      <c r="B7935" s="2">
        <f ca="1"/>
        <v>0.16975988977519796</v>
      </c>
      <c r="O7935" s="2">
        <f ca="1"/>
        <v>-1.2671207546112579</v>
      </c>
      <c r="X7935" s="2">
        <f ca="1"/>
        <v>18.428569633723246</v>
      </c>
      <c r="AG7935" s="2">
        <f ca="1"/>
        <v>0.81403986959153185</v>
      </c>
      <c r="AH7935" s="2" t="str">
        <f ca="1"/>
        <v>Bad</v>
      </c>
    </row>
    <row r="7936" spans="2:34">
      <c r="B7936" s="2">
        <f ca="1"/>
        <v>0.42408189540501984</v>
      </c>
      <c r="O7936" s="2">
        <f ca="1"/>
        <v>1.049139010563491</v>
      </c>
      <c r="X7936" s="2">
        <f ca="1"/>
        <v>44.116447982890733</v>
      </c>
      <c r="AG7936" s="2">
        <f ca="1"/>
        <v>0.36556230510937349</v>
      </c>
      <c r="AH7936" s="2" t="str">
        <f ca="1"/>
        <v>OK</v>
      </c>
    </row>
    <row r="7937" spans="2:34">
      <c r="B7937" s="2">
        <f ca="1"/>
        <v>0.62835802269018903</v>
      </c>
      <c r="O7937" s="2">
        <f ca="1"/>
        <v>-0.61338256372640076</v>
      </c>
      <c r="X7937" s="2">
        <f ca="1"/>
        <v>116.34674845687087</v>
      </c>
      <c r="AG7937" s="2">
        <f ca="1"/>
        <v>3.8781764862263701E-2</v>
      </c>
      <c r="AH7937" s="2" t="str">
        <f ca="1"/>
        <v>Good</v>
      </c>
    </row>
    <row r="7938" spans="2:34">
      <c r="B7938" s="2">
        <f ca="1"/>
        <v>0.27821434320759764</v>
      </c>
      <c r="O7938" s="2">
        <f ca="1"/>
        <v>-1.6390695797209354</v>
      </c>
      <c r="X7938" s="2">
        <f ca="1"/>
        <v>46.392396979072473</v>
      </c>
      <c r="AG7938" s="2">
        <f ca="1"/>
        <v>0.33568429695186963</v>
      </c>
      <c r="AH7938" s="2" t="str">
        <f ca="1"/>
        <v>OK</v>
      </c>
    </row>
    <row r="7939" spans="2:34">
      <c r="B7939" s="2">
        <f ca="1"/>
        <v>4.1534013473225606E-2</v>
      </c>
      <c r="O7939" s="2">
        <f ca="1"/>
        <v>1.6277448615037815</v>
      </c>
      <c r="X7939" s="2">
        <f ca="1"/>
        <v>77.590682871495943</v>
      </c>
      <c r="AG7939" s="2">
        <f ca="1"/>
        <v>0.57094614921277209</v>
      </c>
      <c r="AH7939" s="2" t="str">
        <f ca="1"/>
        <v>Bad</v>
      </c>
    </row>
    <row r="7940" spans="2:34">
      <c r="B7940" s="2">
        <f ca="1"/>
        <v>0.22049056758015384</v>
      </c>
      <c r="O7940" s="2">
        <f ca="1"/>
        <v>0.17916792858559555</v>
      </c>
      <c r="X7940" s="2">
        <f ca="1"/>
        <v>34.798705461400665</v>
      </c>
      <c r="AG7940" s="2">
        <f ca="1"/>
        <v>0.12187937192529907</v>
      </c>
      <c r="AH7940" s="2" t="str">
        <f ca="1"/>
        <v>OK</v>
      </c>
    </row>
    <row r="7941" spans="2:34">
      <c r="B7941" s="2">
        <f ca="1"/>
        <v>0.1730001186650918</v>
      </c>
      <c r="O7941" s="2">
        <f ca="1"/>
        <v>1.3895021188973398</v>
      </c>
      <c r="X7941" s="2">
        <f ca="1"/>
        <v>42.007915383693629</v>
      </c>
      <c r="AG7941" s="2">
        <f ca="1"/>
        <v>0.99753159433751337</v>
      </c>
      <c r="AH7941" s="2" t="str">
        <f ca="1"/>
        <v>Bad</v>
      </c>
    </row>
    <row r="7942" spans="2:34">
      <c r="B7942" s="2">
        <f ca="1"/>
        <v>0.50772275602600758</v>
      </c>
      <c r="O7942" s="2">
        <f ca="1"/>
        <v>1.5314709881097044</v>
      </c>
      <c r="X7942" s="2">
        <f ca="1"/>
        <v>45.324207571706985</v>
      </c>
      <c r="AG7942" s="2">
        <f ca="1"/>
        <v>0.1017047892286469</v>
      </c>
      <c r="AH7942" s="2" t="str">
        <f ca="1"/>
        <v>OK</v>
      </c>
    </row>
    <row r="7943" spans="2:34">
      <c r="B7943" s="2">
        <f ca="1"/>
        <v>0.39142255208533117</v>
      </c>
      <c r="O7943" s="2">
        <f ca="1"/>
        <v>-1.1031736887669181</v>
      </c>
      <c r="X7943" s="2">
        <f ca="1"/>
        <v>45.563866101063638</v>
      </c>
      <c r="AG7943" s="2">
        <f ca="1"/>
        <v>5.477434852814711E-2</v>
      </c>
      <c r="AH7943" s="2" t="str">
        <f ca="1"/>
        <v>OK</v>
      </c>
    </row>
    <row r="7944" spans="2:34">
      <c r="B7944" s="2">
        <f ca="1"/>
        <v>0.28392857824369333</v>
      </c>
      <c r="O7944" s="2">
        <f ca="1"/>
        <v>1.020170159296993</v>
      </c>
      <c r="X7944" s="2">
        <f ca="1"/>
        <v>69.299570491359361</v>
      </c>
      <c r="AG7944" s="2">
        <f ca="1"/>
        <v>0.13806144002779752</v>
      </c>
      <c r="AH7944" s="2" t="str">
        <f ca="1"/>
        <v>OK</v>
      </c>
    </row>
    <row r="7945" spans="2:34">
      <c r="B7945" s="2">
        <f ca="1"/>
        <v>0.36284245560414741</v>
      </c>
      <c r="O7945" s="2">
        <f ca="1"/>
        <v>1.2585992755948969</v>
      </c>
      <c r="X7945" s="2">
        <f ca="1"/>
        <v>64.974774858338435</v>
      </c>
      <c r="AG7945" s="2">
        <f ca="1"/>
        <v>0.27409961494896939</v>
      </c>
      <c r="AH7945" s="2" t="str">
        <f ca="1"/>
        <v>OK</v>
      </c>
    </row>
    <row r="7946" spans="2:34">
      <c r="B7946" s="2">
        <f ca="1"/>
        <v>0.52803891328190278</v>
      </c>
      <c r="O7946" s="2">
        <f ca="1"/>
        <v>0.30553001958141562</v>
      </c>
      <c r="X7946" s="2">
        <f ca="1"/>
        <v>58.771173927000021</v>
      </c>
      <c r="AG7946" s="2">
        <f ca="1"/>
        <v>0.51688712592556918</v>
      </c>
      <c r="AH7946" s="2" t="str">
        <f ca="1"/>
        <v>Bad</v>
      </c>
    </row>
    <row r="7947" spans="2:34">
      <c r="B7947" s="2">
        <f ca="1"/>
        <v>0.69985216913989268</v>
      </c>
      <c r="O7947" s="2">
        <f ca="1"/>
        <v>1.0094650753126591</v>
      </c>
      <c r="X7947" s="2">
        <f ca="1"/>
        <v>62.357510457347075</v>
      </c>
      <c r="AG7947" s="2">
        <f ca="1"/>
        <v>0.33579006332058237</v>
      </c>
      <c r="AH7947" s="2" t="str">
        <f ca="1"/>
        <v>OK</v>
      </c>
    </row>
    <row r="7948" spans="2:34">
      <c r="B7948" s="2">
        <f ca="1"/>
        <v>0.56377088916258367</v>
      </c>
      <c r="O7948" s="2">
        <f ca="1"/>
        <v>-0.8215105373216478</v>
      </c>
      <c r="X7948" s="2">
        <f ca="1"/>
        <v>36.57665699565473</v>
      </c>
      <c r="AG7948" s="2">
        <f ca="1"/>
        <v>0.90093015437614454</v>
      </c>
      <c r="AH7948" s="2" t="str">
        <f ca="1"/>
        <v>Bad</v>
      </c>
    </row>
    <row r="7949" spans="2:34">
      <c r="B7949" s="2">
        <f ca="1"/>
        <v>0.81726384132062369</v>
      </c>
      <c r="O7949" s="2">
        <f ca="1"/>
        <v>-0.25745489021659373</v>
      </c>
      <c r="X7949" s="2">
        <f ca="1"/>
        <v>67.162843729978263</v>
      </c>
      <c r="AG7949" s="2">
        <f ca="1"/>
        <v>0.49769416187879956</v>
      </c>
      <c r="AH7949" s="2" t="str">
        <f ca="1"/>
        <v>Bad</v>
      </c>
    </row>
    <row r="7950" spans="2:34">
      <c r="B7950" s="2">
        <f ca="1"/>
        <v>0.27695550462164098</v>
      </c>
      <c r="O7950" s="2">
        <f ca="1"/>
        <v>1.4212647932475317</v>
      </c>
      <c r="X7950" s="2">
        <f ca="1"/>
        <v>55.55965868057902</v>
      </c>
      <c r="AG7950" s="2">
        <f ca="1"/>
        <v>0.46864446418006511</v>
      </c>
      <c r="AH7950" s="2" t="str">
        <f ca="1"/>
        <v>Bad</v>
      </c>
    </row>
    <row r="7951" spans="2:34">
      <c r="B7951" s="2">
        <f ca="1"/>
        <v>0.41077948601815861</v>
      </c>
      <c r="O7951" s="2">
        <f ca="1"/>
        <v>1.9469669301695249</v>
      </c>
      <c r="X7951" s="2">
        <f ca="1"/>
        <v>26.693081753801863</v>
      </c>
      <c r="AG7951" s="2">
        <f ca="1"/>
        <v>0.4973454608431136</v>
      </c>
      <c r="AH7951" s="2" t="str">
        <f ca="1"/>
        <v>Bad</v>
      </c>
    </row>
    <row r="7952" spans="2:34">
      <c r="B7952" s="2">
        <f ca="1"/>
        <v>0.10148355564098654</v>
      </c>
      <c r="O7952" s="2">
        <f ca="1"/>
        <v>1.0460011486249428</v>
      </c>
      <c r="X7952" s="2">
        <f ca="1"/>
        <v>48.520827267842328</v>
      </c>
      <c r="AG7952" s="2">
        <f ca="1"/>
        <v>0.32704110968098865</v>
      </c>
      <c r="AH7952" s="2" t="str">
        <f ca="1"/>
        <v>OK</v>
      </c>
    </row>
    <row r="7953" spans="2:34">
      <c r="B7953" s="2">
        <f ca="1"/>
        <v>0.68758190022636811</v>
      </c>
      <c r="O7953" s="2">
        <f ca="1"/>
        <v>0.32141850072113348</v>
      </c>
      <c r="X7953" s="2">
        <f ca="1"/>
        <v>49.95982521237687</v>
      </c>
      <c r="AG7953" s="2">
        <f ca="1"/>
        <v>0.79618662660862594</v>
      </c>
      <c r="AH7953" s="2" t="str">
        <f ca="1"/>
        <v>Bad</v>
      </c>
    </row>
    <row r="7954" spans="2:34">
      <c r="B7954" s="2">
        <f ca="1"/>
        <v>0.36997837096844788</v>
      </c>
      <c r="O7954" s="2">
        <f ca="1"/>
        <v>1.774803860676146</v>
      </c>
      <c r="X7954" s="2">
        <f ca="1"/>
        <v>68.285048288185209</v>
      </c>
      <c r="AG7954" s="2">
        <f ca="1"/>
        <v>0.58075073823139389</v>
      </c>
      <c r="AH7954" s="2" t="str">
        <f ca="1"/>
        <v>Bad</v>
      </c>
    </row>
    <row r="7955" spans="2:34">
      <c r="B7955" s="2">
        <f ca="1"/>
        <v>5.4421425234516985E-2</v>
      </c>
      <c r="O7955" s="2">
        <f ca="1"/>
        <v>0.46221324734571045</v>
      </c>
      <c r="X7955" s="2">
        <f ca="1"/>
        <v>68.535949173582381</v>
      </c>
      <c r="AG7955" s="2">
        <f ca="1"/>
        <v>7.4393500128110412E-2</v>
      </c>
      <c r="AH7955" s="2" t="str">
        <f ca="1"/>
        <v>OK</v>
      </c>
    </row>
    <row r="7956" spans="2:34">
      <c r="B7956" s="2">
        <f ca="1"/>
        <v>0.32808081003555789</v>
      </c>
      <c r="O7956" s="2">
        <f ca="1"/>
        <v>-0.19546269747974282</v>
      </c>
      <c r="X7956" s="2">
        <f ca="1"/>
        <v>69.437604597410115</v>
      </c>
      <c r="AG7956" s="2">
        <f ca="1"/>
        <v>0.59533832586878543</v>
      </c>
      <c r="AH7956" s="2" t="str">
        <f ca="1"/>
        <v>Bad</v>
      </c>
    </row>
    <row r="7957" spans="2:34">
      <c r="B7957" s="2">
        <f ca="1"/>
        <v>3.5139720253517304E-2</v>
      </c>
      <c r="O7957" s="2">
        <f ca="1"/>
        <v>1.0821043384837177</v>
      </c>
      <c r="X7957" s="2">
        <f ca="1"/>
        <v>46.796485506744901</v>
      </c>
      <c r="AG7957" s="2">
        <f ca="1"/>
        <v>0.73289366764899389</v>
      </c>
      <c r="AH7957" s="2" t="str">
        <f ca="1"/>
        <v>Bad</v>
      </c>
    </row>
    <row r="7958" spans="2:34">
      <c r="B7958" s="2">
        <f ca="1"/>
        <v>0.86555327881507349</v>
      </c>
      <c r="O7958" s="2">
        <f ca="1"/>
        <v>-1.225424276351444</v>
      </c>
      <c r="X7958" s="2">
        <f ca="1"/>
        <v>58.255513748866193</v>
      </c>
      <c r="AG7958" s="2">
        <f ca="1"/>
        <v>0.62945101690546013</v>
      </c>
      <c r="AH7958" s="2" t="str">
        <f ca="1"/>
        <v>Bad</v>
      </c>
    </row>
    <row r="7959" spans="2:34">
      <c r="B7959" s="2">
        <f ca="1"/>
        <v>2.3454799455681075E-2</v>
      </c>
      <c r="O7959" s="2">
        <f ca="1"/>
        <v>0.44697991710157253</v>
      </c>
      <c r="X7959" s="2">
        <f ca="1"/>
        <v>70.283219147546347</v>
      </c>
      <c r="AG7959" s="2">
        <f ca="1"/>
        <v>0.70937994942960625</v>
      </c>
      <c r="AH7959" s="2" t="str">
        <f ca="1"/>
        <v>Bad</v>
      </c>
    </row>
    <row r="7960" spans="2:34">
      <c r="B7960" s="2">
        <f ca="1"/>
        <v>0.62680702285346235</v>
      </c>
      <c r="O7960" s="2">
        <f ca="1"/>
        <v>-0.97138867641664062</v>
      </c>
      <c r="X7960" s="2">
        <f ca="1"/>
        <v>47.853133609506273</v>
      </c>
      <c r="AG7960" s="2">
        <f ca="1"/>
        <v>0.95718331362857323</v>
      </c>
      <c r="AH7960" s="2" t="str">
        <f ca="1"/>
        <v>Bad</v>
      </c>
    </row>
    <row r="7961" spans="2:34">
      <c r="B7961" s="2">
        <f ca="1"/>
        <v>0.24971224849900464</v>
      </c>
      <c r="O7961" s="2">
        <f ca="1"/>
        <v>0.92199503538474525</v>
      </c>
      <c r="X7961" s="2">
        <f ca="1"/>
        <v>35.15426226915455</v>
      </c>
      <c r="AG7961" s="2">
        <f ca="1"/>
        <v>0.74189498670883047</v>
      </c>
      <c r="AH7961" s="2" t="str">
        <f ca="1"/>
        <v>Bad</v>
      </c>
    </row>
    <row r="7962" spans="2:34">
      <c r="B7962" s="2">
        <f ca="1"/>
        <v>0.21207179604241078</v>
      </c>
      <c r="O7962" s="2">
        <f ca="1"/>
        <v>-1.6386982490555986</v>
      </c>
      <c r="X7962" s="2">
        <f ca="1"/>
        <v>45.938115550677495</v>
      </c>
      <c r="AG7962" s="2">
        <f ca="1"/>
        <v>0.92633057608330627</v>
      </c>
      <c r="AH7962" s="2" t="str">
        <f ca="1"/>
        <v>Bad</v>
      </c>
    </row>
    <row r="7963" spans="2:34">
      <c r="B7963" s="2">
        <f ca="1"/>
        <v>0.83699265913381637</v>
      </c>
      <c r="O7963" s="2">
        <f ca="1"/>
        <v>0.3274501873026513</v>
      </c>
      <c r="X7963" s="2">
        <f ca="1"/>
        <v>51.28809753678425</v>
      </c>
      <c r="AG7963" s="2">
        <f ca="1"/>
        <v>1.959121363401839E-2</v>
      </c>
      <c r="AH7963" s="2" t="str">
        <f ca="1"/>
        <v>Good</v>
      </c>
    </row>
    <row r="7964" spans="2:34">
      <c r="B7964" s="2">
        <f ca="1"/>
        <v>0.7195585789614618</v>
      </c>
      <c r="O7964" s="2">
        <f ca="1"/>
        <v>-1.3746028347444743</v>
      </c>
      <c r="X7964" s="2">
        <f ca="1"/>
        <v>76.317611735462066</v>
      </c>
      <c r="AG7964" s="2">
        <f ca="1"/>
        <v>0.11507899414922274</v>
      </c>
      <c r="AH7964" s="2" t="str">
        <f ca="1"/>
        <v>OK</v>
      </c>
    </row>
    <row r="7965" spans="2:34">
      <c r="B7965" s="2">
        <f ca="1"/>
        <v>0.98329113439009719</v>
      </c>
      <c r="O7965" s="2">
        <f ca="1"/>
        <v>0.61568099783117669</v>
      </c>
      <c r="X7965" s="2">
        <f ca="1"/>
        <v>52.043965892548783</v>
      </c>
      <c r="AG7965" s="2">
        <f ca="1"/>
        <v>0.23377758220345557</v>
      </c>
      <c r="AH7965" s="2" t="str">
        <f ca="1"/>
        <v>OK</v>
      </c>
    </row>
    <row r="7966" spans="2:34">
      <c r="B7966" s="2">
        <f ca="1"/>
        <v>0.62437549350096821</v>
      </c>
      <c r="O7966" s="2">
        <f ca="1"/>
        <v>0.95510446903612278</v>
      </c>
      <c r="X7966" s="2">
        <f ca="1"/>
        <v>64.825708299118546</v>
      </c>
      <c r="AG7966" s="2">
        <f ca="1"/>
        <v>0.6112928992290052</v>
      </c>
      <c r="AH7966" s="2" t="str">
        <f ca="1"/>
        <v>Bad</v>
      </c>
    </row>
    <row r="7967" spans="2:34">
      <c r="B7967" s="2">
        <f ca="1"/>
        <v>0.32015132187425199</v>
      </c>
      <c r="O7967" s="2">
        <f ca="1"/>
        <v>0.4482745612408533</v>
      </c>
      <c r="X7967" s="2">
        <f ca="1"/>
        <v>53.925693203235156</v>
      </c>
      <c r="AG7967" s="2">
        <f ca="1"/>
        <v>0.2827384798180026</v>
      </c>
      <c r="AH7967" s="2" t="str">
        <f ca="1"/>
        <v>OK</v>
      </c>
    </row>
    <row r="7968" spans="2:34">
      <c r="B7968" s="2">
        <f ca="1"/>
        <v>0.59063836632875022</v>
      </c>
      <c r="O7968" s="2">
        <f ca="1"/>
        <v>-0.79217428349071473</v>
      </c>
      <c r="X7968" s="2">
        <f ca="1"/>
        <v>82.823444885671194</v>
      </c>
      <c r="AG7968" s="2">
        <f ca="1"/>
        <v>0.39508543137973984</v>
      </c>
      <c r="AH7968" s="2" t="str">
        <f ca="1"/>
        <v>OK</v>
      </c>
    </row>
    <row r="7969" spans="2:34">
      <c r="B7969" s="2">
        <f ca="1"/>
        <v>0.77254028778036798</v>
      </c>
      <c r="O7969" s="2">
        <f ca="1"/>
        <v>1.1613385317036879</v>
      </c>
      <c r="X7969" s="2">
        <f ca="1"/>
        <v>46.492096001890097</v>
      </c>
      <c r="AG7969" s="2">
        <f ca="1"/>
        <v>0.44251585264920057</v>
      </c>
      <c r="AH7969" s="2" t="str">
        <f ca="1"/>
        <v>Bad</v>
      </c>
    </row>
    <row r="7970" spans="2:34">
      <c r="B7970" s="2">
        <f ca="1"/>
        <v>0.20823629442024361</v>
      </c>
      <c r="O7970" s="2">
        <f ca="1"/>
        <v>-1.0638996920227768</v>
      </c>
      <c r="X7970" s="2">
        <f ca="1"/>
        <v>30.356761954966451</v>
      </c>
      <c r="AG7970" s="2">
        <f ca="1"/>
        <v>0.22776613906867116</v>
      </c>
      <c r="AH7970" s="2" t="str">
        <f ca="1"/>
        <v>OK</v>
      </c>
    </row>
    <row r="7971" spans="2:34">
      <c r="B7971" s="2">
        <f ca="1"/>
        <v>0.76594973591522519</v>
      </c>
      <c r="O7971" s="2">
        <f ca="1"/>
        <v>1.0002429990678317</v>
      </c>
      <c r="X7971" s="2">
        <f ca="1"/>
        <v>74.143876176269927</v>
      </c>
      <c r="AG7971" s="2">
        <f ca="1"/>
        <v>0.86609849831510743</v>
      </c>
      <c r="AH7971" s="2" t="str">
        <f ca="1"/>
        <v>Bad</v>
      </c>
    </row>
    <row r="7972" spans="2:34">
      <c r="B7972" s="2">
        <f ca="1"/>
        <v>0.70952948646067071</v>
      </c>
      <c r="O7972" s="2">
        <f ca="1"/>
        <v>-1.4055269982979548</v>
      </c>
      <c r="X7972" s="2">
        <f ca="1"/>
        <v>38.32200158785006</v>
      </c>
      <c r="AG7972" s="2">
        <f ca="1"/>
        <v>0.88041111006550365</v>
      </c>
      <c r="AH7972" s="2" t="str">
        <f ca="1"/>
        <v>Bad</v>
      </c>
    </row>
    <row r="7973" spans="2:34">
      <c r="B7973" s="2">
        <f ca="1"/>
        <v>0.15817369555991778</v>
      </c>
      <c r="O7973" s="2">
        <f ca="1"/>
        <v>0.80115470948481815</v>
      </c>
      <c r="X7973" s="2">
        <f ca="1"/>
        <v>58.732057123747524</v>
      </c>
      <c r="AG7973" s="2">
        <f ca="1"/>
        <v>0.37733463814086754</v>
      </c>
      <c r="AH7973" s="2" t="str">
        <f ca="1"/>
        <v>OK</v>
      </c>
    </row>
    <row r="7974" spans="2:34">
      <c r="B7974" s="2">
        <f ca="1"/>
        <v>0.72488086905177629</v>
      </c>
      <c r="O7974" s="2">
        <f ca="1"/>
        <v>-0.28375100663027053</v>
      </c>
      <c r="X7974" s="2">
        <f ca="1"/>
        <v>36.641865794627144</v>
      </c>
      <c r="AG7974" s="2">
        <f ca="1"/>
        <v>0.64091513891145757</v>
      </c>
      <c r="AH7974" s="2" t="str">
        <f ca="1"/>
        <v>Bad</v>
      </c>
    </row>
    <row r="7975" spans="2:34">
      <c r="B7975" s="2">
        <f ca="1"/>
        <v>0.38380758684879535</v>
      </c>
      <c r="O7975" s="2">
        <f ca="1"/>
        <v>-1.11117660418807</v>
      </c>
      <c r="X7975" s="2">
        <f ca="1"/>
        <v>38.08836344406005</v>
      </c>
      <c r="AG7975" s="2">
        <f ca="1"/>
        <v>0.17841099175856456</v>
      </c>
      <c r="AH7975" s="2" t="str">
        <f ca="1"/>
        <v>OK</v>
      </c>
    </row>
    <row r="7976" spans="2:34">
      <c r="B7976" s="2">
        <f ca="1"/>
        <v>0.99350984331172443</v>
      </c>
      <c r="O7976" s="2">
        <f ca="1"/>
        <v>-0.81516010892704793</v>
      </c>
      <c r="X7976" s="2">
        <f ca="1"/>
        <v>84.003947094502053</v>
      </c>
      <c r="AG7976" s="2">
        <f ca="1"/>
        <v>6.5407719464280811E-2</v>
      </c>
      <c r="AH7976" s="2" t="str">
        <f ca="1"/>
        <v>OK</v>
      </c>
    </row>
    <row r="7977" spans="2:34">
      <c r="B7977" s="2">
        <f ca="1"/>
        <v>0.35077325143881044</v>
      </c>
      <c r="O7977" s="2">
        <f ca="1"/>
        <v>0.15297049241887622</v>
      </c>
      <c r="X7977" s="2">
        <f ca="1"/>
        <v>38.513073409785157</v>
      </c>
      <c r="AG7977" s="2">
        <f ca="1"/>
        <v>0.68987576453620081</v>
      </c>
      <c r="AH7977" s="2" t="str">
        <f ca="1"/>
        <v>Bad</v>
      </c>
    </row>
    <row r="7978" spans="2:34">
      <c r="B7978" s="2">
        <f ca="1"/>
        <v>7.0479000114288537E-2</v>
      </c>
      <c r="O7978" s="2">
        <f ca="1"/>
        <v>-0.60739073319824033</v>
      </c>
      <c r="X7978" s="2">
        <f ca="1"/>
        <v>63.20896762992647</v>
      </c>
      <c r="AG7978" s="2">
        <f ca="1"/>
        <v>0.93244648139487496</v>
      </c>
      <c r="AH7978" s="2" t="str">
        <f ca="1"/>
        <v>Bad</v>
      </c>
    </row>
    <row r="7979" spans="2:34">
      <c r="B7979" s="2">
        <f ca="1"/>
        <v>0.9048742828464742</v>
      </c>
      <c r="O7979" s="2">
        <f ca="1"/>
        <v>0.17175476331648282</v>
      </c>
      <c r="X7979" s="2">
        <f ca="1"/>
        <v>38.897526996157595</v>
      </c>
      <c r="AG7979" s="2">
        <f ca="1"/>
        <v>0.52347847111120083</v>
      </c>
      <c r="AH7979" s="2" t="str">
        <f ca="1"/>
        <v>Bad</v>
      </c>
    </row>
    <row r="7980" spans="2:34">
      <c r="B7980" s="2">
        <f ca="1"/>
        <v>0.79245030181091369</v>
      </c>
      <c r="O7980" s="2">
        <f ca="1"/>
        <v>-0.7017420193772258</v>
      </c>
      <c r="X7980" s="2">
        <f ca="1"/>
        <v>57.198197773064294</v>
      </c>
      <c r="AG7980" s="2">
        <f ca="1"/>
        <v>0.19676353742335451</v>
      </c>
      <c r="AH7980" s="2" t="str">
        <f ca="1"/>
        <v>OK</v>
      </c>
    </row>
    <row r="7981" spans="2:34">
      <c r="B7981" s="2">
        <f ca="1"/>
        <v>0.31657142247168069</v>
      </c>
      <c r="O7981" s="2">
        <f ca="1"/>
        <v>2.2779504104248759E-3</v>
      </c>
      <c r="X7981" s="2">
        <f ca="1"/>
        <v>80.451723616391163</v>
      </c>
      <c r="AG7981" s="2">
        <f ca="1"/>
        <v>0.48277839822507262</v>
      </c>
      <c r="AH7981" s="2" t="str">
        <f ca="1"/>
        <v>Bad</v>
      </c>
    </row>
    <row r="7982" spans="2:34">
      <c r="B7982" s="2">
        <f ca="1"/>
        <v>0.57913599982893804</v>
      </c>
      <c r="O7982" s="2">
        <f ca="1"/>
        <v>5.7125248627258882E-3</v>
      </c>
      <c r="X7982" s="2">
        <f ca="1"/>
        <v>52.873443266474226</v>
      </c>
      <c r="AG7982" s="2">
        <f ca="1"/>
        <v>0.33714334944587487</v>
      </c>
      <c r="AH7982" s="2" t="str">
        <f ca="1"/>
        <v>OK</v>
      </c>
    </row>
    <row r="7983" spans="2:34">
      <c r="B7983" s="2">
        <f ca="1"/>
        <v>0.73243415765263009</v>
      </c>
      <c r="O7983" s="2">
        <f ca="1"/>
        <v>-1.3871003283350629</v>
      </c>
      <c r="X7983" s="2">
        <f ca="1"/>
        <v>58.080689792808727</v>
      </c>
      <c r="AG7983" s="2">
        <f ca="1"/>
        <v>7.1590707012388233E-2</v>
      </c>
      <c r="AH7983" s="2" t="str">
        <f ca="1"/>
        <v>OK</v>
      </c>
    </row>
    <row r="7984" spans="2:34">
      <c r="B7984" s="2">
        <f ca="1"/>
        <v>0.24312119452371017</v>
      </c>
      <c r="O7984" s="2">
        <f ca="1"/>
        <v>0.2822533068278168</v>
      </c>
      <c r="X7984" s="2">
        <f ca="1"/>
        <v>58.969827256848937</v>
      </c>
      <c r="AG7984" s="2">
        <f ca="1"/>
        <v>0.34185622117989634</v>
      </c>
      <c r="AH7984" s="2" t="str">
        <f ca="1"/>
        <v>OK</v>
      </c>
    </row>
    <row r="7985" spans="2:34">
      <c r="B7985" s="2">
        <f ca="1"/>
        <v>0.44173863381627232</v>
      </c>
      <c r="O7985" s="2">
        <f ca="1"/>
        <v>-0.15156612135037584</v>
      </c>
      <c r="X7985" s="2">
        <f ca="1"/>
        <v>45.376959617088076</v>
      </c>
      <c r="AG7985" s="2">
        <f ca="1"/>
        <v>0.50695209173305789</v>
      </c>
      <c r="AH7985" s="2" t="str">
        <f ca="1"/>
        <v>Bad</v>
      </c>
    </row>
    <row r="7986" spans="2:34">
      <c r="B7986" s="2">
        <f ca="1"/>
        <v>0.95698896057657001</v>
      </c>
      <c r="O7986" s="2">
        <f ca="1"/>
        <v>-0.23840768188429581</v>
      </c>
      <c r="X7986" s="2">
        <f ca="1"/>
        <v>77.387886348177148</v>
      </c>
      <c r="AG7986" s="2">
        <f ca="1"/>
        <v>0.99052986940639465</v>
      </c>
      <c r="AH7986" s="2" t="str">
        <f ca="1"/>
        <v>Bad</v>
      </c>
    </row>
    <row r="7987" spans="2:34">
      <c r="B7987" s="2">
        <f ca="1"/>
        <v>0.69196946912247004</v>
      </c>
      <c r="O7987" s="2">
        <f ca="1"/>
        <v>-0.78565261239290662</v>
      </c>
      <c r="X7987" s="2">
        <f ca="1"/>
        <v>60.749476439124791</v>
      </c>
      <c r="AG7987" s="2">
        <f ca="1"/>
        <v>0.19502076262367396</v>
      </c>
      <c r="AH7987" s="2" t="str">
        <f ca="1"/>
        <v>OK</v>
      </c>
    </row>
    <row r="7988" spans="2:34">
      <c r="B7988" s="2">
        <f ca="1"/>
        <v>0.35457292235425308</v>
      </c>
      <c r="O7988" s="2">
        <f ca="1"/>
        <v>2.1609350403436278</v>
      </c>
      <c r="X7988" s="2">
        <f ca="1"/>
        <v>54.209577247505877</v>
      </c>
      <c r="AG7988" s="2">
        <f ca="1"/>
        <v>0.5672038065074354</v>
      </c>
      <c r="AH7988" s="2" t="str">
        <f ca="1"/>
        <v>Bad</v>
      </c>
    </row>
    <row r="7989" spans="2:34">
      <c r="B7989" s="2">
        <f ca="1"/>
        <v>0.84950715306429658</v>
      </c>
      <c r="O7989" s="2">
        <f ca="1"/>
        <v>-0.90231675553235202</v>
      </c>
      <c r="X7989" s="2">
        <f ca="1"/>
        <v>47.435672469693657</v>
      </c>
      <c r="AG7989" s="2">
        <f ca="1"/>
        <v>0.4706324827578956</v>
      </c>
      <c r="AH7989" s="2" t="str">
        <f ca="1"/>
        <v>Bad</v>
      </c>
    </row>
    <row r="7990" spans="2:34">
      <c r="B7990" s="2">
        <f ca="1"/>
        <v>0.36263363188179443</v>
      </c>
      <c r="O7990" s="2">
        <f ca="1"/>
        <v>0.22729969968239908</v>
      </c>
      <c r="X7990" s="2">
        <f ca="1"/>
        <v>67.564010717734476</v>
      </c>
      <c r="AG7990" s="2">
        <f ca="1"/>
        <v>0.84305339814580926</v>
      </c>
      <c r="AH7990" s="2" t="str">
        <f ca="1"/>
        <v>Bad</v>
      </c>
    </row>
    <row r="7991" spans="2:34">
      <c r="B7991" s="2">
        <f ca="1"/>
        <v>2.9953512640421787E-2</v>
      </c>
      <c r="O7991" s="2">
        <f ca="1"/>
        <v>1.8015143130347433</v>
      </c>
      <c r="X7991" s="2">
        <f ca="1"/>
        <v>57.807475242610579</v>
      </c>
      <c r="AG7991" s="2">
        <f ca="1"/>
        <v>0.82860406591567082</v>
      </c>
      <c r="AH7991" s="2" t="str">
        <f ca="1"/>
        <v>Bad</v>
      </c>
    </row>
    <row r="7992" spans="2:34">
      <c r="B7992" s="2">
        <f ca="1"/>
        <v>0.86464729328396683</v>
      </c>
      <c r="O7992" s="2">
        <f ca="1"/>
        <v>-2.9955792351596497</v>
      </c>
      <c r="X7992" s="2">
        <f ca="1"/>
        <v>23.408494676698748</v>
      </c>
      <c r="AG7992" s="2">
        <f ca="1"/>
        <v>2.9944974805510283E-2</v>
      </c>
      <c r="AH7992" s="2" t="str">
        <f ca="1"/>
        <v>Good</v>
      </c>
    </row>
    <row r="7993" spans="2:34">
      <c r="B7993" s="2">
        <f ca="1"/>
        <v>0.95233374842016949</v>
      </c>
      <c r="O7993" s="2">
        <f ca="1"/>
        <v>5.2452225496314335E-2</v>
      </c>
      <c r="X7993" s="2">
        <f ca="1"/>
        <v>41.875934681976055</v>
      </c>
      <c r="AG7993" s="2">
        <f ca="1"/>
        <v>0.2798958070210853</v>
      </c>
      <c r="AH7993" s="2" t="str">
        <f ca="1"/>
        <v>OK</v>
      </c>
    </row>
    <row r="7994" spans="2:34">
      <c r="B7994" s="2">
        <f ca="1"/>
        <v>4.9646029015645965E-2</v>
      </c>
      <c r="O7994" s="2">
        <f ca="1"/>
        <v>0.57073722890293721</v>
      </c>
      <c r="X7994" s="2">
        <f ca="1"/>
        <v>44.081088490952077</v>
      </c>
      <c r="AG7994" s="2">
        <f ca="1"/>
        <v>0.82400615519234388</v>
      </c>
      <c r="AH7994" s="2" t="str">
        <f ca="1"/>
        <v>Bad</v>
      </c>
    </row>
    <row r="7995" spans="2:34">
      <c r="B7995" s="2">
        <f ca="1"/>
        <v>0.84008447833219546</v>
      </c>
      <c r="O7995" s="2">
        <f ca="1"/>
        <v>-2.3251699860047896</v>
      </c>
      <c r="X7995" s="2">
        <f ca="1"/>
        <v>75.300306715922062</v>
      </c>
      <c r="AG7995" s="2">
        <f ca="1"/>
        <v>0.71828918667888897</v>
      </c>
      <c r="AH7995" s="2" t="str">
        <f ca="1"/>
        <v>Bad</v>
      </c>
    </row>
    <row r="7996" spans="2:34">
      <c r="B7996" s="2">
        <f ca="1"/>
        <v>0.54475064902954418</v>
      </c>
      <c r="O7996" s="2">
        <f ca="1"/>
        <v>0.24765496031503212</v>
      </c>
      <c r="X7996" s="2">
        <f ca="1"/>
        <v>72.053657427799621</v>
      </c>
      <c r="AG7996" s="2">
        <f ca="1"/>
        <v>4.6105096430634873E-2</v>
      </c>
      <c r="AH7996" s="2" t="str">
        <f ca="1"/>
        <v>Good</v>
      </c>
    </row>
    <row r="7997" spans="2:34">
      <c r="B7997" s="2">
        <f ca="1"/>
        <v>0.67163874885169617</v>
      </c>
      <c r="O7997" s="2">
        <f ca="1"/>
        <v>0.52006067845904214</v>
      </c>
      <c r="X7997" s="2">
        <f ca="1"/>
        <v>32.375664788184729</v>
      </c>
      <c r="AG7997" s="2">
        <f ca="1"/>
        <v>0.13668307704467941</v>
      </c>
      <c r="AH7997" s="2" t="str">
        <f ca="1"/>
        <v>OK</v>
      </c>
    </row>
    <row r="7998" spans="2:34">
      <c r="B7998" s="2">
        <f ca="1"/>
        <v>0.12062507698152758</v>
      </c>
      <c r="O7998" s="2">
        <f ca="1"/>
        <v>6.8221644160651407E-2</v>
      </c>
      <c r="X7998" s="2">
        <f ca="1"/>
        <v>36.635647662960451</v>
      </c>
      <c r="AG7998" s="2">
        <f ca="1"/>
        <v>0.88708256159012278</v>
      </c>
      <c r="AH7998" s="2" t="str">
        <f ca="1"/>
        <v>Bad</v>
      </c>
    </row>
    <row r="7999" spans="2:34">
      <c r="B7999" s="2">
        <f ca="1"/>
        <v>0.91034093695105867</v>
      </c>
      <c r="O7999" s="2">
        <f ca="1"/>
        <v>1.3852598991900338</v>
      </c>
      <c r="X7999" s="2">
        <f ca="1"/>
        <v>70.410128781087124</v>
      </c>
      <c r="AG7999" s="2">
        <f ca="1"/>
        <v>4.3558761016959657E-4</v>
      </c>
      <c r="AH7999" s="2" t="str">
        <f ca="1"/>
        <v>Good</v>
      </c>
    </row>
    <row r="8000" spans="2:34">
      <c r="B8000" s="2">
        <f ca="1"/>
        <v>0.65170627095913769</v>
      </c>
      <c r="O8000" s="2">
        <f ca="1"/>
        <v>-0.85171769817363774</v>
      </c>
      <c r="X8000" s="2">
        <f ca="1"/>
        <v>30.381326798351914</v>
      </c>
      <c r="AG8000" s="2">
        <f ca="1"/>
        <v>0.32483741614510109</v>
      </c>
      <c r="AH8000" s="2" t="str">
        <f ca="1"/>
        <v>OK</v>
      </c>
    </row>
    <row r="8001" spans="2:34">
      <c r="B8001" s="2">
        <f ca="1"/>
        <v>0.36978696030115921</v>
      </c>
      <c r="O8001" s="2">
        <f ca="1"/>
        <v>-0.31148417053554284</v>
      </c>
      <c r="X8001" s="2">
        <f ca="1"/>
        <v>59.771665289766048</v>
      </c>
      <c r="AG8001" s="2">
        <f ca="1"/>
        <v>0.81396854282257936</v>
      </c>
      <c r="AH8001" s="2" t="str">
        <f ca="1"/>
        <v>Bad</v>
      </c>
    </row>
    <row r="8002" spans="2:34">
      <c r="B8002" s="2">
        <f ca="1"/>
        <v>0.17328273364236968</v>
      </c>
      <c r="O8002" s="2">
        <f ca="1"/>
        <v>-2.0827471428695752</v>
      </c>
      <c r="X8002" s="2">
        <f ca="1"/>
        <v>53.627452693232399</v>
      </c>
      <c r="AG8002" s="2">
        <f ca="1"/>
        <v>0.90488544909281932</v>
      </c>
      <c r="AH8002" s="2" t="str">
        <f ca="1"/>
        <v>Bad</v>
      </c>
    </row>
    <row r="8003" spans="2:34">
      <c r="B8003" s="2">
        <f ca="1"/>
        <v>0.22757779598928574</v>
      </c>
      <c r="O8003" s="2">
        <f ca="1"/>
        <v>-0.99313448686433625</v>
      </c>
      <c r="X8003" s="2">
        <f ca="1"/>
        <v>40.046856617257603</v>
      </c>
      <c r="AG8003" s="2">
        <f ca="1"/>
        <v>1.6875073920428862E-2</v>
      </c>
      <c r="AH8003" s="2" t="str">
        <f ca="1"/>
        <v>Good</v>
      </c>
    </row>
    <row r="8004" spans="2:34">
      <c r="B8004" s="2">
        <f ca="1"/>
        <v>0.42898038211344791</v>
      </c>
      <c r="O8004" s="2">
        <f ca="1"/>
        <v>1.2277809217370359</v>
      </c>
      <c r="X8004" s="2">
        <f ca="1"/>
        <v>43.175905264595109</v>
      </c>
      <c r="AG8004" s="2">
        <f ca="1"/>
        <v>0.43315173595416501</v>
      </c>
      <c r="AH8004" s="2" t="str">
        <f ca="1"/>
        <v>Bad</v>
      </c>
    </row>
    <row r="8005" spans="2:34">
      <c r="B8005" s="2">
        <f ca="1"/>
        <v>0.21206145963874889</v>
      </c>
      <c r="O8005" s="2">
        <f ca="1"/>
        <v>-0.30554767082975259</v>
      </c>
      <c r="X8005" s="2">
        <f ca="1"/>
        <v>53.950503637481894</v>
      </c>
      <c r="AG8005" s="2">
        <f ca="1"/>
        <v>0.60085200747404532</v>
      </c>
      <c r="AH8005" s="2" t="str">
        <f ca="1"/>
        <v>Bad</v>
      </c>
    </row>
    <row r="8006" spans="2:34">
      <c r="B8006" s="2">
        <f ca="1"/>
        <v>0.44301046208636063</v>
      </c>
      <c r="O8006" s="2">
        <f ca="1"/>
        <v>0.18236953230600433</v>
      </c>
      <c r="X8006" s="2">
        <f ca="1"/>
        <v>47.972916422238853</v>
      </c>
      <c r="AG8006" s="2">
        <f ca="1"/>
        <v>0.88198057843481625</v>
      </c>
      <c r="AH8006" s="2" t="str">
        <f ca="1"/>
        <v>Bad</v>
      </c>
    </row>
    <row r="8007" spans="2:34">
      <c r="B8007" s="2">
        <f ca="1"/>
        <v>0.81042542525806094</v>
      </c>
      <c r="O8007" s="2">
        <f ca="1"/>
        <v>-0.17458323442029555</v>
      </c>
      <c r="X8007" s="2">
        <f ca="1"/>
        <v>61.549381326470076</v>
      </c>
      <c r="AG8007" s="2">
        <f ca="1"/>
        <v>0.34671564672975697</v>
      </c>
      <c r="AH8007" s="2" t="str">
        <f ca="1"/>
        <v>OK</v>
      </c>
    </row>
    <row r="8008" spans="2:34">
      <c r="B8008" s="2">
        <f ca="1"/>
        <v>0.83816037615593153</v>
      </c>
      <c r="O8008" s="2">
        <f ca="1"/>
        <v>-1.752579198701908E-2</v>
      </c>
      <c r="X8008" s="2">
        <f ca="1"/>
        <v>49.425864102266324</v>
      </c>
      <c r="AG8008" s="2">
        <f ca="1"/>
        <v>6.0128074015609156E-2</v>
      </c>
      <c r="AH8008" s="2" t="str">
        <f ca="1"/>
        <v>OK</v>
      </c>
    </row>
    <row r="8009" spans="2:34">
      <c r="B8009" s="2">
        <f ca="1"/>
        <v>0.86499144085335322</v>
      </c>
      <c r="O8009" s="2">
        <f ca="1"/>
        <v>0.95876652248663496</v>
      </c>
      <c r="X8009" s="2">
        <f ca="1"/>
        <v>28.933704462316662</v>
      </c>
      <c r="AG8009" s="2">
        <f ca="1"/>
        <v>0.59937668832645574</v>
      </c>
      <c r="AH8009" s="2" t="str">
        <f ca="1"/>
        <v>Bad</v>
      </c>
    </row>
    <row r="8010" spans="2:34">
      <c r="B8010" s="2">
        <f ca="1"/>
        <v>0.32300135888316817</v>
      </c>
      <c r="O8010" s="2">
        <f ca="1"/>
        <v>2.1523019869970099</v>
      </c>
      <c r="X8010" s="2">
        <f ca="1"/>
        <v>78.25097523944622</v>
      </c>
      <c r="AG8010" s="2">
        <f ca="1"/>
        <v>0.7349118623396671</v>
      </c>
      <c r="AH8010" s="2" t="str">
        <f ca="1"/>
        <v>Bad</v>
      </c>
    </row>
    <row r="8011" spans="2:34">
      <c r="B8011" s="2">
        <f ca="1"/>
        <v>0.18335896903525328</v>
      </c>
      <c r="O8011" s="2">
        <f ca="1"/>
        <v>-1.3329429333791625</v>
      </c>
      <c r="X8011" s="2">
        <f ca="1"/>
        <v>52.04338782213226</v>
      </c>
      <c r="AG8011" s="2">
        <f ca="1"/>
        <v>0.21964480170355261</v>
      </c>
      <c r="AH8011" s="2" t="str">
        <f ca="1"/>
        <v>OK</v>
      </c>
    </row>
    <row r="8012" spans="2:34">
      <c r="B8012" s="2">
        <f ca="1"/>
        <v>0.71275343532283286</v>
      </c>
      <c r="O8012" s="2">
        <f ca="1"/>
        <v>1.6968971328163009</v>
      </c>
      <c r="X8012" s="2">
        <f ca="1"/>
        <v>53.6768124204022</v>
      </c>
      <c r="AG8012" s="2">
        <f ca="1"/>
        <v>0.71398101889863019</v>
      </c>
      <c r="AH8012" s="2" t="str">
        <f ca="1"/>
        <v>Bad</v>
      </c>
    </row>
    <row r="8013" spans="2:34">
      <c r="B8013" s="2">
        <f ca="1"/>
        <v>9.1869218800673336E-2</v>
      </c>
      <c r="O8013" s="2">
        <f ca="1"/>
        <v>2.4172006557373065</v>
      </c>
      <c r="X8013" s="2">
        <f ca="1"/>
        <v>39.881900232287506</v>
      </c>
      <c r="AG8013" s="2">
        <f ca="1"/>
        <v>0.31984236464844118</v>
      </c>
      <c r="AH8013" s="2" t="str">
        <f ca="1"/>
        <v>OK</v>
      </c>
    </row>
    <row r="8014" spans="2:34">
      <c r="B8014" s="2">
        <f ca="1"/>
        <v>0.20631975773218403</v>
      </c>
      <c r="O8014" s="2">
        <f ca="1"/>
        <v>-7.1556421497232944E-2</v>
      </c>
      <c r="X8014" s="2">
        <f ca="1"/>
        <v>40.867183044428657</v>
      </c>
      <c r="AG8014" s="2">
        <f ca="1"/>
        <v>0.13490080283303851</v>
      </c>
      <c r="AH8014" s="2" t="str">
        <f ca="1"/>
        <v>OK</v>
      </c>
    </row>
    <row r="8015" spans="2:34">
      <c r="B8015" s="2">
        <f ca="1"/>
        <v>0.67047262464089918</v>
      </c>
      <c r="O8015" s="2">
        <f ca="1"/>
        <v>1.9054444035959666</v>
      </c>
      <c r="X8015" s="2">
        <f ca="1"/>
        <v>71.50109227943932</v>
      </c>
      <c r="AG8015" s="2">
        <f ca="1"/>
        <v>0.23298740862670098</v>
      </c>
      <c r="AH8015" s="2" t="str">
        <f ca="1"/>
        <v>OK</v>
      </c>
    </row>
    <row r="8016" spans="2:34">
      <c r="B8016" s="2">
        <f ca="1"/>
        <v>0.58304437222740613</v>
      </c>
      <c r="O8016" s="2">
        <f ca="1"/>
        <v>-1.8710891659864242</v>
      </c>
      <c r="X8016" s="2">
        <f ca="1"/>
        <v>47.542499098233165</v>
      </c>
      <c r="AG8016" s="2">
        <f ca="1"/>
        <v>0.89170482299411491</v>
      </c>
      <c r="AH8016" s="2" t="str">
        <f ca="1"/>
        <v>Bad</v>
      </c>
    </row>
    <row r="8017" spans="2:34">
      <c r="B8017" s="2">
        <f ca="1"/>
        <v>0.29011650370123099</v>
      </c>
      <c r="O8017" s="2">
        <f ca="1"/>
        <v>1.6171252017841469</v>
      </c>
      <c r="X8017" s="2">
        <f ca="1"/>
        <v>78.969211361521886</v>
      </c>
      <c r="AG8017" s="2">
        <f ca="1"/>
        <v>0.74019072810337017</v>
      </c>
      <c r="AH8017" s="2" t="str">
        <f ca="1"/>
        <v>Bad</v>
      </c>
    </row>
    <row r="8018" spans="2:34">
      <c r="B8018" s="2">
        <f ca="1"/>
        <v>0.82802034735448449</v>
      </c>
      <c r="O8018" s="2">
        <f ca="1"/>
        <v>0.64137816923684654</v>
      </c>
      <c r="X8018" s="2">
        <f ca="1"/>
        <v>44.730387650472991</v>
      </c>
      <c r="AG8018" s="2">
        <f ca="1"/>
        <v>0.81619798713370728</v>
      </c>
      <c r="AH8018" s="2" t="str">
        <f ca="1"/>
        <v>Bad</v>
      </c>
    </row>
    <row r="8019" spans="2:34">
      <c r="B8019" s="2">
        <f ca="1"/>
        <v>0.83989284124625363</v>
      </c>
      <c r="O8019" s="2">
        <f ca="1"/>
        <v>-0.81823162487630807</v>
      </c>
      <c r="X8019" s="2">
        <f ca="1"/>
        <v>34.472116400961781</v>
      </c>
      <c r="AG8019" s="2">
        <f ca="1"/>
        <v>0.67329920083653505</v>
      </c>
      <c r="AH8019" s="2" t="str">
        <f ca="1"/>
        <v>Bad</v>
      </c>
    </row>
    <row r="8020" spans="2:34">
      <c r="B8020" s="2">
        <f ca="1"/>
        <v>0.24920410092643586</v>
      </c>
      <c r="O8020" s="2">
        <f ca="1"/>
        <v>0.41470685751081665</v>
      </c>
      <c r="X8020" s="2">
        <f ca="1"/>
        <v>71.894347994159389</v>
      </c>
      <c r="AG8020" s="2">
        <f ca="1"/>
        <v>0.85671893403727828</v>
      </c>
      <c r="AH8020" s="2" t="str">
        <f ca="1"/>
        <v>Bad</v>
      </c>
    </row>
    <row r="8021" spans="2:34">
      <c r="B8021" s="2">
        <f ca="1"/>
        <v>0.19357407308210761</v>
      </c>
      <c r="O8021" s="2">
        <f ca="1"/>
        <v>-9.4240549940449517E-3</v>
      </c>
      <c r="X8021" s="2">
        <f ca="1"/>
        <v>79.974334207725974</v>
      </c>
      <c r="AG8021" s="2">
        <f ca="1"/>
        <v>0.1138731968711757</v>
      </c>
      <c r="AH8021" s="2" t="str">
        <f ca="1"/>
        <v>OK</v>
      </c>
    </row>
    <row r="8022" spans="2:34">
      <c r="B8022" s="2">
        <f ca="1"/>
        <v>0.52723487871016528</v>
      </c>
      <c r="O8022" s="2">
        <f ca="1"/>
        <v>0.48404135023345191</v>
      </c>
      <c r="X8022" s="2">
        <f ca="1"/>
        <v>50.013079384661751</v>
      </c>
      <c r="AG8022" s="2">
        <f ca="1"/>
        <v>0.68195166070344815</v>
      </c>
      <c r="AH8022" s="2" t="str">
        <f ca="1"/>
        <v>Bad</v>
      </c>
    </row>
    <row r="8023" spans="2:34">
      <c r="B8023" s="2">
        <f ca="1"/>
        <v>0.41563933765026606</v>
      </c>
      <c r="O8023" s="2">
        <f ca="1"/>
        <v>-0.48605665272239479</v>
      </c>
      <c r="X8023" s="2">
        <f ca="1"/>
        <v>56.888421984408296</v>
      </c>
      <c r="AG8023" s="2">
        <f ca="1"/>
        <v>0.28568167361340602</v>
      </c>
      <c r="AH8023" s="2" t="str">
        <f ca="1"/>
        <v>OK</v>
      </c>
    </row>
    <row r="8024" spans="2:34">
      <c r="B8024" s="2">
        <f ca="1"/>
        <v>0.36141170515280874</v>
      </c>
      <c r="O8024" s="2">
        <f ca="1"/>
        <v>1.3229830017916213</v>
      </c>
      <c r="X8024" s="2">
        <f ca="1"/>
        <v>35.796777559576022</v>
      </c>
      <c r="AG8024" s="2">
        <f ca="1"/>
        <v>0.40105345469005793</v>
      </c>
      <c r="AH8024" s="2" t="str">
        <f ca="1"/>
        <v>Bad</v>
      </c>
    </row>
    <row r="8025" spans="2:34">
      <c r="B8025" s="2">
        <f ca="1"/>
        <v>4.9988118978788076E-2</v>
      </c>
      <c r="O8025" s="2">
        <f ca="1"/>
        <v>0.99497934131676213</v>
      </c>
      <c r="X8025" s="2">
        <f ca="1"/>
        <v>56.127041468255925</v>
      </c>
      <c r="AG8025" s="2">
        <f ca="1"/>
        <v>0.76102656943484304</v>
      </c>
      <c r="AH8025" s="2" t="str">
        <f ca="1"/>
        <v>Bad</v>
      </c>
    </row>
    <row r="8026" spans="2:34">
      <c r="B8026" s="2">
        <f ca="1"/>
        <v>0.42130495772178089</v>
      </c>
      <c r="O8026" s="2">
        <f ca="1"/>
        <v>-0.26687037620331938</v>
      </c>
      <c r="X8026" s="2">
        <f ca="1"/>
        <v>46.371443058547463</v>
      </c>
      <c r="AG8026" s="2">
        <f ca="1"/>
        <v>0.3038573937342266</v>
      </c>
      <c r="AH8026" s="2" t="str">
        <f ca="1"/>
        <v>OK</v>
      </c>
    </row>
    <row r="8027" spans="2:34">
      <c r="B8027" s="2">
        <f ca="1"/>
        <v>0.9444922788601966</v>
      </c>
      <c r="O8027" s="2">
        <f ca="1"/>
        <v>0.14689181413035327</v>
      </c>
      <c r="X8027" s="2">
        <f ca="1"/>
        <v>68.950272070481873</v>
      </c>
      <c r="AG8027" s="2">
        <f ca="1"/>
        <v>0.17766870100198351</v>
      </c>
      <c r="AH8027" s="2" t="str">
        <f ca="1"/>
        <v>OK</v>
      </c>
    </row>
    <row r="8028" spans="2:34">
      <c r="B8028" s="2">
        <f ca="1"/>
        <v>7.3793937958312794E-2</v>
      </c>
      <c r="O8028" s="2">
        <f ca="1"/>
        <v>1.1415430125244881</v>
      </c>
      <c r="X8028" s="2">
        <f ca="1"/>
        <v>62.849441482438444</v>
      </c>
      <c r="AG8028" s="2">
        <f ca="1"/>
        <v>0.61377346255594634</v>
      </c>
      <c r="AH8028" s="2" t="str">
        <f ca="1"/>
        <v>Bad</v>
      </c>
    </row>
    <row r="8029" spans="2:34">
      <c r="B8029" s="2">
        <f ca="1"/>
        <v>0.41235491643212829</v>
      </c>
      <c r="O8029" s="2">
        <f ca="1"/>
        <v>0.22867585494176648</v>
      </c>
      <c r="X8029" s="2">
        <f ca="1"/>
        <v>25.561318195303571</v>
      </c>
      <c r="AG8029" s="2">
        <f ca="1"/>
        <v>0.82701436271991957</v>
      </c>
      <c r="AH8029" s="2" t="str">
        <f ca="1"/>
        <v>Bad</v>
      </c>
    </row>
    <row r="8030" spans="2:34">
      <c r="B8030" s="2">
        <f ca="1"/>
        <v>0.17253765396978715</v>
      </c>
      <c r="O8030" s="2">
        <f ca="1"/>
        <v>-1.2155747871462139</v>
      </c>
      <c r="X8030" s="2">
        <f ca="1"/>
        <v>38.48199189227438</v>
      </c>
      <c r="AG8030" s="2">
        <f ca="1"/>
        <v>0.13807897928623714</v>
      </c>
      <c r="AH8030" s="2" t="str">
        <f ca="1"/>
        <v>OK</v>
      </c>
    </row>
    <row r="8031" spans="2:34">
      <c r="B8031" s="2">
        <f ca="1"/>
        <v>0.6201114513907553</v>
      </c>
      <c r="O8031" s="2">
        <f ca="1"/>
        <v>0.90061768091703065</v>
      </c>
      <c r="X8031" s="2">
        <f ca="1"/>
        <v>52.008562071081947</v>
      </c>
      <c r="AG8031" s="2">
        <f ca="1"/>
        <v>0.82800796843478364</v>
      </c>
      <c r="AH8031" s="2" t="str">
        <f ca="1"/>
        <v>Bad</v>
      </c>
    </row>
    <row r="8032" spans="2:34">
      <c r="B8032" s="2">
        <f ca="1"/>
        <v>0.42078073176101527</v>
      </c>
      <c r="O8032" s="2">
        <f ca="1"/>
        <v>-0.62449704935923689</v>
      </c>
      <c r="X8032" s="2">
        <f ca="1"/>
        <v>75.035740245450285</v>
      </c>
      <c r="AG8032" s="2">
        <f ca="1"/>
        <v>0.30140200169491305</v>
      </c>
      <c r="AH8032" s="2" t="str">
        <f ca="1"/>
        <v>OK</v>
      </c>
    </row>
    <row r="8033" spans="2:34">
      <c r="B8033" s="2">
        <f ca="1"/>
        <v>5.5867520073542565E-3</v>
      </c>
      <c r="O8033" s="2">
        <f ca="1"/>
        <v>-0.39288313556284443</v>
      </c>
      <c r="X8033" s="2">
        <f ca="1"/>
        <v>76.323873807280876</v>
      </c>
      <c r="AG8033" s="2">
        <f ca="1"/>
        <v>8.8808764200350998E-2</v>
      </c>
      <c r="AH8033" s="2" t="str">
        <f ca="1"/>
        <v>OK</v>
      </c>
    </row>
    <row r="8034" spans="2:34">
      <c r="B8034" s="2">
        <f ca="1"/>
        <v>0.57643655288221018</v>
      </c>
      <c r="O8034" s="2">
        <f ca="1"/>
        <v>2.1866384152594711</v>
      </c>
      <c r="X8034" s="2">
        <f ca="1"/>
        <v>46.155379806053425</v>
      </c>
      <c r="AG8034" s="2">
        <f ca="1"/>
        <v>0.12105683737043837</v>
      </c>
      <c r="AH8034" s="2" t="str">
        <f ca="1"/>
        <v>OK</v>
      </c>
    </row>
    <row r="8035" spans="2:34">
      <c r="B8035" s="2">
        <f ca="1"/>
        <v>0.85612572475864512</v>
      </c>
      <c r="O8035" s="2">
        <f ca="1"/>
        <v>-0.24879603261185099</v>
      </c>
      <c r="X8035" s="2">
        <f ca="1"/>
        <v>64.148270896189544</v>
      </c>
      <c r="AG8035" s="2">
        <f ca="1"/>
        <v>0.2972384055636399</v>
      </c>
      <c r="AH8035" s="2" t="str">
        <f ca="1"/>
        <v>OK</v>
      </c>
    </row>
    <row r="8036" spans="2:34">
      <c r="B8036" s="2">
        <f ca="1"/>
        <v>0.27832746180984458</v>
      </c>
      <c r="O8036" s="2">
        <f ca="1"/>
        <v>0.41372998184957727</v>
      </c>
      <c r="X8036" s="2">
        <f ca="1"/>
        <v>36.549362652164412</v>
      </c>
      <c r="AG8036" s="2">
        <f ca="1"/>
        <v>7.5056871530118974E-2</v>
      </c>
      <c r="AH8036" s="2" t="str">
        <f ca="1"/>
        <v>OK</v>
      </c>
    </row>
    <row r="8037" spans="2:34">
      <c r="B8037" s="2">
        <f ca="1"/>
        <v>3.8802752095528747E-2</v>
      </c>
      <c r="O8037" s="2">
        <f ca="1"/>
        <v>-1.5519012437253576</v>
      </c>
      <c r="X8037" s="2">
        <f ca="1"/>
        <v>78.32138253932942</v>
      </c>
      <c r="AG8037" s="2">
        <f ca="1"/>
        <v>9.0893842379280443E-2</v>
      </c>
      <c r="AH8037" s="2" t="str">
        <f ca="1"/>
        <v>OK</v>
      </c>
    </row>
    <row r="8038" spans="2:34">
      <c r="B8038" s="2">
        <f ca="1"/>
        <v>6.6111733067993672E-2</v>
      </c>
      <c r="O8038" s="2">
        <f ca="1"/>
        <v>0.60857538829364421</v>
      </c>
      <c r="X8038" s="2">
        <f ca="1"/>
        <v>44.368263371116399</v>
      </c>
      <c r="AG8038" s="2">
        <f ca="1"/>
        <v>0.86508598679175441</v>
      </c>
      <c r="AH8038" s="2" t="str">
        <f ca="1"/>
        <v>Bad</v>
      </c>
    </row>
    <row r="8039" spans="2:34">
      <c r="B8039" s="2">
        <f ca="1"/>
        <v>0.9031513229008219</v>
      </c>
      <c r="O8039" s="2">
        <f ca="1"/>
        <v>-0.65331401947432965</v>
      </c>
      <c r="X8039" s="2">
        <f ca="1"/>
        <v>78.180140519046418</v>
      </c>
      <c r="AG8039" s="2">
        <f ca="1"/>
        <v>0.11613977299046496</v>
      </c>
      <c r="AH8039" s="2" t="str">
        <f ca="1"/>
        <v>OK</v>
      </c>
    </row>
    <row r="8040" spans="2:34">
      <c r="B8040" s="2">
        <f ca="1"/>
        <v>0.47483773898382653</v>
      </c>
      <c r="O8040" s="2">
        <f ca="1"/>
        <v>0.29859756875650545</v>
      </c>
      <c r="X8040" s="2">
        <f ca="1"/>
        <v>55.979861661715617</v>
      </c>
      <c r="AG8040" s="2">
        <f ca="1"/>
        <v>0.96514822197702821</v>
      </c>
      <c r="AH8040" s="2" t="str">
        <f ca="1"/>
        <v>Bad</v>
      </c>
    </row>
    <row r="8041" spans="2:34">
      <c r="B8041" s="2">
        <f ca="1"/>
        <v>0.55181401414844711</v>
      </c>
      <c r="O8041" s="2">
        <f ca="1"/>
        <v>-1.3356735485941738</v>
      </c>
      <c r="X8041" s="2">
        <f ca="1"/>
        <v>58.002172360030372</v>
      </c>
      <c r="AG8041" s="2">
        <f ca="1"/>
        <v>0.6227481903369374</v>
      </c>
      <c r="AH8041" s="2" t="str">
        <f ca="1"/>
        <v>Bad</v>
      </c>
    </row>
    <row r="8042" spans="2:34">
      <c r="B8042" s="2">
        <f ca="1"/>
        <v>0.13839426840727254</v>
      </c>
      <c r="O8042" s="2">
        <f ca="1"/>
        <v>-1.9606985537720354</v>
      </c>
      <c r="X8042" s="2">
        <f ca="1"/>
        <v>49.337324311824304</v>
      </c>
      <c r="AG8042" s="2">
        <f ca="1"/>
        <v>0.93913829145145211</v>
      </c>
      <c r="AH8042" s="2" t="str">
        <f ca="1"/>
        <v>Bad</v>
      </c>
    </row>
    <row r="8043" spans="2:34">
      <c r="B8043" s="2">
        <f ca="1"/>
        <v>0.31465343016553549</v>
      </c>
      <c r="O8043" s="2">
        <f ca="1"/>
        <v>-0.99610221080052075</v>
      </c>
      <c r="X8043" s="2">
        <f ca="1"/>
        <v>63.212114067553465</v>
      </c>
      <c r="AG8043" s="2">
        <f ca="1"/>
        <v>0.46327819227556954</v>
      </c>
      <c r="AH8043" s="2" t="str">
        <f ca="1"/>
        <v>Bad</v>
      </c>
    </row>
    <row r="8044" spans="2:34">
      <c r="B8044" s="2">
        <f ca="1"/>
        <v>0.42697619975311252</v>
      </c>
      <c r="O8044" s="2">
        <f ca="1"/>
        <v>-1.0969217264514672</v>
      </c>
      <c r="X8044" s="2">
        <f ca="1"/>
        <v>30.408387494984474</v>
      </c>
      <c r="AG8044" s="2">
        <f ca="1"/>
        <v>8.6465188597957487E-2</v>
      </c>
      <c r="AH8044" s="2" t="str">
        <f ca="1"/>
        <v>OK</v>
      </c>
    </row>
    <row r="8045" spans="2:34">
      <c r="B8045" s="2">
        <f ca="1"/>
        <v>0.29106776155085679</v>
      </c>
      <c r="O8045" s="2">
        <f ca="1"/>
        <v>1.3621337017119495</v>
      </c>
      <c r="X8045" s="2">
        <f ca="1"/>
        <v>46.044593554381322</v>
      </c>
      <c r="AG8045" s="2">
        <f ca="1"/>
        <v>0.57433533789325608</v>
      </c>
      <c r="AH8045" s="2" t="str">
        <f ca="1"/>
        <v>Bad</v>
      </c>
    </row>
    <row r="8046" spans="2:34">
      <c r="B8046" s="2">
        <f ca="1"/>
        <v>0.47237605313449049</v>
      </c>
      <c r="O8046" s="2">
        <f ca="1"/>
        <v>1.8475749573595552</v>
      </c>
      <c r="X8046" s="2">
        <f ca="1"/>
        <v>35.307364013849522</v>
      </c>
      <c r="AG8046" s="2">
        <f ca="1"/>
        <v>0.82356452533601998</v>
      </c>
      <c r="AH8046" s="2" t="str">
        <f ca="1"/>
        <v>Bad</v>
      </c>
    </row>
    <row r="8047" spans="2:34">
      <c r="B8047" s="2">
        <f ca="1"/>
        <v>0.6563155838517083</v>
      </c>
      <c r="O8047" s="2">
        <f ca="1"/>
        <v>0.40403407573431721</v>
      </c>
      <c r="X8047" s="2">
        <f ca="1"/>
        <v>32.589220125627349</v>
      </c>
      <c r="AG8047" s="2">
        <f ca="1"/>
        <v>0.51520930442916635</v>
      </c>
      <c r="AH8047" s="2" t="str">
        <f ca="1"/>
        <v>Bad</v>
      </c>
    </row>
    <row r="8048" spans="2:34">
      <c r="B8048" s="2">
        <f ca="1"/>
        <v>0.70338289710905966</v>
      </c>
      <c r="O8048" s="2">
        <f ca="1"/>
        <v>-0.15013602478089563</v>
      </c>
      <c r="X8048" s="2">
        <f ca="1"/>
        <v>48.429780763214637</v>
      </c>
      <c r="AG8048" s="2">
        <f ca="1"/>
        <v>0.41701137331875637</v>
      </c>
      <c r="AH8048" s="2" t="str">
        <f ca="1"/>
        <v>Bad</v>
      </c>
    </row>
    <row r="8049" spans="2:34">
      <c r="B8049" s="2">
        <f ca="1"/>
        <v>3.5696775653797808E-2</v>
      </c>
      <c r="O8049" s="2">
        <f ca="1"/>
        <v>6.7087982892929707E-2</v>
      </c>
      <c r="X8049" s="2">
        <f ca="1"/>
        <v>25.82019154722218</v>
      </c>
      <c r="AG8049" s="2">
        <f ca="1"/>
        <v>0.75297378963634953</v>
      </c>
      <c r="AH8049" s="2" t="str">
        <f ca="1"/>
        <v>Bad</v>
      </c>
    </row>
    <row r="8050" spans="2:34">
      <c r="B8050" s="2">
        <f ca="1"/>
        <v>0.39958491223250459</v>
      </c>
      <c r="O8050" s="2">
        <f ca="1"/>
        <v>0.35910664972739142</v>
      </c>
      <c r="X8050" s="2">
        <f ca="1"/>
        <v>45.475826754302815</v>
      </c>
      <c r="AG8050" s="2">
        <f ca="1"/>
        <v>0.91075305059146383</v>
      </c>
      <c r="AH8050" s="2" t="str">
        <f ca="1"/>
        <v>Bad</v>
      </c>
    </row>
    <row r="8051" spans="2:34">
      <c r="B8051" s="2">
        <f ca="1"/>
        <v>0.35411042710981389</v>
      </c>
      <c r="O8051" s="2">
        <f ca="1"/>
        <v>-1.1083143773483606</v>
      </c>
      <c r="X8051" s="2">
        <f ca="1"/>
        <v>58.266913395402653</v>
      </c>
      <c r="AG8051" s="2">
        <f ca="1"/>
        <v>0.93975546204171878</v>
      </c>
      <c r="AH8051" s="2" t="str">
        <f ca="1"/>
        <v>Bad</v>
      </c>
    </row>
    <row r="8052" spans="2:34">
      <c r="B8052" s="2">
        <f ca="1"/>
        <v>0.92969405717198184</v>
      </c>
      <c r="O8052" s="2">
        <f ca="1"/>
        <v>0.22285739431494347</v>
      </c>
      <c r="X8052" s="2">
        <f ca="1"/>
        <v>75.019556077239685</v>
      </c>
      <c r="AG8052" s="2">
        <f ca="1"/>
        <v>0.92803383057035815</v>
      </c>
      <c r="AH8052" s="2" t="str">
        <f ca="1"/>
        <v>Bad</v>
      </c>
    </row>
    <row r="8053" spans="2:34">
      <c r="B8053" s="2">
        <f ca="1"/>
        <v>0.49632050551091766</v>
      </c>
      <c r="O8053" s="2">
        <f ca="1"/>
        <v>7.5498928414552025E-2</v>
      </c>
      <c r="X8053" s="2">
        <f ca="1"/>
        <v>35.350845425392059</v>
      </c>
      <c r="AG8053" s="2">
        <f ca="1"/>
        <v>0.21564337994094251</v>
      </c>
      <c r="AH8053" s="2" t="str">
        <f ca="1"/>
        <v>OK</v>
      </c>
    </row>
    <row r="8054" spans="2:34">
      <c r="B8054" s="2">
        <f ca="1"/>
        <v>0.76264139113913321</v>
      </c>
      <c r="O8054" s="2">
        <f ca="1"/>
        <v>-0.13975281764229147</v>
      </c>
      <c r="X8054" s="2">
        <f ca="1"/>
        <v>33.792904801090572</v>
      </c>
      <c r="AG8054" s="2">
        <f ca="1"/>
        <v>0.12682866117183855</v>
      </c>
      <c r="AH8054" s="2" t="str">
        <f ca="1"/>
        <v>OK</v>
      </c>
    </row>
    <row r="8055" spans="2:34">
      <c r="B8055" s="2">
        <f ca="1"/>
        <v>0.92691256104685227</v>
      </c>
      <c r="O8055" s="2">
        <f ca="1"/>
        <v>1.3246638178840031</v>
      </c>
      <c r="X8055" s="2">
        <f ca="1"/>
        <v>36.629372740312114</v>
      </c>
      <c r="AG8055" s="2">
        <f ca="1"/>
        <v>0.86630358611661573</v>
      </c>
      <c r="AH8055" s="2" t="str">
        <f ca="1"/>
        <v>Bad</v>
      </c>
    </row>
    <row r="8056" spans="2:34">
      <c r="B8056" s="2">
        <f ca="1"/>
        <v>0.1351390949487401</v>
      </c>
      <c r="O8056" s="2">
        <f ca="1"/>
        <v>-0.33074863848316066</v>
      </c>
      <c r="X8056" s="2">
        <f ca="1"/>
        <v>33.22194098775465</v>
      </c>
      <c r="AG8056" s="2">
        <f ca="1"/>
        <v>0.95842978588963268</v>
      </c>
      <c r="AH8056" s="2" t="str">
        <f ca="1"/>
        <v>Bad</v>
      </c>
    </row>
    <row r="8057" spans="2:34">
      <c r="B8057" s="2">
        <f ca="1"/>
        <v>2.2301473365597291E-2</v>
      </c>
      <c r="O8057" s="2">
        <f ca="1"/>
        <v>0.76863331356402054</v>
      </c>
      <c r="X8057" s="2">
        <f ca="1"/>
        <v>63.835853763917491</v>
      </c>
      <c r="AG8057" s="2">
        <f ca="1"/>
        <v>0.28485036657598473</v>
      </c>
      <c r="AH8057" s="2" t="str">
        <f ca="1"/>
        <v>OK</v>
      </c>
    </row>
    <row r="8058" spans="2:34">
      <c r="B8058" s="2">
        <f ca="1"/>
        <v>0.16656479760481191</v>
      </c>
      <c r="O8058" s="2">
        <f ca="1"/>
        <v>-0.29221159042973671</v>
      </c>
      <c r="X8058" s="2">
        <f ca="1"/>
        <v>42.713340578163219</v>
      </c>
      <c r="AG8058" s="2">
        <f ca="1"/>
        <v>0.72227221423707744</v>
      </c>
      <c r="AH8058" s="2" t="str">
        <f ca="1"/>
        <v>Bad</v>
      </c>
    </row>
    <row r="8059" spans="2:34">
      <c r="B8059" s="2">
        <f ca="1"/>
        <v>0.41367952596802371</v>
      </c>
      <c r="O8059" s="2">
        <f ca="1"/>
        <v>-1.9613052618061844</v>
      </c>
      <c r="X8059" s="2">
        <f ca="1"/>
        <v>68.235248970475254</v>
      </c>
      <c r="AG8059" s="2">
        <f ca="1"/>
        <v>0.73109050467275538</v>
      </c>
      <c r="AH8059" s="2" t="str">
        <f ca="1"/>
        <v>Bad</v>
      </c>
    </row>
    <row r="8060" spans="2:34">
      <c r="B8060" s="2">
        <f ca="1"/>
        <v>0.80435002576603076</v>
      </c>
      <c r="O8060" s="2">
        <f ca="1"/>
        <v>0.104938748786943</v>
      </c>
      <c r="X8060" s="2">
        <f ca="1"/>
        <v>58.100378960325529</v>
      </c>
      <c r="AG8060" s="2">
        <f ca="1"/>
        <v>0.40893008613586823</v>
      </c>
      <c r="AH8060" s="2" t="str">
        <f ca="1"/>
        <v>Bad</v>
      </c>
    </row>
    <row r="8061" spans="2:34">
      <c r="B8061" s="2">
        <f ca="1"/>
        <v>0.78099513214982341</v>
      </c>
      <c r="O8061" s="2">
        <f ca="1"/>
        <v>-0.20938541731102803</v>
      </c>
      <c r="X8061" s="2">
        <f ca="1"/>
        <v>35.461970585545586</v>
      </c>
      <c r="AG8061" s="2">
        <f ca="1"/>
        <v>0.65240675518695967</v>
      </c>
      <c r="AH8061" s="2" t="str">
        <f ca="1"/>
        <v>Bad</v>
      </c>
    </row>
    <row r="8062" spans="2:34">
      <c r="B8062" s="2">
        <f ca="1"/>
        <v>0.35096080032563659</v>
      </c>
      <c r="O8062" s="2">
        <f ca="1"/>
        <v>7.2206496028894812E-2</v>
      </c>
      <c r="X8062" s="2">
        <f ca="1"/>
        <v>56.277216947487965</v>
      </c>
      <c r="AG8062" s="2">
        <f ca="1"/>
        <v>0.67187679523475596</v>
      </c>
      <c r="AH8062" s="2" t="str">
        <f ca="1"/>
        <v>Bad</v>
      </c>
    </row>
    <row r="8063" spans="2:34">
      <c r="B8063" s="2">
        <f ca="1"/>
        <v>0.21672077792018873</v>
      </c>
      <c r="O8063" s="2">
        <f ca="1"/>
        <v>0.46005829197154874</v>
      </c>
      <c r="X8063" s="2">
        <f ca="1"/>
        <v>46.652444939755348</v>
      </c>
      <c r="AG8063" s="2">
        <f ca="1"/>
        <v>0.39009934399857893</v>
      </c>
      <c r="AH8063" s="2" t="str">
        <f ca="1"/>
        <v>OK</v>
      </c>
    </row>
    <row r="8064" spans="2:34">
      <c r="B8064" s="2">
        <f ca="1"/>
        <v>0.89098149298661711</v>
      </c>
      <c r="O8064" s="2">
        <f ca="1"/>
        <v>0.53038620092612299</v>
      </c>
      <c r="X8064" s="2">
        <f ca="1"/>
        <v>61.038572542517706</v>
      </c>
      <c r="AG8064" s="2">
        <f ca="1"/>
        <v>0.95813362961695936</v>
      </c>
      <c r="AH8064" s="2" t="str">
        <f ca="1"/>
        <v>Bad</v>
      </c>
    </row>
    <row r="8065" spans="2:34">
      <c r="B8065" s="2">
        <f ca="1"/>
        <v>0.80396661658887658</v>
      </c>
      <c r="O8065" s="2">
        <f ca="1"/>
        <v>-0.45423600014008808</v>
      </c>
      <c r="X8065" s="2">
        <f ca="1"/>
        <v>41.077178176413973</v>
      </c>
      <c r="AG8065" s="2">
        <f ca="1"/>
        <v>0.70520202595221537</v>
      </c>
      <c r="AH8065" s="2" t="str">
        <f ca="1"/>
        <v>Bad</v>
      </c>
    </row>
    <row r="8066" spans="2:34">
      <c r="B8066" s="2">
        <f ca="1"/>
        <v>0.690863048303755</v>
      </c>
      <c r="O8066" s="2">
        <f ca="1"/>
        <v>0.53652760033396163</v>
      </c>
      <c r="X8066" s="2">
        <f ca="1"/>
        <v>42.156067655354747</v>
      </c>
      <c r="AG8066" s="2">
        <f ca="1"/>
        <v>0.41638122804068578</v>
      </c>
      <c r="AH8066" s="2" t="str">
        <f ca="1"/>
        <v>Bad</v>
      </c>
    </row>
    <row r="8067" spans="2:34">
      <c r="B8067" s="2">
        <f ca="1"/>
        <v>0.24270520527463457</v>
      </c>
      <c r="O8067" s="2">
        <f ca="1"/>
        <v>-0.45720841574286625</v>
      </c>
      <c r="X8067" s="2">
        <f ca="1"/>
        <v>34.116012792630499</v>
      </c>
      <c r="AG8067" s="2">
        <f ca="1"/>
        <v>0.34250646809279273</v>
      </c>
      <c r="AH8067" s="2" t="str">
        <f ca="1"/>
        <v>OK</v>
      </c>
    </row>
    <row r="8068" spans="2:34">
      <c r="B8068" s="2">
        <f ca="1"/>
        <v>4.5601930294644655E-2</v>
      </c>
      <c r="O8068" s="2">
        <f ca="1"/>
        <v>4.75826584108658E-2</v>
      </c>
      <c r="X8068" s="2">
        <f ca="1"/>
        <v>45.403109933559506</v>
      </c>
      <c r="AG8068" s="2">
        <f ca="1"/>
        <v>0.41929771343238009</v>
      </c>
      <c r="AH8068" s="2" t="str">
        <f ca="1"/>
        <v>Bad</v>
      </c>
    </row>
    <row r="8069" spans="2:34">
      <c r="B8069" s="2">
        <f ca="1"/>
        <v>0.6179970221303257</v>
      </c>
      <c r="O8069" s="2">
        <f ca="1"/>
        <v>-2.0461576019097385</v>
      </c>
      <c r="X8069" s="2">
        <f ca="1"/>
        <v>40.32373304043854</v>
      </c>
      <c r="AG8069" s="2">
        <f ca="1"/>
        <v>0.26012254842604388</v>
      </c>
      <c r="AH8069" s="2" t="str">
        <f ca="1"/>
        <v>OK</v>
      </c>
    </row>
    <row r="8070" spans="2:34">
      <c r="B8070" s="2">
        <f ca="1"/>
        <v>0.29727488388878198</v>
      </c>
      <c r="O8070" s="2">
        <f ca="1"/>
        <v>1.769422535807629</v>
      </c>
      <c r="X8070" s="2">
        <f ca="1"/>
        <v>55.704166792043438</v>
      </c>
      <c r="AG8070" s="2">
        <f ca="1"/>
        <v>0.46459805048141667</v>
      </c>
      <c r="AH8070" s="2" t="str">
        <f ca="1"/>
        <v>Bad</v>
      </c>
    </row>
    <row r="8071" spans="2:34">
      <c r="B8071" s="2">
        <f ca="1"/>
        <v>0.51549298436845681</v>
      </c>
      <c r="O8071" s="2">
        <f ca="1"/>
        <v>6.2906649157262434E-2</v>
      </c>
      <c r="X8071" s="2">
        <f ca="1"/>
        <v>92.748698425333274</v>
      </c>
      <c r="AG8071" s="2">
        <f ca="1"/>
        <v>0.7650827986595452</v>
      </c>
      <c r="AH8071" s="2" t="str">
        <f ca="1"/>
        <v>Bad</v>
      </c>
    </row>
    <row r="8072" spans="2:34">
      <c r="B8072" s="2">
        <f ca="1"/>
        <v>0.41525503190017554</v>
      </c>
      <c r="O8072" s="2">
        <f ca="1"/>
        <v>0.42455541959668136</v>
      </c>
      <c r="X8072" s="2">
        <f ca="1"/>
        <v>74.700316582209581</v>
      </c>
      <c r="AG8072" s="2">
        <f ca="1"/>
        <v>0.36850038790621853</v>
      </c>
      <c r="AH8072" s="2" t="str">
        <f ca="1"/>
        <v>OK</v>
      </c>
    </row>
    <row r="8073" spans="2:34">
      <c r="B8073" s="2">
        <f ca="1"/>
        <v>0.54217397531952516</v>
      </c>
      <c r="O8073" s="2">
        <f ca="1"/>
        <v>0.16378740782491311</v>
      </c>
      <c r="X8073" s="2">
        <f ca="1"/>
        <v>62.705628770956025</v>
      </c>
      <c r="AG8073" s="2">
        <f ca="1"/>
        <v>0.44371790447652693</v>
      </c>
      <c r="AH8073" s="2" t="str">
        <f ca="1"/>
        <v>Bad</v>
      </c>
    </row>
    <row r="8074" spans="2:34">
      <c r="B8074" s="2">
        <f ca="1"/>
        <v>0.10975596855030156</v>
      </c>
      <c r="O8074" s="2">
        <f ca="1"/>
        <v>2.0357362501389797</v>
      </c>
      <c r="X8074" s="2">
        <f ca="1"/>
        <v>48.698467647531594</v>
      </c>
      <c r="AG8074" s="2">
        <f ca="1"/>
        <v>0.18271073554652029</v>
      </c>
      <c r="AH8074" s="2" t="str">
        <f ca="1"/>
        <v>OK</v>
      </c>
    </row>
    <row r="8075" spans="2:34">
      <c r="B8075" s="2">
        <f ca="1"/>
        <v>0.3963223553548032</v>
      </c>
      <c r="O8075" s="2">
        <f ca="1"/>
        <v>0.97132650770390805</v>
      </c>
      <c r="X8075" s="2">
        <f ca="1"/>
        <v>48.267979092003294</v>
      </c>
      <c r="AG8075" s="2">
        <f ca="1"/>
        <v>0.54725613376502991</v>
      </c>
      <c r="AH8075" s="2" t="str">
        <f ca="1"/>
        <v>Bad</v>
      </c>
    </row>
    <row r="8076" spans="2:34">
      <c r="B8076" s="2">
        <f ca="1"/>
        <v>0.82472517464783768</v>
      </c>
      <c r="O8076" s="2">
        <f ca="1"/>
        <v>3.9884956484377518</v>
      </c>
      <c r="X8076" s="2">
        <f ca="1"/>
        <v>59.117015390768337</v>
      </c>
      <c r="AG8076" s="2">
        <f ca="1"/>
        <v>0.14893968583046613</v>
      </c>
      <c r="AH8076" s="2" t="str">
        <f ca="1"/>
        <v>OK</v>
      </c>
    </row>
    <row r="8077" spans="2:34">
      <c r="B8077" s="2">
        <f ca="1"/>
        <v>0.66648687257348871</v>
      </c>
      <c r="O8077" s="2">
        <f ca="1"/>
        <v>0.54689820031905501</v>
      </c>
      <c r="X8077" s="2">
        <f ca="1"/>
        <v>64.751696197527068</v>
      </c>
      <c r="AG8077" s="2">
        <f ca="1"/>
        <v>6.0233395822432811E-2</v>
      </c>
      <c r="AH8077" s="2" t="str">
        <f ca="1"/>
        <v>OK</v>
      </c>
    </row>
    <row r="8078" spans="2:34">
      <c r="B8078" s="2">
        <f ca="1"/>
        <v>0.65876272090244803</v>
      </c>
      <c r="O8078" s="2">
        <f ca="1"/>
        <v>-2.1186558548574386</v>
      </c>
      <c r="X8078" s="2">
        <f ca="1"/>
        <v>33.001793441628294</v>
      </c>
      <c r="AG8078" s="2">
        <f ca="1"/>
        <v>0.7822559049109159</v>
      </c>
      <c r="AH8078" s="2" t="str">
        <f ca="1"/>
        <v>Bad</v>
      </c>
    </row>
    <row r="8079" spans="2:34">
      <c r="B8079" s="2">
        <f ca="1"/>
        <v>0.9613126713924165</v>
      </c>
      <c r="O8079" s="2">
        <f ca="1"/>
        <v>-0.28047059333923013</v>
      </c>
      <c r="X8079" s="2">
        <f ca="1"/>
        <v>44.397088350014826</v>
      </c>
      <c r="AG8079" s="2">
        <f ca="1"/>
        <v>0.55025526789847667</v>
      </c>
      <c r="AH8079" s="2" t="str">
        <f ca="1"/>
        <v>Bad</v>
      </c>
    </row>
    <row r="8080" spans="2:34">
      <c r="B8080" s="2">
        <f ca="1"/>
        <v>0.44968979282015331</v>
      </c>
      <c r="O8080" s="2">
        <f ca="1"/>
        <v>-1.2373632084640582</v>
      </c>
      <c r="X8080" s="2">
        <f ca="1"/>
        <v>71.575475958770497</v>
      </c>
      <c r="AG8080" s="2">
        <f ca="1"/>
        <v>0.4037954978341709</v>
      </c>
      <c r="AH8080" s="2" t="str">
        <f ca="1"/>
        <v>Bad</v>
      </c>
    </row>
    <row r="8081" spans="2:34">
      <c r="B8081" s="2">
        <f ca="1"/>
        <v>0.37105548821170653</v>
      </c>
      <c r="O8081" s="2">
        <f ca="1"/>
        <v>0.2525774163451418</v>
      </c>
      <c r="X8081" s="2">
        <f ca="1"/>
        <v>46.609117333725095</v>
      </c>
      <c r="AG8081" s="2">
        <f ca="1"/>
        <v>0.88974911857781525</v>
      </c>
      <c r="AH8081" s="2" t="str">
        <f ca="1"/>
        <v>Bad</v>
      </c>
    </row>
    <row r="8082" spans="2:34">
      <c r="B8082" s="2">
        <f ca="1"/>
        <v>0.7021605752021749</v>
      </c>
      <c r="O8082" s="2">
        <f ca="1"/>
        <v>-0.6292778348264465</v>
      </c>
      <c r="X8082" s="2">
        <f ca="1"/>
        <v>33.92366880945265</v>
      </c>
      <c r="AG8082" s="2">
        <f ca="1"/>
        <v>5.9656308902621857E-2</v>
      </c>
      <c r="AH8082" s="2" t="str">
        <f ca="1"/>
        <v>OK</v>
      </c>
    </row>
    <row r="8083" spans="2:34">
      <c r="B8083" s="2">
        <f ca="1"/>
        <v>0.16271924212524791</v>
      </c>
      <c r="O8083" s="2">
        <f ca="1"/>
        <v>0.63428737330815199</v>
      </c>
      <c r="X8083" s="2">
        <f ca="1"/>
        <v>47.725720618311371</v>
      </c>
      <c r="AG8083" s="2">
        <f ca="1"/>
        <v>0.61921948243020819</v>
      </c>
      <c r="AH8083" s="2" t="str">
        <f ca="1"/>
        <v>Bad</v>
      </c>
    </row>
    <row r="8084" spans="2:34">
      <c r="B8084" s="2">
        <f ca="1"/>
        <v>0.91950313562011821</v>
      </c>
      <c r="O8084" s="2">
        <f ca="1"/>
        <v>4.0866744947456408E-2</v>
      </c>
      <c r="X8084" s="2">
        <f ca="1"/>
        <v>57.743158333088161</v>
      </c>
      <c r="AG8084" s="2">
        <f ca="1"/>
        <v>0.53758632687466501</v>
      </c>
      <c r="AH8084" s="2" t="str">
        <f ca="1"/>
        <v>Bad</v>
      </c>
    </row>
    <row r="8085" spans="2:34">
      <c r="B8085" s="2">
        <f ca="1"/>
        <v>0.71009313978648114</v>
      </c>
      <c r="O8085" s="2">
        <f ca="1"/>
        <v>0.20151701707906181</v>
      </c>
      <c r="X8085" s="2">
        <f ca="1"/>
        <v>45.634101078075687</v>
      </c>
      <c r="AG8085" s="2">
        <f ca="1"/>
        <v>0.26276572702273016</v>
      </c>
      <c r="AH8085" s="2" t="str">
        <f ca="1"/>
        <v>OK</v>
      </c>
    </row>
    <row r="8086" spans="2:34">
      <c r="B8086" s="2">
        <f ca="1"/>
        <v>0.80092707129976137</v>
      </c>
      <c r="O8086" s="2">
        <f ca="1"/>
        <v>-0.21122447992453755</v>
      </c>
      <c r="X8086" s="2">
        <f ca="1"/>
        <v>80.744677222805151</v>
      </c>
      <c r="AG8086" s="2">
        <f ca="1"/>
        <v>4.9203225050634458E-2</v>
      </c>
      <c r="AH8086" s="2" t="str">
        <f ca="1"/>
        <v>Good</v>
      </c>
    </row>
    <row r="8087" spans="2:34">
      <c r="B8087" s="2">
        <f ca="1"/>
        <v>0.46783994916024185</v>
      </c>
      <c r="O8087" s="2">
        <f ca="1"/>
        <v>-1.2208089358605172</v>
      </c>
      <c r="X8087" s="2">
        <f ca="1"/>
        <v>33.620365738068386</v>
      </c>
      <c r="AG8087" s="2">
        <f ca="1"/>
        <v>0.93901352967075558</v>
      </c>
      <c r="AH8087" s="2" t="str">
        <f ca="1"/>
        <v>Bad</v>
      </c>
    </row>
    <row r="8088" spans="2:34">
      <c r="B8088" s="2">
        <f ca="1"/>
        <v>0.54067539038131307</v>
      </c>
      <c r="O8088" s="2">
        <f ca="1"/>
        <v>1.5489201134720396</v>
      </c>
      <c r="X8088" s="2">
        <f ca="1"/>
        <v>37.196260968396196</v>
      </c>
      <c r="AG8088" s="2">
        <f ca="1"/>
        <v>0.14731704969051007</v>
      </c>
      <c r="AH8088" s="2" t="str">
        <f ca="1"/>
        <v>OK</v>
      </c>
    </row>
    <row r="8089" spans="2:34">
      <c r="B8089" s="2">
        <f ca="1"/>
        <v>0.79085329696511719</v>
      </c>
      <c r="O8089" s="2">
        <f ca="1"/>
        <v>0.21941463744593426</v>
      </c>
      <c r="X8089" s="2">
        <f ca="1"/>
        <v>55.797774141055925</v>
      </c>
      <c r="AG8089" s="2">
        <f ca="1"/>
        <v>0.82201962542239237</v>
      </c>
      <c r="AH8089" s="2" t="str">
        <f ca="1"/>
        <v>Bad</v>
      </c>
    </row>
    <row r="8090" spans="2:34">
      <c r="B8090" s="2">
        <f ca="1"/>
        <v>0.37588918262450743</v>
      </c>
      <c r="O8090" s="2">
        <f ca="1"/>
        <v>1.4192371706057929</v>
      </c>
      <c r="X8090" s="2">
        <f ca="1"/>
        <v>31.428698751232005</v>
      </c>
      <c r="AG8090" s="2">
        <f ca="1"/>
        <v>0.54968927034389203</v>
      </c>
      <c r="AH8090" s="2" t="str">
        <f ca="1"/>
        <v>Bad</v>
      </c>
    </row>
    <row r="8091" spans="2:34">
      <c r="B8091" s="2">
        <f ca="1"/>
        <v>0.73505881926492656</v>
      </c>
      <c r="O8091" s="2">
        <f ca="1"/>
        <v>-0.87461306237656833</v>
      </c>
      <c r="X8091" s="2">
        <f ca="1"/>
        <v>43.482235535492379</v>
      </c>
      <c r="AG8091" s="2">
        <f ca="1"/>
        <v>0.68216334404485024</v>
      </c>
      <c r="AH8091" s="2" t="str">
        <f ca="1"/>
        <v>Bad</v>
      </c>
    </row>
    <row r="8092" spans="2:34">
      <c r="B8092" s="2">
        <f ca="1"/>
        <v>0.69799371124350751</v>
      </c>
      <c r="O8092" s="2">
        <f ca="1"/>
        <v>-0.23425340525271757</v>
      </c>
      <c r="X8092" s="2">
        <f ca="1"/>
        <v>36.084187288648202</v>
      </c>
      <c r="AG8092" s="2">
        <f ca="1"/>
        <v>0.90265413375586512</v>
      </c>
      <c r="AH8092" s="2" t="str">
        <f ca="1"/>
        <v>Bad</v>
      </c>
    </row>
    <row r="8093" spans="2:34">
      <c r="B8093" s="2">
        <f ca="1"/>
        <v>0.58604299075442956</v>
      </c>
      <c r="O8093" s="2">
        <f ca="1"/>
        <v>-1.4784392227866603</v>
      </c>
      <c r="X8093" s="2">
        <f ca="1"/>
        <v>28.931233925605383</v>
      </c>
      <c r="AG8093" s="2">
        <f ca="1"/>
        <v>0.19920345885722091</v>
      </c>
      <c r="AH8093" s="2" t="str">
        <f ca="1"/>
        <v>OK</v>
      </c>
    </row>
    <row r="8094" spans="2:34">
      <c r="B8094" s="2">
        <f ca="1"/>
        <v>0.77190757577251423</v>
      </c>
      <c r="O8094" s="2">
        <f ca="1"/>
        <v>-0.20714117236537685</v>
      </c>
      <c r="X8094" s="2">
        <f ca="1"/>
        <v>29.493416239773062</v>
      </c>
      <c r="AG8094" s="2">
        <f ca="1"/>
        <v>3.155219690358213E-2</v>
      </c>
      <c r="AH8094" s="2" t="str">
        <f ca="1"/>
        <v>Good</v>
      </c>
    </row>
    <row r="8095" spans="2:34">
      <c r="B8095" s="2">
        <f ca="1"/>
        <v>0.41215884720487694</v>
      </c>
      <c r="O8095" s="2">
        <f ca="1"/>
        <v>1.3001701037407822</v>
      </c>
      <c r="X8095" s="2">
        <f ca="1"/>
        <v>64.452567384872481</v>
      </c>
      <c r="AG8095" s="2">
        <f ca="1"/>
        <v>0.92547754114021563</v>
      </c>
      <c r="AH8095" s="2" t="str">
        <f ca="1"/>
        <v>Bad</v>
      </c>
    </row>
    <row r="8096" spans="2:34">
      <c r="B8096" s="2">
        <f ca="1"/>
        <v>0.76251705525963498</v>
      </c>
      <c r="O8096" s="2">
        <f ca="1"/>
        <v>1.9883682848582429</v>
      </c>
      <c r="X8096" s="2">
        <f ca="1"/>
        <v>57.655971876182939</v>
      </c>
      <c r="AG8096" s="2">
        <f ca="1"/>
        <v>0.77586415023424848</v>
      </c>
      <c r="AH8096" s="2" t="str">
        <f ca="1"/>
        <v>Bad</v>
      </c>
    </row>
    <row r="8097" spans="2:34">
      <c r="B8097" s="2">
        <f ca="1"/>
        <v>0.42645386733545765</v>
      </c>
      <c r="O8097" s="2">
        <f ca="1"/>
        <v>0.95598074306143987</v>
      </c>
      <c r="X8097" s="2">
        <f ca="1"/>
        <v>62.949888618000152</v>
      </c>
      <c r="AG8097" s="2">
        <f ca="1"/>
        <v>0.8503479290048539</v>
      </c>
      <c r="AH8097" s="2" t="str">
        <f ca="1"/>
        <v>Bad</v>
      </c>
    </row>
    <row r="8098" spans="2:34">
      <c r="B8098" s="2">
        <f ca="1"/>
        <v>0.95377134952502352</v>
      </c>
      <c r="O8098" s="2">
        <f ca="1"/>
        <v>0.1093683573604033</v>
      </c>
      <c r="X8098" s="2">
        <f ca="1"/>
        <v>38.623395155289721</v>
      </c>
      <c r="AG8098" s="2">
        <f ca="1"/>
        <v>0.97528877581326467</v>
      </c>
      <c r="AH8098" s="2" t="str">
        <f ca="1"/>
        <v>Bad</v>
      </c>
    </row>
    <row r="8099" spans="2:34">
      <c r="B8099" s="2">
        <f ca="1"/>
        <v>0.21097219851483917</v>
      </c>
      <c r="O8099" s="2">
        <f ca="1"/>
        <v>0.35829915821487401</v>
      </c>
      <c r="X8099" s="2">
        <f ca="1"/>
        <v>69.978509027307638</v>
      </c>
      <c r="AG8099" s="2">
        <f ca="1"/>
        <v>3.8692484862878462E-2</v>
      </c>
      <c r="AH8099" s="2" t="str">
        <f ca="1"/>
        <v>Good</v>
      </c>
    </row>
    <row r="8100" spans="2:34">
      <c r="B8100" s="2">
        <f ca="1"/>
        <v>0.1338231443858251</v>
      </c>
      <c r="O8100" s="2">
        <f ca="1"/>
        <v>1.1574653755654747</v>
      </c>
      <c r="X8100" s="2">
        <f ca="1"/>
        <v>43.933496347762912</v>
      </c>
      <c r="AG8100" s="2">
        <f ca="1"/>
        <v>3.8347589544364569E-2</v>
      </c>
      <c r="AH8100" s="2" t="str">
        <f ca="1"/>
        <v>Good</v>
      </c>
    </row>
    <row r="8101" spans="2:34">
      <c r="B8101" s="2">
        <f ca="1"/>
        <v>0.60409352258501126</v>
      </c>
      <c r="O8101" s="2">
        <f ca="1"/>
        <v>-1.2635313189466322</v>
      </c>
      <c r="X8101" s="2">
        <f ca="1"/>
        <v>31.278506489611765</v>
      </c>
      <c r="AG8101" s="2">
        <f ca="1"/>
        <v>0.75315398644191101</v>
      </c>
      <c r="AH8101" s="2" t="str">
        <f ca="1"/>
        <v>Bad</v>
      </c>
    </row>
    <row r="8102" spans="2:34">
      <c r="B8102" s="2">
        <f ca="1"/>
        <v>0.72402423756436018</v>
      </c>
      <c r="O8102" s="2">
        <f ca="1"/>
        <v>-0.82322987893322896</v>
      </c>
      <c r="X8102" s="2">
        <f ca="1"/>
        <v>32.044045929626655</v>
      </c>
      <c r="AG8102" s="2">
        <f ca="1"/>
        <v>0.29826797188525722</v>
      </c>
      <c r="AH8102" s="2" t="str">
        <f ca="1"/>
        <v>OK</v>
      </c>
    </row>
    <row r="8103" spans="2:34">
      <c r="B8103" s="2">
        <f ca="1"/>
        <v>0.33940035240326605</v>
      </c>
      <c r="O8103" s="2">
        <f ca="1"/>
        <v>-0.70564508760273381</v>
      </c>
      <c r="X8103" s="2">
        <f ca="1"/>
        <v>35.074772416923736</v>
      </c>
      <c r="AG8103" s="2">
        <f ca="1"/>
        <v>0.25015975699809223</v>
      </c>
      <c r="AH8103" s="2" t="str">
        <f ca="1"/>
        <v>OK</v>
      </c>
    </row>
    <row r="8104" spans="2:34">
      <c r="B8104" s="2">
        <f ca="1"/>
        <v>0.89019551061017843</v>
      </c>
      <c r="O8104" s="2">
        <f ca="1"/>
        <v>0.76171719643369606</v>
      </c>
      <c r="X8104" s="2">
        <f ca="1"/>
        <v>53.309571210484762</v>
      </c>
      <c r="AG8104" s="2">
        <f ca="1"/>
        <v>0.37092249948434475</v>
      </c>
      <c r="AH8104" s="2" t="str">
        <f ca="1"/>
        <v>OK</v>
      </c>
    </row>
    <row r="8105" spans="2:34">
      <c r="B8105" s="2">
        <f ca="1"/>
        <v>0.36406496384026754</v>
      </c>
      <c r="O8105" s="2">
        <f ca="1"/>
        <v>0.52777428245806357</v>
      </c>
      <c r="X8105" s="2">
        <f ca="1"/>
        <v>24.979161357117235</v>
      </c>
      <c r="AG8105" s="2">
        <f ca="1"/>
        <v>0.82197141779753191</v>
      </c>
      <c r="AH8105" s="2" t="str">
        <f ca="1"/>
        <v>Bad</v>
      </c>
    </row>
    <row r="8106" spans="2:34">
      <c r="B8106" s="2">
        <f ca="1"/>
        <v>0.31681549947765908</v>
      </c>
      <c r="O8106" s="2">
        <f ca="1"/>
        <v>0.35139604779030681</v>
      </c>
      <c r="X8106" s="2">
        <f ca="1"/>
        <v>61.91191725318874</v>
      </c>
      <c r="AG8106" s="2">
        <f ca="1"/>
        <v>0.45496941552075643</v>
      </c>
      <c r="AH8106" s="2" t="str">
        <f ca="1"/>
        <v>Bad</v>
      </c>
    </row>
    <row r="8107" spans="2:34">
      <c r="B8107" s="2">
        <f ca="1"/>
        <v>0.7770301618650719</v>
      </c>
      <c r="O8107" s="2">
        <f ca="1"/>
        <v>-1.2003330881320899</v>
      </c>
      <c r="X8107" s="2">
        <f ca="1"/>
        <v>38.21983426054328</v>
      </c>
      <c r="AG8107" s="2">
        <f ca="1"/>
        <v>1.3108998866900645E-2</v>
      </c>
      <c r="AH8107" s="2" t="str">
        <f ca="1"/>
        <v>Good</v>
      </c>
    </row>
    <row r="8108" spans="2:34">
      <c r="B8108" s="2">
        <f ca="1"/>
        <v>0.10347093891853554</v>
      </c>
      <c r="O8108" s="2">
        <f ca="1"/>
        <v>0.97364430025012849</v>
      </c>
      <c r="X8108" s="2">
        <f ca="1"/>
        <v>45.516806850122045</v>
      </c>
      <c r="AG8108" s="2">
        <f ca="1"/>
        <v>0.40898536416800635</v>
      </c>
      <c r="AH8108" s="2" t="str">
        <f ca="1"/>
        <v>Bad</v>
      </c>
    </row>
    <row r="8109" spans="2:34">
      <c r="B8109" s="2">
        <f ca="1"/>
        <v>0.48692164022785756</v>
      </c>
      <c r="O8109" s="2">
        <f ca="1"/>
        <v>0.98371930711864863</v>
      </c>
      <c r="X8109" s="2">
        <f ca="1"/>
        <v>33.997680407638953</v>
      </c>
      <c r="AG8109" s="2">
        <f ca="1"/>
        <v>0.82656364955370631</v>
      </c>
      <c r="AH8109" s="2" t="str">
        <f ca="1"/>
        <v>Bad</v>
      </c>
    </row>
    <row r="8110" spans="2:34">
      <c r="B8110" s="2">
        <f ca="1"/>
        <v>0.87948405014462439</v>
      </c>
      <c r="O8110" s="2">
        <f ca="1"/>
        <v>-9.4518906877423328E-2</v>
      </c>
      <c r="X8110" s="2">
        <f ca="1"/>
        <v>54.281928439578351</v>
      </c>
      <c r="AG8110" s="2">
        <f ca="1"/>
        <v>0.80064103567757283</v>
      </c>
      <c r="AH8110" s="2" t="str">
        <f ca="1"/>
        <v>Bad</v>
      </c>
    </row>
    <row r="8111" spans="2:34">
      <c r="B8111" s="2">
        <f ca="1"/>
        <v>0.85904606905156222</v>
      </c>
      <c r="O8111" s="2">
        <f ca="1"/>
        <v>1.4149588434538696</v>
      </c>
      <c r="X8111" s="2">
        <f ca="1"/>
        <v>71.48743708343757</v>
      </c>
      <c r="AG8111" s="2">
        <f ca="1"/>
        <v>6.3658623727704811E-2</v>
      </c>
      <c r="AH8111" s="2" t="str">
        <f ca="1"/>
        <v>OK</v>
      </c>
    </row>
    <row r="8112" spans="2:34">
      <c r="B8112" s="2">
        <f ca="1"/>
        <v>0.40204455053582477</v>
      </c>
      <c r="O8112" s="2">
        <f ca="1"/>
        <v>-0.3565733001946001</v>
      </c>
      <c r="X8112" s="2">
        <f ca="1"/>
        <v>43.132785091336807</v>
      </c>
      <c r="AG8112" s="2">
        <f ca="1"/>
        <v>0.62144633379584691</v>
      </c>
      <c r="AH8112" s="2" t="str">
        <f ca="1"/>
        <v>Bad</v>
      </c>
    </row>
    <row r="8113" spans="2:34">
      <c r="B8113" s="2">
        <f ca="1"/>
        <v>0.3484239419141606</v>
      </c>
      <c r="O8113" s="2">
        <f ca="1"/>
        <v>0.48371814804597285</v>
      </c>
      <c r="X8113" s="2">
        <f ca="1"/>
        <v>56.872734033194817</v>
      </c>
      <c r="AG8113" s="2">
        <f ca="1"/>
        <v>0.31618652908724365</v>
      </c>
      <c r="AH8113" s="2" t="str">
        <f ca="1"/>
        <v>OK</v>
      </c>
    </row>
    <row r="8114" spans="2:34">
      <c r="B8114" s="2">
        <f ca="1"/>
        <v>0.66565000271458663</v>
      </c>
      <c r="O8114" s="2">
        <f ca="1"/>
        <v>0.62292460701937213</v>
      </c>
      <c r="X8114" s="2">
        <f ca="1"/>
        <v>26.160157225368547</v>
      </c>
      <c r="AG8114" s="2">
        <f ca="1"/>
        <v>0.28305010502359873</v>
      </c>
      <c r="AH8114" s="2" t="str">
        <f ca="1"/>
        <v>OK</v>
      </c>
    </row>
    <row r="8115" spans="2:34">
      <c r="B8115" s="2">
        <f ca="1"/>
        <v>0.76813805309003458</v>
      </c>
      <c r="O8115" s="2">
        <f ca="1"/>
        <v>0.6785225281919175</v>
      </c>
      <c r="X8115" s="2">
        <f ca="1"/>
        <v>37.598870233687919</v>
      </c>
      <c r="AG8115" s="2">
        <f ca="1"/>
        <v>0.41786094451252187</v>
      </c>
      <c r="AH8115" s="2" t="str">
        <f ca="1"/>
        <v>Bad</v>
      </c>
    </row>
    <row r="8116" spans="2:34">
      <c r="B8116" s="2">
        <f ca="1"/>
        <v>0.51539115911879518</v>
      </c>
      <c r="O8116" s="2">
        <f ca="1"/>
        <v>-0.64289100851432601</v>
      </c>
      <c r="X8116" s="2">
        <f ca="1"/>
        <v>65.097395135911682</v>
      </c>
      <c r="AG8116" s="2">
        <f ca="1"/>
        <v>0.6565155942865224</v>
      </c>
      <c r="AH8116" s="2" t="str">
        <f ca="1"/>
        <v>Bad</v>
      </c>
    </row>
    <row r="8117" spans="2:34">
      <c r="B8117" s="2">
        <f ca="1"/>
        <v>0.15595411307014539</v>
      </c>
      <c r="O8117" s="2">
        <f ca="1"/>
        <v>1.7435312881439602</v>
      </c>
      <c r="X8117" s="2">
        <f ca="1"/>
        <v>56.961204658027221</v>
      </c>
      <c r="AG8117" s="2">
        <f ca="1"/>
        <v>3.3932842943336983E-2</v>
      </c>
      <c r="AH8117" s="2" t="str">
        <f ca="1"/>
        <v>Good</v>
      </c>
    </row>
    <row r="8118" spans="2:34">
      <c r="B8118" s="2">
        <f ca="1"/>
        <v>0.40837581957134028</v>
      </c>
      <c r="O8118" s="2">
        <f ca="1"/>
        <v>-0.55960901012673558</v>
      </c>
      <c r="X8118" s="2">
        <f ca="1"/>
        <v>48.452022606452772</v>
      </c>
      <c r="AG8118" s="2">
        <f ca="1"/>
        <v>0.41336913293388022</v>
      </c>
      <c r="AH8118" s="2" t="str">
        <f ca="1"/>
        <v>Bad</v>
      </c>
    </row>
    <row r="8119" spans="2:34">
      <c r="B8119" s="2">
        <f ca="1"/>
        <v>0.15783361816025687</v>
      </c>
      <c r="O8119" s="2">
        <f ca="1"/>
        <v>0.27414616541299913</v>
      </c>
      <c r="X8119" s="2">
        <f ca="1"/>
        <v>64.349060908735979</v>
      </c>
      <c r="AG8119" s="2">
        <f ca="1"/>
        <v>0.83835667886832499</v>
      </c>
      <c r="AH8119" s="2" t="str">
        <f ca="1"/>
        <v>Bad</v>
      </c>
    </row>
    <row r="8120" spans="2:34">
      <c r="B8120" s="2">
        <f ca="1"/>
        <v>0.70773821532581072</v>
      </c>
      <c r="O8120" s="2">
        <f ca="1"/>
        <v>-0.40492340604808685</v>
      </c>
      <c r="X8120" s="2">
        <f ca="1"/>
        <v>61.698482611276091</v>
      </c>
      <c r="AG8120" s="2">
        <f ca="1"/>
        <v>0.11989504246840954</v>
      </c>
      <c r="AH8120" s="2" t="str">
        <f ca="1"/>
        <v>OK</v>
      </c>
    </row>
    <row r="8121" spans="2:34">
      <c r="B8121" s="2">
        <f ca="1"/>
        <v>0.2662247348472444</v>
      </c>
      <c r="O8121" s="2">
        <f ca="1"/>
        <v>2.4877084112760635E-2</v>
      </c>
      <c r="X8121" s="2">
        <f ca="1"/>
        <v>54.514280039313086</v>
      </c>
      <c r="AG8121" s="2">
        <f ca="1"/>
        <v>0.75332675963021556</v>
      </c>
      <c r="AH8121" s="2" t="str">
        <f ca="1"/>
        <v>Bad</v>
      </c>
    </row>
    <row r="8122" spans="2:34">
      <c r="B8122" s="2">
        <f ca="1"/>
        <v>0.94648444382273955</v>
      </c>
      <c r="O8122" s="2">
        <f ca="1"/>
        <v>0.48249855566061534</v>
      </c>
      <c r="X8122" s="2">
        <f ca="1"/>
        <v>78.235120430623283</v>
      </c>
      <c r="AG8122" s="2">
        <f ca="1"/>
        <v>0.75206538463729689</v>
      </c>
      <c r="AH8122" s="2" t="str">
        <f ca="1"/>
        <v>Bad</v>
      </c>
    </row>
    <row r="8123" spans="2:34">
      <c r="B8123" s="2">
        <f ca="1"/>
        <v>0.94566247062028141</v>
      </c>
      <c r="O8123" s="2">
        <f ca="1"/>
        <v>0.77499236492321644</v>
      </c>
      <c r="X8123" s="2">
        <f ca="1"/>
        <v>56.175046243757841</v>
      </c>
      <c r="AG8123" s="2">
        <f ca="1"/>
        <v>0.50667260103039258</v>
      </c>
      <c r="AH8123" s="2" t="str">
        <f ca="1"/>
        <v>Bad</v>
      </c>
    </row>
    <row r="8124" spans="2:34">
      <c r="B8124" s="2">
        <f ca="1"/>
        <v>0.52095447613068191</v>
      </c>
      <c r="O8124" s="2">
        <f ca="1"/>
        <v>-1.5919173205561887</v>
      </c>
      <c r="X8124" s="2">
        <f ca="1"/>
        <v>91.752995540799589</v>
      </c>
      <c r="AG8124" s="2">
        <f ca="1"/>
        <v>0.51201742177963783</v>
      </c>
      <c r="AH8124" s="2" t="str">
        <f ca="1"/>
        <v>Bad</v>
      </c>
    </row>
    <row r="8125" spans="2:34">
      <c r="B8125" s="2">
        <f ca="1"/>
        <v>0.21622899411865015</v>
      </c>
      <c r="O8125" s="2">
        <f ca="1"/>
        <v>0.21309693048120934</v>
      </c>
      <c r="X8125" s="2">
        <f ca="1"/>
        <v>52.26711977180544</v>
      </c>
      <c r="AG8125" s="2">
        <f ca="1"/>
        <v>0.22422987707364483</v>
      </c>
      <c r="AH8125" s="2" t="str">
        <f ca="1"/>
        <v>OK</v>
      </c>
    </row>
    <row r="8126" spans="2:34">
      <c r="B8126" s="2">
        <f ca="1"/>
        <v>0.60644181128122798</v>
      </c>
      <c r="O8126" s="2">
        <f ca="1"/>
        <v>1.0648547192101581</v>
      </c>
      <c r="X8126" s="2">
        <f ca="1"/>
        <v>38.4688410986655</v>
      </c>
      <c r="AG8126" s="2">
        <f ca="1"/>
        <v>0.86981248068715056</v>
      </c>
      <c r="AH8126" s="2" t="str">
        <f ca="1"/>
        <v>Bad</v>
      </c>
    </row>
    <row r="8127" spans="2:34">
      <c r="B8127" s="2">
        <f ca="1"/>
        <v>0.83636484065625716</v>
      </c>
      <c r="O8127" s="2">
        <f ca="1"/>
        <v>-0.54365275866864338</v>
      </c>
      <c r="X8127" s="2">
        <f ca="1"/>
        <v>46.604874696486405</v>
      </c>
      <c r="AG8127" s="2">
        <f ca="1"/>
        <v>0.91708228886341536</v>
      </c>
      <c r="AH8127" s="2" t="str">
        <f ca="1"/>
        <v>Bad</v>
      </c>
    </row>
    <row r="8128" spans="2:34">
      <c r="B8128" s="2">
        <f ca="1"/>
        <v>0.80811951493642864</v>
      </c>
      <c r="O8128" s="2">
        <f ca="1"/>
        <v>0.9035570321548082</v>
      </c>
      <c r="X8128" s="2">
        <f ca="1"/>
        <v>44.877090129847439</v>
      </c>
      <c r="AG8128" s="2">
        <f ca="1"/>
        <v>0.8807026393107058</v>
      </c>
      <c r="AH8128" s="2" t="str">
        <f ca="1"/>
        <v>Bad</v>
      </c>
    </row>
    <row r="8129" spans="2:34">
      <c r="B8129" s="2">
        <f ca="1"/>
        <v>0.4642583026690672</v>
      </c>
      <c r="O8129" s="2">
        <f ca="1"/>
        <v>-1.9683046984148409</v>
      </c>
      <c r="X8129" s="2">
        <f ca="1"/>
        <v>32.896681722102755</v>
      </c>
      <c r="AG8129" s="2">
        <f ca="1"/>
        <v>0.42756656885658284</v>
      </c>
      <c r="AH8129" s="2" t="str">
        <f ca="1"/>
        <v>Bad</v>
      </c>
    </row>
    <row r="8130" spans="2:34">
      <c r="B8130" s="2">
        <f ca="1"/>
        <v>0.28021145845438422</v>
      </c>
      <c r="O8130" s="2">
        <f ca="1"/>
        <v>-0.88401726650870394</v>
      </c>
      <c r="X8130" s="2">
        <f ca="1"/>
        <v>64.820805604141881</v>
      </c>
      <c r="AG8130" s="2">
        <f ca="1"/>
        <v>0.9735758996609718</v>
      </c>
      <c r="AH8130" s="2" t="str">
        <f ca="1"/>
        <v>Bad</v>
      </c>
    </row>
    <row r="8131" spans="2:34">
      <c r="B8131" s="2">
        <f ca="1"/>
        <v>0.17338054876631581</v>
      </c>
      <c r="O8131" s="2">
        <f ca="1"/>
        <v>1.0465614980630131</v>
      </c>
      <c r="X8131" s="2">
        <f ca="1"/>
        <v>59.541057482720852</v>
      </c>
      <c r="AG8131" s="2">
        <f ca="1"/>
        <v>0.72453658844786673</v>
      </c>
      <c r="AH8131" s="2" t="str">
        <f ca="1"/>
        <v>Bad</v>
      </c>
    </row>
    <row r="8132" spans="2:34">
      <c r="B8132" s="2">
        <f ca="1"/>
        <v>1.2613694624741267E-2</v>
      </c>
      <c r="O8132" s="2">
        <f ca="1"/>
        <v>0.27943402730355815</v>
      </c>
      <c r="X8132" s="2">
        <f ca="1"/>
        <v>55.271183415367474</v>
      </c>
      <c r="AG8132" s="2">
        <f ca="1"/>
        <v>0.2269797791912973</v>
      </c>
      <c r="AH8132" s="2" t="str">
        <f ca="1"/>
        <v>OK</v>
      </c>
    </row>
    <row r="8133" spans="2:34">
      <c r="B8133" s="2">
        <f ca="1"/>
        <v>4.0402993209247562E-2</v>
      </c>
      <c r="O8133" s="2">
        <f ca="1"/>
        <v>1.0788581945032254</v>
      </c>
      <c r="X8133" s="2">
        <f ca="1"/>
        <v>55.159621179834765</v>
      </c>
      <c r="AG8133" s="2">
        <f ca="1"/>
        <v>0.52042231533947159</v>
      </c>
      <c r="AH8133" s="2" t="str">
        <f ca="1"/>
        <v>Bad</v>
      </c>
    </row>
    <row r="8134" spans="2:34">
      <c r="B8134" s="2">
        <f ca="1"/>
        <v>0.86638125999483839</v>
      </c>
      <c r="O8134" s="2">
        <f ca="1"/>
        <v>-1.1496264193364223</v>
      </c>
      <c r="X8134" s="2">
        <f ca="1"/>
        <v>26.865992463896973</v>
      </c>
      <c r="AG8134" s="2">
        <f ca="1"/>
        <v>0.25887504581058285</v>
      </c>
      <c r="AH8134" s="2" t="str">
        <f ca="1"/>
        <v>OK</v>
      </c>
    </row>
    <row r="8135" spans="2:34">
      <c r="B8135" s="2">
        <f ca="1"/>
        <v>1.1792409964852535E-2</v>
      </c>
      <c r="O8135" s="2">
        <f ca="1"/>
        <v>-1.6323824043479418</v>
      </c>
      <c r="X8135" s="2">
        <f ca="1"/>
        <v>88.51948577014636</v>
      </c>
      <c r="AG8135" s="2">
        <f ca="1"/>
        <v>0.59591440448938582</v>
      </c>
      <c r="AH8135" s="2" t="str">
        <f ca="1"/>
        <v>Bad</v>
      </c>
    </row>
    <row r="8136" spans="2:34">
      <c r="B8136" s="2">
        <f ca="1"/>
        <v>1.3930564519631039E-2</v>
      </c>
      <c r="O8136" s="2">
        <f ca="1"/>
        <v>-0.88187075329030506</v>
      </c>
      <c r="X8136" s="2">
        <f ca="1"/>
        <v>43.38110061714297</v>
      </c>
      <c r="AG8136" s="2">
        <f ca="1"/>
        <v>0.81675431765106921</v>
      </c>
      <c r="AH8136" s="2" t="str">
        <f ca="1"/>
        <v>Bad</v>
      </c>
    </row>
    <row r="8137" spans="2:34">
      <c r="B8137" s="2">
        <f ca="1"/>
        <v>0.85505178166277451</v>
      </c>
      <c r="O8137" s="2">
        <f ca="1"/>
        <v>1.7081525454283877</v>
      </c>
      <c r="X8137" s="2">
        <f ca="1"/>
        <v>36.516016562134283</v>
      </c>
      <c r="AG8137" s="2">
        <f ca="1"/>
        <v>3.4513328929289155E-2</v>
      </c>
      <c r="AH8137" s="2" t="str">
        <f ca="1"/>
        <v>Good</v>
      </c>
    </row>
    <row r="8138" spans="2:34">
      <c r="B8138" s="2">
        <f ca="1"/>
        <v>0.61937663404522003</v>
      </c>
      <c r="O8138" s="2">
        <f ca="1"/>
        <v>0.97702234252752973</v>
      </c>
      <c r="X8138" s="2">
        <f ca="1"/>
        <v>29.140611158635885</v>
      </c>
      <c r="AG8138" s="2">
        <f ca="1"/>
        <v>0.85405458845524018</v>
      </c>
      <c r="AH8138" s="2" t="str">
        <f ca="1"/>
        <v>Bad</v>
      </c>
    </row>
    <row r="8139" spans="2:34">
      <c r="B8139" s="2">
        <f ca="1"/>
        <v>0.40912326129515653</v>
      </c>
      <c r="O8139" s="2">
        <f ca="1"/>
        <v>-0.37025326134252018</v>
      </c>
      <c r="X8139" s="2">
        <f ca="1"/>
        <v>42.584715661404502</v>
      </c>
      <c r="AG8139" s="2">
        <f ca="1"/>
        <v>0.22201551011252851</v>
      </c>
      <c r="AH8139" s="2" t="str">
        <f ca="1"/>
        <v>OK</v>
      </c>
    </row>
    <row r="8140" spans="2:34">
      <c r="B8140" s="2">
        <f ca="1"/>
        <v>0.92963494937641844</v>
      </c>
      <c r="O8140" s="2">
        <f ca="1"/>
        <v>-0.18416300592164978</v>
      </c>
      <c r="X8140" s="2">
        <f ca="1"/>
        <v>72.029732966058887</v>
      </c>
      <c r="AG8140" s="2">
        <f ca="1"/>
        <v>0.52230964510896283</v>
      </c>
      <c r="AH8140" s="2" t="str">
        <f ca="1"/>
        <v>Bad</v>
      </c>
    </row>
    <row r="8141" spans="2:34">
      <c r="B8141" s="2">
        <f ca="1"/>
        <v>0.88932028313097922</v>
      </c>
      <c r="O8141" s="2">
        <f ca="1"/>
        <v>8.8079393179620311E-2</v>
      </c>
      <c r="X8141" s="2">
        <f ca="1"/>
        <v>62.571252620779219</v>
      </c>
      <c r="AG8141" s="2">
        <f ca="1"/>
        <v>0.9980933784473689</v>
      </c>
      <c r="AH8141" s="2" t="str">
        <f ca="1"/>
        <v>Bad</v>
      </c>
    </row>
    <row r="8142" spans="2:34">
      <c r="B8142" s="2">
        <f ca="1"/>
        <v>0.27406334513741437</v>
      </c>
      <c r="O8142" s="2">
        <f ca="1"/>
        <v>-0.64447099147839815</v>
      </c>
      <c r="X8142" s="2">
        <f ca="1"/>
        <v>69.698244989384804</v>
      </c>
      <c r="AG8142" s="2">
        <f ca="1"/>
        <v>0.9161718995500725</v>
      </c>
      <c r="AH8142" s="2" t="str">
        <f ca="1"/>
        <v>Bad</v>
      </c>
    </row>
    <row r="8143" spans="2:34">
      <c r="B8143" s="2">
        <f ca="1"/>
        <v>0.7563017679722952</v>
      </c>
      <c r="O8143" s="2">
        <f ca="1"/>
        <v>0.2194367368278955</v>
      </c>
      <c r="X8143" s="2">
        <f ca="1"/>
        <v>48.159690440981286</v>
      </c>
      <c r="AG8143" s="2">
        <f ca="1"/>
        <v>2.5079619105766504E-2</v>
      </c>
      <c r="AH8143" s="2" t="str">
        <f ca="1"/>
        <v>Good</v>
      </c>
    </row>
    <row r="8144" spans="2:34">
      <c r="B8144" s="2">
        <f ca="1"/>
        <v>0.75006454682238766</v>
      </c>
      <c r="O8144" s="2">
        <f ca="1"/>
        <v>-0.95548412424818152</v>
      </c>
      <c r="X8144" s="2">
        <f ca="1"/>
        <v>56.22981698409609</v>
      </c>
      <c r="AG8144" s="2">
        <f ca="1"/>
        <v>0.66709158334111773</v>
      </c>
      <c r="AH8144" s="2" t="str">
        <f ca="1"/>
        <v>Bad</v>
      </c>
    </row>
    <row r="8145" spans="2:34">
      <c r="B8145" s="2">
        <f ca="1"/>
        <v>0.22460566616636246</v>
      </c>
      <c r="O8145" s="2">
        <f ca="1"/>
        <v>-4.0128301789481936E-2</v>
      </c>
      <c r="X8145" s="2">
        <f ca="1"/>
        <v>39.623426309988936</v>
      </c>
      <c r="AG8145" s="2">
        <f ca="1"/>
        <v>0.14355792476906304</v>
      </c>
      <c r="AH8145" s="2" t="str">
        <f ca="1"/>
        <v>OK</v>
      </c>
    </row>
    <row r="8146" spans="2:34">
      <c r="B8146" s="2">
        <f ca="1"/>
        <v>0.22707052252225535</v>
      </c>
      <c r="O8146" s="2">
        <f ca="1"/>
        <v>0.16559888942637696</v>
      </c>
      <c r="X8146" s="2">
        <f ca="1"/>
        <v>39.657708322193542</v>
      </c>
      <c r="AG8146" s="2">
        <f ca="1"/>
        <v>0.85401908771909696</v>
      </c>
      <c r="AH8146" s="2" t="str">
        <f ca="1"/>
        <v>Bad</v>
      </c>
    </row>
    <row r="8147" spans="2:34">
      <c r="B8147" s="2">
        <f ca="1"/>
        <v>0.48837227362813773</v>
      </c>
      <c r="O8147" s="2">
        <f ca="1"/>
        <v>1.4088879581465761</v>
      </c>
      <c r="X8147" s="2">
        <f ca="1"/>
        <v>27.527897816652885</v>
      </c>
      <c r="AG8147" s="2">
        <f ca="1"/>
        <v>0.53572017419984164</v>
      </c>
      <c r="AH8147" s="2" t="str">
        <f ca="1"/>
        <v>Bad</v>
      </c>
    </row>
    <row r="8148" spans="2:34">
      <c r="B8148" s="2">
        <f ca="1"/>
        <v>0.22222650902456387</v>
      </c>
      <c r="O8148" s="2">
        <f ca="1"/>
        <v>0.69168993636733167</v>
      </c>
      <c r="X8148" s="2">
        <f ca="1"/>
        <v>69.871108199473923</v>
      </c>
      <c r="AG8148" s="2">
        <f ca="1"/>
        <v>0.12317220583936672</v>
      </c>
      <c r="AH8148" s="2" t="str">
        <f ca="1"/>
        <v>OK</v>
      </c>
    </row>
    <row r="8149" spans="2:34">
      <c r="B8149" s="2">
        <f ca="1"/>
        <v>0.21571330070670203</v>
      </c>
      <c r="O8149" s="2">
        <f ca="1"/>
        <v>1.1559015408072013</v>
      </c>
      <c r="X8149" s="2">
        <f ca="1"/>
        <v>38.455300919048554</v>
      </c>
      <c r="AG8149" s="2">
        <f ca="1"/>
        <v>0.35214048987231683</v>
      </c>
      <c r="AH8149" s="2" t="str">
        <f ca="1"/>
        <v>OK</v>
      </c>
    </row>
    <row r="8150" spans="2:34">
      <c r="B8150" s="2">
        <f ca="1"/>
        <v>0.87315611238011948</v>
      </c>
      <c r="O8150" s="2">
        <f ca="1"/>
        <v>0.50462472165058103</v>
      </c>
      <c r="X8150" s="2">
        <f ca="1"/>
        <v>40.259399808287924</v>
      </c>
      <c r="AG8150" s="2">
        <f ca="1"/>
        <v>0.20106724720226388</v>
      </c>
      <c r="AH8150" s="2" t="str">
        <f ca="1"/>
        <v>OK</v>
      </c>
    </row>
    <row r="8151" spans="2:34">
      <c r="B8151" s="2">
        <f ca="1"/>
        <v>0.19875834415342708</v>
      </c>
      <c r="O8151" s="2">
        <f ca="1"/>
        <v>-4.2337490495274362E-2</v>
      </c>
      <c r="X8151" s="2">
        <f ca="1"/>
        <v>72.614327133079229</v>
      </c>
      <c r="AG8151" s="2">
        <f ca="1"/>
        <v>0.86966355401653606</v>
      </c>
      <c r="AH8151" s="2" t="str">
        <f ca="1"/>
        <v>Bad</v>
      </c>
    </row>
    <row r="8152" spans="2:34">
      <c r="B8152" s="2">
        <f ca="1"/>
        <v>0.12349260529195294</v>
      </c>
      <c r="O8152" s="2">
        <f ca="1"/>
        <v>-0.99009046168547621</v>
      </c>
      <c r="X8152" s="2">
        <f ca="1"/>
        <v>39.640740533069597</v>
      </c>
      <c r="AG8152" s="2">
        <f ca="1"/>
        <v>0.60255963186145522</v>
      </c>
      <c r="AH8152" s="2" t="str">
        <f ca="1"/>
        <v>Bad</v>
      </c>
    </row>
    <row r="8153" spans="2:34">
      <c r="B8153" s="2">
        <f ca="1"/>
        <v>0.26750759200877949</v>
      </c>
      <c r="O8153" s="2">
        <f ca="1"/>
        <v>1.4226043549029264</v>
      </c>
      <c r="X8153" s="2">
        <f ca="1"/>
        <v>38.961846837378637</v>
      </c>
      <c r="AG8153" s="2">
        <f ca="1"/>
        <v>0.22678546651948817</v>
      </c>
      <c r="AH8153" s="2" t="str">
        <f ca="1"/>
        <v>OK</v>
      </c>
    </row>
    <row r="8154" spans="2:34">
      <c r="B8154" s="2">
        <f ca="1"/>
        <v>0.65103055367449203</v>
      </c>
      <c r="O8154" s="2">
        <f ca="1"/>
        <v>0.36682717599828174</v>
      </c>
      <c r="X8154" s="2">
        <f ca="1"/>
        <v>45.33439185019521</v>
      </c>
      <c r="AG8154" s="2">
        <f ca="1"/>
        <v>0.31723063588816225</v>
      </c>
      <c r="AH8154" s="2" t="str">
        <f ca="1"/>
        <v>OK</v>
      </c>
    </row>
    <row r="8155" spans="2:34">
      <c r="B8155" s="2">
        <f ca="1"/>
        <v>0.11043282897794571</v>
      </c>
      <c r="O8155" s="2">
        <f ca="1"/>
        <v>-1.0419205978357262</v>
      </c>
      <c r="X8155" s="2">
        <f ca="1"/>
        <v>62.538285518499698</v>
      </c>
      <c r="AG8155" s="2">
        <f ca="1"/>
        <v>0.97724795927751673</v>
      </c>
      <c r="AH8155" s="2" t="str">
        <f ca="1"/>
        <v>Bad</v>
      </c>
    </row>
    <row r="8156" spans="2:34">
      <c r="B8156" s="2">
        <f ca="1"/>
        <v>0.78555520975098414</v>
      </c>
      <c r="O8156" s="2">
        <f ca="1"/>
        <v>0.82084245098797748</v>
      </c>
      <c r="X8156" s="2">
        <f ca="1"/>
        <v>37.25797717906449</v>
      </c>
      <c r="AG8156" s="2">
        <f ca="1"/>
        <v>0.92002763518073905</v>
      </c>
      <c r="AH8156" s="2" t="str">
        <f ca="1"/>
        <v>Bad</v>
      </c>
    </row>
    <row r="8157" spans="2:34">
      <c r="B8157" s="2">
        <f ca="1"/>
        <v>0.14708046342887759</v>
      </c>
      <c r="O8157" s="2">
        <f ca="1"/>
        <v>-1.7370446844940799</v>
      </c>
      <c r="X8157" s="2">
        <f ca="1"/>
        <v>74.577777172127909</v>
      </c>
      <c r="AG8157" s="2">
        <f ca="1"/>
        <v>0.39153938871308069</v>
      </c>
      <c r="AH8157" s="2" t="str">
        <f ca="1"/>
        <v>OK</v>
      </c>
    </row>
    <row r="8158" spans="2:34">
      <c r="B8158" s="2">
        <f ca="1"/>
        <v>0.8214181403075369</v>
      </c>
      <c r="O8158" s="2">
        <f ca="1"/>
        <v>1.2779472459030812</v>
      </c>
      <c r="X8158" s="2">
        <f ca="1"/>
        <v>38.708264915978503</v>
      </c>
      <c r="AG8158" s="2">
        <f ca="1"/>
        <v>0.86881496141521741</v>
      </c>
      <c r="AH8158" s="2" t="str">
        <f ca="1"/>
        <v>Bad</v>
      </c>
    </row>
    <row r="8159" spans="2:34">
      <c r="B8159" s="2">
        <f ca="1"/>
        <v>2.7684930369797911E-4</v>
      </c>
      <c r="O8159" s="2">
        <f ca="1"/>
        <v>5.5260149320502348E-2</v>
      </c>
      <c r="X8159" s="2">
        <f ca="1"/>
        <v>31.755988254797344</v>
      </c>
      <c r="AG8159" s="2">
        <f ca="1"/>
        <v>0.35975407285954719</v>
      </c>
      <c r="AH8159" s="2" t="str">
        <f ca="1"/>
        <v>OK</v>
      </c>
    </row>
    <row r="8160" spans="2:34">
      <c r="B8160" s="2">
        <f ca="1"/>
        <v>0.90955825120946443</v>
      </c>
      <c r="O8160" s="2">
        <f ca="1"/>
        <v>-0.71530080334278312</v>
      </c>
      <c r="X8160" s="2">
        <f ca="1"/>
        <v>59.264060564645121</v>
      </c>
      <c r="AG8160" s="2">
        <f ca="1"/>
        <v>0.45221107995191923</v>
      </c>
      <c r="AH8160" s="2" t="str">
        <f ca="1"/>
        <v>Bad</v>
      </c>
    </row>
    <row r="8161" spans="2:34">
      <c r="B8161" s="2">
        <f ca="1"/>
        <v>0.93191620355245752</v>
      </c>
      <c r="O8161" s="2">
        <f ca="1"/>
        <v>0.52804064672048279</v>
      </c>
      <c r="X8161" s="2">
        <f ca="1"/>
        <v>50.364921749157176</v>
      </c>
      <c r="AG8161" s="2">
        <f ca="1"/>
        <v>0.27834822770921819</v>
      </c>
      <c r="AH8161" s="2" t="str">
        <f ca="1"/>
        <v>OK</v>
      </c>
    </row>
    <row r="8162" spans="2:34">
      <c r="B8162" s="2">
        <f ca="1"/>
        <v>0.53981231086576287</v>
      </c>
      <c r="O8162" s="2">
        <f ca="1"/>
        <v>-0.33364404748471899</v>
      </c>
      <c r="X8162" s="2">
        <f ca="1"/>
        <v>63.5573790635219</v>
      </c>
      <c r="AG8162" s="2">
        <f ca="1"/>
        <v>0.46491242456754378</v>
      </c>
      <c r="AH8162" s="2" t="str">
        <f ca="1"/>
        <v>Bad</v>
      </c>
    </row>
    <row r="8163" spans="2:34">
      <c r="B8163" s="2">
        <f ca="1"/>
        <v>0.79835692825853011</v>
      </c>
      <c r="O8163" s="2">
        <f ca="1"/>
        <v>0.61193030031335094</v>
      </c>
      <c r="X8163" s="2">
        <f ca="1"/>
        <v>33.420167937068101</v>
      </c>
      <c r="AG8163" s="2">
        <f ca="1"/>
        <v>8.132438464849967E-2</v>
      </c>
      <c r="AH8163" s="2" t="str">
        <f ca="1"/>
        <v>OK</v>
      </c>
    </row>
    <row r="8164" spans="2:34">
      <c r="B8164" s="2">
        <f ca="1"/>
        <v>0.91117089456873157</v>
      </c>
      <c r="O8164" s="2">
        <f ca="1"/>
        <v>0.33181776509042626</v>
      </c>
      <c r="X8164" s="2">
        <f ca="1"/>
        <v>84.234504910173371</v>
      </c>
      <c r="AG8164" s="2">
        <f ca="1"/>
        <v>0.20684051475010601</v>
      </c>
      <c r="AH8164" s="2" t="str">
        <f ca="1"/>
        <v>OK</v>
      </c>
    </row>
    <row r="8165" spans="2:34">
      <c r="B8165" s="2">
        <f ca="1"/>
        <v>0.29691094849546218</v>
      </c>
      <c r="O8165" s="2">
        <f ca="1"/>
        <v>-0.18853576760365529</v>
      </c>
      <c r="X8165" s="2">
        <f ca="1"/>
        <v>64.627180828977473</v>
      </c>
      <c r="AG8165" s="2">
        <f ca="1"/>
        <v>0.71626273677629859</v>
      </c>
      <c r="AH8165" s="2" t="str">
        <f ca="1"/>
        <v>Bad</v>
      </c>
    </row>
    <row r="8166" spans="2:34">
      <c r="B8166" s="2">
        <f ca="1"/>
        <v>0.36964654090877458</v>
      </c>
      <c r="O8166" s="2">
        <f ca="1"/>
        <v>1.9084024200086542</v>
      </c>
      <c r="X8166" s="2">
        <f ca="1"/>
        <v>48.417399357115343</v>
      </c>
      <c r="AG8166" s="2">
        <f ca="1"/>
        <v>0.55511497748424499</v>
      </c>
      <c r="AH8166" s="2" t="str">
        <f ca="1"/>
        <v>Bad</v>
      </c>
    </row>
    <row r="8167" spans="2:34">
      <c r="B8167" s="2">
        <f ca="1"/>
        <v>0.92224337131614176</v>
      </c>
      <c r="O8167" s="2">
        <f ca="1"/>
        <v>0.21354915141270875</v>
      </c>
      <c r="X8167" s="2">
        <f ca="1"/>
        <v>34.342383449824396</v>
      </c>
      <c r="AG8167" s="2">
        <f ca="1"/>
        <v>0.3322774774824282</v>
      </c>
      <c r="AH8167" s="2" t="str">
        <f ca="1"/>
        <v>OK</v>
      </c>
    </row>
    <row r="8168" spans="2:34">
      <c r="B8168" s="2">
        <f ca="1"/>
        <v>0.92344061231690722</v>
      </c>
      <c r="O8168" s="2">
        <f ca="1"/>
        <v>0.54583367636594149</v>
      </c>
      <c r="X8168" s="2">
        <f ca="1"/>
        <v>34.163205520848777</v>
      </c>
      <c r="AG8168" s="2">
        <f ca="1"/>
        <v>0.81693334485557911</v>
      </c>
      <c r="AH8168" s="2" t="str">
        <f ca="1"/>
        <v>Bad</v>
      </c>
    </row>
    <row r="8169" spans="2:34">
      <c r="B8169" s="2">
        <f ca="1"/>
        <v>0.94990983619195579</v>
      </c>
      <c r="O8169" s="2">
        <f ca="1"/>
        <v>-1.8366614136172867</v>
      </c>
      <c r="X8169" s="2">
        <f ca="1"/>
        <v>68.636266260854057</v>
      </c>
      <c r="AG8169" s="2">
        <f ca="1"/>
        <v>0.20417792898844778</v>
      </c>
      <c r="AH8169" s="2" t="str">
        <f ca="1"/>
        <v>OK</v>
      </c>
    </row>
    <row r="8170" spans="2:34">
      <c r="B8170" s="2">
        <f ca="1"/>
        <v>0.58319928611387972</v>
      </c>
      <c r="O8170" s="2">
        <f ca="1"/>
        <v>1.1291524683361105</v>
      </c>
      <c r="X8170" s="2">
        <f ca="1"/>
        <v>73.116897861470392</v>
      </c>
      <c r="AG8170" s="2">
        <f ca="1"/>
        <v>0.91642024618460094</v>
      </c>
      <c r="AH8170" s="2" t="str">
        <f ca="1"/>
        <v>Bad</v>
      </c>
    </row>
    <row r="8171" spans="2:34">
      <c r="B8171" s="2">
        <f ca="1"/>
        <v>0.75038094694136181</v>
      </c>
      <c r="O8171" s="2">
        <f ca="1"/>
        <v>0.65313511198371044</v>
      </c>
      <c r="X8171" s="2">
        <f ca="1"/>
        <v>69.07139665000318</v>
      </c>
      <c r="AG8171" s="2">
        <f ca="1"/>
        <v>0.47368599406156076</v>
      </c>
      <c r="AH8171" s="2" t="str">
        <f ca="1"/>
        <v>Bad</v>
      </c>
    </row>
    <row r="8172" spans="2:34">
      <c r="B8172" s="2">
        <f ca="1"/>
        <v>0.57796216742711537</v>
      </c>
      <c r="O8172" s="2">
        <f ca="1"/>
        <v>0.14454377697879311</v>
      </c>
      <c r="X8172" s="2">
        <f ca="1"/>
        <v>37.27308706664963</v>
      </c>
      <c r="AG8172" s="2">
        <f ca="1"/>
        <v>0.75217132025966671</v>
      </c>
      <c r="AH8172" s="2" t="str">
        <f ca="1"/>
        <v>Bad</v>
      </c>
    </row>
    <row r="8173" spans="2:34">
      <c r="B8173" s="2">
        <f ca="1"/>
        <v>0.43699246044764273</v>
      </c>
      <c r="O8173" s="2">
        <f ca="1"/>
        <v>1.3256010210693143</v>
      </c>
      <c r="X8173" s="2">
        <f ca="1"/>
        <v>30.928085190905538</v>
      </c>
      <c r="AG8173" s="2">
        <f ca="1"/>
        <v>0.1974428172862055</v>
      </c>
      <c r="AH8173" s="2" t="str">
        <f ca="1"/>
        <v>OK</v>
      </c>
    </row>
    <row r="8174" spans="2:34">
      <c r="B8174" s="2">
        <f ca="1"/>
        <v>0.82158470459457078</v>
      </c>
      <c r="O8174" s="2">
        <f ca="1"/>
        <v>-0.24231761010711578</v>
      </c>
      <c r="X8174" s="2">
        <f ca="1"/>
        <v>56.753591953062028</v>
      </c>
      <c r="AG8174" s="2">
        <f ca="1"/>
        <v>0.38865561197284682</v>
      </c>
      <c r="AH8174" s="2" t="str">
        <f ca="1"/>
        <v>OK</v>
      </c>
    </row>
    <row r="8175" spans="2:34">
      <c r="B8175" s="2">
        <f ca="1"/>
        <v>0.31726982782002988</v>
      </c>
      <c r="O8175" s="2">
        <f ca="1"/>
        <v>2.1668317994156316</v>
      </c>
      <c r="X8175" s="2">
        <f ca="1"/>
        <v>54.015987619116771</v>
      </c>
      <c r="AG8175" s="2">
        <f ca="1"/>
        <v>2.5563339023697562E-2</v>
      </c>
      <c r="AH8175" s="2" t="str">
        <f ca="1"/>
        <v>Good</v>
      </c>
    </row>
    <row r="8176" spans="2:34">
      <c r="B8176" s="2">
        <f ca="1"/>
        <v>0.23990198594371903</v>
      </c>
      <c r="O8176" s="2">
        <f ca="1"/>
        <v>-0.83316304173446598</v>
      </c>
      <c r="X8176" s="2">
        <f ca="1"/>
        <v>25.558841247973668</v>
      </c>
      <c r="AG8176" s="2">
        <f ca="1"/>
        <v>8.7963345161169437E-2</v>
      </c>
      <c r="AH8176" s="2" t="str">
        <f ca="1"/>
        <v>OK</v>
      </c>
    </row>
    <row r="8177" spans="2:34">
      <c r="B8177" s="2">
        <f ca="1"/>
        <v>0.10397706938013074</v>
      </c>
      <c r="O8177" s="2">
        <f ca="1"/>
        <v>-0.4971768320693557</v>
      </c>
      <c r="X8177" s="2">
        <f ca="1"/>
        <v>67.725357360443397</v>
      </c>
      <c r="AG8177" s="2">
        <f ca="1"/>
        <v>0.10702350073564015</v>
      </c>
      <c r="AH8177" s="2" t="str">
        <f ca="1"/>
        <v>OK</v>
      </c>
    </row>
    <row r="8178" spans="2:34">
      <c r="B8178" s="2">
        <f ca="1"/>
        <v>0.70995544731454596</v>
      </c>
      <c r="O8178" s="2">
        <f ca="1"/>
        <v>-0.33289371131709533</v>
      </c>
      <c r="X8178" s="2">
        <f ca="1"/>
        <v>29.105788644206157</v>
      </c>
      <c r="AG8178" s="2">
        <f ca="1"/>
        <v>0.28241680436045269</v>
      </c>
      <c r="AH8178" s="2" t="str">
        <f ca="1"/>
        <v>OK</v>
      </c>
    </row>
    <row r="8179" spans="2:34">
      <c r="B8179" s="2">
        <f ca="1"/>
        <v>0.15555416001957179</v>
      </c>
      <c r="O8179" s="2">
        <f ca="1"/>
        <v>0.65798776837882955</v>
      </c>
      <c r="X8179" s="2">
        <f ca="1"/>
        <v>56.538336933219881</v>
      </c>
      <c r="AG8179" s="2">
        <f ca="1"/>
        <v>0.85732342737933998</v>
      </c>
      <c r="AH8179" s="2" t="str">
        <f ca="1"/>
        <v>Bad</v>
      </c>
    </row>
    <row r="8180" spans="2:34">
      <c r="B8180" s="2">
        <f ca="1"/>
        <v>0.62080597991442388</v>
      </c>
      <c r="O8180" s="2">
        <f ca="1"/>
        <v>-0.6895949855476089</v>
      </c>
      <c r="X8180" s="2">
        <f ca="1"/>
        <v>28.315026711494177</v>
      </c>
      <c r="AG8180" s="2">
        <f ca="1"/>
        <v>0.55636089268143585</v>
      </c>
      <c r="AH8180" s="2" t="str">
        <f ca="1"/>
        <v>Bad</v>
      </c>
    </row>
    <row r="8181" spans="2:34">
      <c r="B8181" s="2">
        <f ca="1"/>
        <v>0.21703859209740672</v>
      </c>
      <c r="O8181" s="2">
        <f ca="1"/>
        <v>-0.8926673899713865</v>
      </c>
      <c r="X8181" s="2">
        <f ca="1"/>
        <v>40.072342630989503</v>
      </c>
      <c r="AG8181" s="2">
        <f ca="1"/>
        <v>2.8654392231784787E-2</v>
      </c>
      <c r="AH8181" s="2" t="str">
        <f ca="1"/>
        <v>Good</v>
      </c>
    </row>
    <row r="8182" spans="2:34">
      <c r="B8182" s="2">
        <f ca="1"/>
        <v>4.6336552795325003E-2</v>
      </c>
      <c r="O8182" s="2">
        <f ca="1"/>
        <v>1.0254784437027931</v>
      </c>
      <c r="X8182" s="2">
        <f ca="1"/>
        <v>41.523258685578035</v>
      </c>
      <c r="AG8182" s="2">
        <f ca="1"/>
        <v>0.64902893351513868</v>
      </c>
      <c r="AH8182" s="2" t="str">
        <f ca="1"/>
        <v>Bad</v>
      </c>
    </row>
    <row r="8183" spans="2:34">
      <c r="B8183" s="2">
        <f ca="1"/>
        <v>0.2829647178360879</v>
      </c>
      <c r="O8183" s="2">
        <f ca="1"/>
        <v>-0.68840340411704626</v>
      </c>
      <c r="X8183" s="2">
        <f ca="1"/>
        <v>41.738556697658495</v>
      </c>
      <c r="AG8183" s="2">
        <f ca="1"/>
        <v>0.96472910206996909</v>
      </c>
      <c r="AH8183" s="2" t="str">
        <f ca="1"/>
        <v>Bad</v>
      </c>
    </row>
    <row r="8184" spans="2:34">
      <c r="B8184" s="2">
        <f ca="1"/>
        <v>0.61861193617004484</v>
      </c>
      <c r="O8184" s="2">
        <f ca="1"/>
        <v>-1.0477903886673601</v>
      </c>
      <c r="X8184" s="2">
        <f ca="1"/>
        <v>58.774664460396565</v>
      </c>
      <c r="AG8184" s="2">
        <f ca="1"/>
        <v>0.95678186803998244</v>
      </c>
      <c r="AH8184" s="2" t="str">
        <f ca="1"/>
        <v>Bad</v>
      </c>
    </row>
    <row r="8185" spans="2:34">
      <c r="B8185" s="2">
        <f ca="1"/>
        <v>0.89603991150492202</v>
      </c>
      <c r="O8185" s="2">
        <f ca="1"/>
        <v>0.29606522299544413</v>
      </c>
      <c r="X8185" s="2">
        <f ca="1"/>
        <v>34.778614542406828</v>
      </c>
      <c r="AG8185" s="2">
        <f ca="1"/>
        <v>0.85715274200572589</v>
      </c>
      <c r="AH8185" s="2" t="str">
        <f ca="1"/>
        <v>Bad</v>
      </c>
    </row>
    <row r="8186" spans="2:34">
      <c r="B8186" s="2">
        <f ca="1"/>
        <v>0.46749074781459554</v>
      </c>
      <c r="O8186" s="2">
        <f ca="1"/>
        <v>-0.32606879825934948</v>
      </c>
      <c r="X8186" s="2">
        <f ca="1"/>
        <v>55.590954136573046</v>
      </c>
      <c r="AG8186" s="2">
        <f ca="1"/>
        <v>0.35809085142946384</v>
      </c>
      <c r="AH8186" s="2" t="str">
        <f ca="1"/>
        <v>OK</v>
      </c>
    </row>
    <row r="8187" spans="2:34">
      <c r="B8187" s="2">
        <f ca="1"/>
        <v>0.934755223917759</v>
      </c>
      <c r="O8187" s="2">
        <f ca="1"/>
        <v>0.63968732317673516</v>
      </c>
      <c r="X8187" s="2">
        <f ca="1"/>
        <v>55.711596804018349</v>
      </c>
      <c r="AG8187" s="2">
        <f ca="1"/>
        <v>0.89418086401678321</v>
      </c>
      <c r="AH8187" s="2" t="str">
        <f ca="1"/>
        <v>Bad</v>
      </c>
    </row>
    <row r="8188" spans="2:34">
      <c r="B8188" s="2">
        <f ca="1"/>
        <v>0.84793755346221045</v>
      </c>
      <c r="O8188" s="2">
        <f ca="1"/>
        <v>1.5179811433201769</v>
      </c>
      <c r="X8188" s="2">
        <f ca="1"/>
        <v>77.902923258471446</v>
      </c>
      <c r="AG8188" s="2">
        <f ca="1"/>
        <v>0.9719026631220935</v>
      </c>
      <c r="AH8188" s="2" t="str">
        <f ca="1"/>
        <v>Bad</v>
      </c>
    </row>
    <row r="8189" spans="2:34">
      <c r="B8189" s="2">
        <f ca="1"/>
        <v>0.32354754729014101</v>
      </c>
      <c r="O8189" s="2">
        <f ca="1"/>
        <v>0.38306377945995762</v>
      </c>
      <c r="X8189" s="2">
        <f ca="1"/>
        <v>50.055760034469266</v>
      </c>
      <c r="AG8189" s="2">
        <f ca="1"/>
        <v>1.7405246233775262E-2</v>
      </c>
      <c r="AH8189" s="2" t="str">
        <f ca="1"/>
        <v>Good</v>
      </c>
    </row>
    <row r="8190" spans="2:34">
      <c r="B8190" s="2">
        <f ca="1"/>
        <v>0.90229926916369307</v>
      </c>
      <c r="O8190" s="2">
        <f ca="1"/>
        <v>-1.7572185709779451</v>
      </c>
      <c r="X8190" s="2">
        <f ca="1"/>
        <v>60.669715318913553</v>
      </c>
      <c r="AG8190" s="2">
        <f ca="1"/>
        <v>0.49459563759713077</v>
      </c>
      <c r="AH8190" s="2" t="str">
        <f ca="1"/>
        <v>Bad</v>
      </c>
    </row>
    <row r="8191" spans="2:34">
      <c r="B8191" s="2">
        <f ca="1"/>
        <v>0.41072068870986289</v>
      </c>
      <c r="O8191" s="2">
        <f ca="1"/>
        <v>-0.33667016019954321</v>
      </c>
      <c r="X8191" s="2">
        <f ca="1"/>
        <v>31.737451372024864</v>
      </c>
      <c r="AG8191" s="2">
        <f ca="1"/>
        <v>0.83258912807388308</v>
      </c>
      <c r="AH8191" s="2" t="str">
        <f ca="1"/>
        <v>Bad</v>
      </c>
    </row>
    <row r="8192" spans="2:34">
      <c r="B8192" s="2">
        <f ca="1"/>
        <v>0.92253867566077985</v>
      </c>
      <c r="O8192" s="2">
        <f ca="1"/>
        <v>-9.8070949421541043E-2</v>
      </c>
      <c r="X8192" s="2">
        <f ca="1"/>
        <v>49.85063538391249</v>
      </c>
      <c r="AG8192" s="2">
        <f ca="1"/>
        <v>0.83401344197495098</v>
      </c>
      <c r="AH8192" s="2" t="str">
        <f ca="1"/>
        <v>Bad</v>
      </c>
    </row>
    <row r="8193" spans="2:34">
      <c r="B8193" s="2">
        <f ca="1"/>
        <v>0.8424485962868804</v>
      </c>
      <c r="O8193" s="2">
        <f ca="1"/>
        <v>0.39858036637485961</v>
      </c>
      <c r="X8193" s="2">
        <f ca="1"/>
        <v>56.347764352884823</v>
      </c>
      <c r="AG8193" s="2">
        <f ca="1"/>
        <v>0.12885347940124836</v>
      </c>
      <c r="AH8193" s="2" t="str">
        <f ca="1"/>
        <v>OK</v>
      </c>
    </row>
    <row r="8194" spans="2:34">
      <c r="B8194" s="2">
        <f ca="1"/>
        <v>0.89436672296294595</v>
      </c>
      <c r="O8194" s="2">
        <f ca="1"/>
        <v>0.89053022681344518</v>
      </c>
      <c r="X8194" s="2">
        <f ca="1"/>
        <v>60.366253923291382</v>
      </c>
      <c r="AG8194" s="2">
        <f ca="1"/>
        <v>0.52497380244662639</v>
      </c>
      <c r="AH8194" s="2" t="str">
        <f ca="1"/>
        <v>Bad</v>
      </c>
    </row>
    <row r="8195" spans="2:34">
      <c r="B8195" s="2">
        <f ca="1"/>
        <v>0.35971700899102288</v>
      </c>
      <c r="O8195" s="2">
        <f ca="1"/>
        <v>1.1377992208057186</v>
      </c>
      <c r="X8195" s="2">
        <f ca="1"/>
        <v>34.761090637582654</v>
      </c>
      <c r="AG8195" s="2">
        <f ca="1"/>
        <v>0.59480007906606858</v>
      </c>
      <c r="AH8195" s="2" t="str">
        <f ca="1"/>
        <v>Bad</v>
      </c>
    </row>
    <row r="8196" spans="2:34">
      <c r="B8196" s="2">
        <f ca="1"/>
        <v>0.6407436148020802</v>
      </c>
      <c r="O8196" s="2">
        <f ca="1"/>
        <v>-0.10685470850264812</v>
      </c>
      <c r="X8196" s="2">
        <f ca="1"/>
        <v>22.196975013100619</v>
      </c>
      <c r="AG8196" s="2">
        <f ca="1"/>
        <v>0.32999076449574338</v>
      </c>
      <c r="AH8196" s="2" t="str">
        <f ca="1"/>
        <v>OK</v>
      </c>
    </row>
    <row r="8197" spans="2:34">
      <c r="B8197" s="2">
        <f ca="1"/>
        <v>0.74984542974781143</v>
      </c>
      <c r="O8197" s="2">
        <f ca="1"/>
        <v>-2.5495523600944656</v>
      </c>
      <c r="X8197" s="2">
        <f ca="1"/>
        <v>38.474112601938451</v>
      </c>
      <c r="AG8197" s="2">
        <f ca="1"/>
        <v>0.9124077658815255</v>
      </c>
      <c r="AH8197" s="2" t="str">
        <f ca="1"/>
        <v>Bad</v>
      </c>
    </row>
    <row r="8198" spans="2:34">
      <c r="B8198" s="2">
        <f ca="1"/>
        <v>0.79304812142848302</v>
      </c>
      <c r="O8198" s="2">
        <f ca="1"/>
        <v>0.4459496913709658</v>
      </c>
      <c r="X8198" s="2">
        <f ca="1"/>
        <v>50.780775654303923</v>
      </c>
      <c r="AG8198" s="2">
        <f ca="1"/>
        <v>0.50697971954435483</v>
      </c>
      <c r="AH8198" s="2" t="str">
        <f ca="1"/>
        <v>Bad</v>
      </c>
    </row>
    <row r="8199" spans="2:34">
      <c r="B8199" s="2">
        <f ca="1"/>
        <v>0.29525293728822199</v>
      </c>
      <c r="O8199" s="2">
        <f ca="1"/>
        <v>0.63863094018040456</v>
      </c>
      <c r="X8199" s="2">
        <f ca="1"/>
        <v>51.801979491756597</v>
      </c>
      <c r="AG8199" s="2">
        <f ca="1"/>
        <v>0.497793989466357</v>
      </c>
      <c r="AH8199" s="2" t="str">
        <f ca="1"/>
        <v>Bad</v>
      </c>
    </row>
    <row r="8200" spans="2:34">
      <c r="B8200" s="2">
        <f ca="1"/>
        <v>0.97414584923735625</v>
      </c>
      <c r="O8200" s="2">
        <f ca="1"/>
        <v>-0.43788934775484845</v>
      </c>
      <c r="X8200" s="2">
        <f ca="1"/>
        <v>48.997327733403765</v>
      </c>
      <c r="AG8200" s="2">
        <f ca="1"/>
        <v>0.44124324317726282</v>
      </c>
      <c r="AH8200" s="2" t="str">
        <f ca="1"/>
        <v>Bad</v>
      </c>
    </row>
    <row r="8201" spans="2:34">
      <c r="B8201" s="2">
        <f ca="1"/>
        <v>0.30857711865113657</v>
      </c>
      <c r="O8201" s="2">
        <f ca="1"/>
        <v>-0.93545818976554307</v>
      </c>
      <c r="X8201" s="2">
        <f ca="1"/>
        <v>30.410953608011443</v>
      </c>
      <c r="AG8201" s="2">
        <f ca="1"/>
        <v>0.86440878179318403</v>
      </c>
      <c r="AH8201" s="2" t="str">
        <f ca="1"/>
        <v>Bad</v>
      </c>
    </row>
    <row r="8202" spans="2:34">
      <c r="B8202" s="2">
        <f ca="1"/>
        <v>0.48815500117501132</v>
      </c>
      <c r="O8202" s="2">
        <f ca="1"/>
        <v>-1.774724679863201</v>
      </c>
      <c r="X8202" s="2">
        <f ca="1"/>
        <v>59.487597000384611</v>
      </c>
      <c r="AG8202" s="2">
        <f ca="1"/>
        <v>0.15390124855133847</v>
      </c>
      <c r="AH8202" s="2" t="str">
        <f ca="1"/>
        <v>OK</v>
      </c>
    </row>
    <row r="8203" spans="2:34">
      <c r="B8203" s="2">
        <f ca="1"/>
        <v>0.94999390045884446</v>
      </c>
      <c r="O8203" s="2">
        <f ca="1"/>
        <v>0.97909584762750868</v>
      </c>
      <c r="X8203" s="2">
        <f ca="1"/>
        <v>57.304716788532957</v>
      </c>
      <c r="AG8203" s="2">
        <f ca="1"/>
        <v>0.66362694245657661</v>
      </c>
      <c r="AH8203" s="2" t="str">
        <f ca="1"/>
        <v>Bad</v>
      </c>
    </row>
    <row r="8204" spans="2:34">
      <c r="B8204" s="2">
        <f ca="1"/>
        <v>0.22324365967705462</v>
      </c>
      <c r="O8204" s="2">
        <f ca="1"/>
        <v>1.2862933938821068</v>
      </c>
      <c r="X8204" s="2">
        <f ca="1"/>
        <v>22.055465702699028</v>
      </c>
      <c r="AG8204" s="2">
        <f ca="1"/>
        <v>0.21573337618359711</v>
      </c>
      <c r="AH8204" s="2" t="str">
        <f ca="1"/>
        <v>OK</v>
      </c>
    </row>
    <row r="8205" spans="2:34">
      <c r="B8205" s="2">
        <f ca="1"/>
        <v>0.83207342593743117</v>
      </c>
      <c r="O8205" s="2">
        <f ca="1"/>
        <v>-0.27884680320864569</v>
      </c>
      <c r="X8205" s="2">
        <f ca="1"/>
        <v>67.862926591886918</v>
      </c>
      <c r="AG8205" s="2">
        <f ca="1"/>
        <v>0.39777839247932389</v>
      </c>
      <c r="AH8205" s="2" t="str">
        <f ca="1"/>
        <v>OK</v>
      </c>
    </row>
    <row r="8206" spans="2:34">
      <c r="B8206" s="2">
        <f ca="1"/>
        <v>0.77819934733112794</v>
      </c>
      <c r="O8206" s="2">
        <f ca="1"/>
        <v>0.37636549264049801</v>
      </c>
      <c r="X8206" s="2">
        <f ca="1"/>
        <v>66.265518461300033</v>
      </c>
      <c r="AG8206" s="2">
        <f ca="1"/>
        <v>0.49335001892772046</v>
      </c>
      <c r="AH8206" s="2" t="str">
        <f ca="1"/>
        <v>Bad</v>
      </c>
    </row>
    <row r="8207" spans="2:34">
      <c r="B8207" s="2">
        <f ca="1"/>
        <v>0.26238658483883137</v>
      </c>
      <c r="O8207" s="2">
        <f ca="1"/>
        <v>3.9864230174807995E-2</v>
      </c>
      <c r="X8207" s="2">
        <f ca="1"/>
        <v>56.640905240012636</v>
      </c>
      <c r="AG8207" s="2">
        <f ca="1"/>
        <v>0.84818120649030493</v>
      </c>
      <c r="AH8207" s="2" t="str">
        <f ca="1"/>
        <v>Bad</v>
      </c>
    </row>
    <row r="8208" spans="2:34">
      <c r="B8208" s="2">
        <f ca="1"/>
        <v>0.76632818984895401</v>
      </c>
      <c r="O8208" s="2">
        <f ca="1"/>
        <v>-1.6432823757426731</v>
      </c>
      <c r="X8208" s="2">
        <f ca="1"/>
        <v>30.676911580943088</v>
      </c>
      <c r="AG8208" s="2">
        <f ca="1"/>
        <v>0.44569146607157095</v>
      </c>
      <c r="AH8208" s="2" t="str">
        <f ca="1"/>
        <v>Bad</v>
      </c>
    </row>
    <row r="8209" spans="2:34">
      <c r="B8209" s="2">
        <f ca="1"/>
        <v>0.45372261870424713</v>
      </c>
      <c r="O8209" s="2">
        <f ca="1"/>
        <v>-2.3348332684198659E-2</v>
      </c>
      <c r="X8209" s="2">
        <f ca="1"/>
        <v>39.622728091794151</v>
      </c>
      <c r="AG8209" s="2">
        <f ca="1"/>
        <v>0.16174201386820175</v>
      </c>
      <c r="AH8209" s="2" t="str">
        <f ca="1"/>
        <v>OK</v>
      </c>
    </row>
    <row r="8210" spans="2:34">
      <c r="B8210" s="2">
        <f ca="1"/>
        <v>0.42009265818476682</v>
      </c>
      <c r="O8210" s="2">
        <f ca="1"/>
        <v>1.5597819487062079</v>
      </c>
      <c r="X8210" s="2">
        <f ca="1"/>
        <v>32.986461086401853</v>
      </c>
      <c r="AG8210" s="2">
        <f ca="1"/>
        <v>0.34689923240065013</v>
      </c>
      <c r="AH8210" s="2" t="str">
        <f ca="1"/>
        <v>OK</v>
      </c>
    </row>
    <row r="8211" spans="2:34">
      <c r="B8211" s="2">
        <f ca="1"/>
        <v>0.4605431535657194</v>
      </c>
      <c r="O8211" s="2">
        <f ca="1"/>
        <v>0.70244791880732627</v>
      </c>
      <c r="X8211" s="2">
        <f ca="1"/>
        <v>66.296017160178039</v>
      </c>
      <c r="AG8211" s="2">
        <f ca="1"/>
        <v>0.50001634465715217</v>
      </c>
      <c r="AH8211" s="2" t="str">
        <f ca="1"/>
        <v>Bad</v>
      </c>
    </row>
    <row r="8212" spans="2:34">
      <c r="B8212" s="2">
        <f ca="1"/>
        <v>6.1616951051585378E-2</v>
      </c>
      <c r="O8212" s="2">
        <f ca="1"/>
        <v>0.75483731977265467</v>
      </c>
      <c r="X8212" s="2">
        <f ca="1"/>
        <v>46.035402575574381</v>
      </c>
      <c r="AG8212" s="2">
        <f ca="1"/>
        <v>0.4808978874703147</v>
      </c>
      <c r="AH8212" s="2" t="str">
        <f ca="1"/>
        <v>Bad</v>
      </c>
    </row>
    <row r="8213" spans="2:34">
      <c r="B8213" s="2">
        <f ca="1"/>
        <v>0.29813189340922253</v>
      </c>
      <c r="O8213" s="2">
        <f ca="1"/>
        <v>-0.36506452666335526</v>
      </c>
      <c r="X8213" s="2">
        <f ca="1"/>
        <v>42.575381726086654</v>
      </c>
      <c r="AG8213" s="2">
        <f ca="1"/>
        <v>0.6252839889082733</v>
      </c>
      <c r="AH8213" s="2" t="str">
        <f ca="1"/>
        <v>Bad</v>
      </c>
    </row>
    <row r="8214" spans="2:34">
      <c r="B8214" s="2">
        <f ca="1"/>
        <v>6.182900469865471E-3</v>
      </c>
      <c r="O8214" s="2">
        <f ca="1"/>
        <v>-0.51816004110200509</v>
      </c>
      <c r="X8214" s="2">
        <f ca="1"/>
        <v>44.919614894064502</v>
      </c>
      <c r="AG8214" s="2">
        <f ca="1"/>
        <v>0.58035238219934637</v>
      </c>
      <c r="AH8214" s="2" t="str">
        <f ca="1"/>
        <v>Bad</v>
      </c>
    </row>
    <row r="8215" spans="2:34">
      <c r="B8215" s="2">
        <f ca="1"/>
        <v>0.3245509773884474</v>
      </c>
      <c r="O8215" s="2">
        <f ca="1"/>
        <v>1.5917800348573028</v>
      </c>
      <c r="X8215" s="2">
        <f ca="1"/>
        <v>40.914805548420112</v>
      </c>
      <c r="AG8215" s="2">
        <f ca="1"/>
        <v>0.3710696418906454</v>
      </c>
      <c r="AH8215" s="2" t="str">
        <f ca="1"/>
        <v>OK</v>
      </c>
    </row>
    <row r="8216" spans="2:34">
      <c r="B8216" s="2">
        <f ca="1"/>
        <v>0.42827216497505716</v>
      </c>
      <c r="O8216" s="2">
        <f ca="1"/>
        <v>-0.95705385233492291</v>
      </c>
      <c r="X8216" s="2">
        <f ca="1"/>
        <v>47.609916093340615</v>
      </c>
      <c r="AG8216" s="2">
        <f ca="1"/>
        <v>0.54175592225173363</v>
      </c>
      <c r="AH8216" s="2" t="str">
        <f ca="1"/>
        <v>Bad</v>
      </c>
    </row>
    <row r="8217" spans="2:34">
      <c r="B8217" s="2">
        <f ca="1"/>
        <v>0.9860004563997975</v>
      </c>
      <c r="O8217" s="2">
        <f ca="1"/>
        <v>-0.29703956118081681</v>
      </c>
      <c r="X8217" s="2">
        <f ca="1"/>
        <v>42.665851643050502</v>
      </c>
      <c r="AG8217" s="2">
        <f ca="1"/>
        <v>0.97243069245156977</v>
      </c>
      <c r="AH8217" s="2" t="str">
        <f ca="1"/>
        <v>Bad</v>
      </c>
    </row>
    <row r="8218" spans="2:34">
      <c r="B8218" s="2">
        <f ca="1"/>
        <v>0.83223380101623845</v>
      </c>
      <c r="O8218" s="2">
        <f ca="1"/>
        <v>-1.072634965778398</v>
      </c>
      <c r="X8218" s="2">
        <f ca="1"/>
        <v>55.820251784919257</v>
      </c>
      <c r="AG8218" s="2">
        <f ca="1"/>
        <v>0.4603269689573708</v>
      </c>
      <c r="AH8218" s="2" t="str">
        <f ca="1"/>
        <v>Bad</v>
      </c>
    </row>
    <row r="8219" spans="2:34">
      <c r="B8219" s="2">
        <f ca="1"/>
        <v>0.27590548717314012</v>
      </c>
      <c r="O8219" s="2">
        <f ca="1"/>
        <v>0.16462532316805639</v>
      </c>
      <c r="X8219" s="2">
        <f ca="1"/>
        <v>92.785681879427102</v>
      </c>
      <c r="AG8219" s="2">
        <f ca="1"/>
        <v>0.28189123107871628</v>
      </c>
      <c r="AH8219" s="2" t="str">
        <f ca="1"/>
        <v>OK</v>
      </c>
    </row>
    <row r="8220" spans="2:34">
      <c r="B8220" s="2">
        <f ca="1"/>
        <v>0.44480277630966114</v>
      </c>
      <c r="O8220" s="2">
        <f ca="1"/>
        <v>-0.18084652361319387</v>
      </c>
      <c r="X8220" s="2">
        <f ca="1"/>
        <v>40.015945619803389</v>
      </c>
      <c r="AG8220" s="2">
        <f ca="1"/>
        <v>0.94476503806322021</v>
      </c>
      <c r="AH8220" s="2" t="str">
        <f ca="1"/>
        <v>Bad</v>
      </c>
    </row>
    <row r="8221" spans="2:34">
      <c r="B8221" s="2">
        <f ca="1"/>
        <v>0.4333931268495359</v>
      </c>
      <c r="O8221" s="2">
        <f ca="1"/>
        <v>-0.40479205698192261</v>
      </c>
      <c r="X8221" s="2">
        <f ca="1"/>
        <v>44.98032281898962</v>
      </c>
      <c r="AG8221" s="2">
        <f ca="1"/>
        <v>0.6603080915453643</v>
      </c>
      <c r="AH8221" s="2" t="str">
        <f ca="1"/>
        <v>Bad</v>
      </c>
    </row>
    <row r="8222" spans="2:34">
      <c r="B8222" s="2">
        <f ca="1"/>
        <v>0.39631735961828007</v>
      </c>
      <c r="O8222" s="2">
        <f ca="1"/>
        <v>-1.1035512549084645</v>
      </c>
      <c r="X8222" s="2">
        <f ca="1"/>
        <v>54.279152947663903</v>
      </c>
      <c r="AG8222" s="2">
        <f ca="1"/>
        <v>0.88866768292633647</v>
      </c>
      <c r="AH8222" s="2" t="str">
        <f ca="1"/>
        <v>Bad</v>
      </c>
    </row>
    <row r="8223" spans="2:34">
      <c r="B8223" s="2">
        <f ca="1"/>
        <v>0.83165432135976247</v>
      </c>
      <c r="O8223" s="2">
        <f ca="1"/>
        <v>-0.67564354387012049</v>
      </c>
      <c r="X8223" s="2">
        <f ca="1"/>
        <v>57.36532416245111</v>
      </c>
      <c r="AG8223" s="2">
        <f ca="1"/>
        <v>0.10202291016990639</v>
      </c>
      <c r="AH8223" s="2" t="str">
        <f ca="1"/>
        <v>OK</v>
      </c>
    </row>
    <row r="8224" spans="2:34">
      <c r="B8224" s="2">
        <f ca="1"/>
        <v>2.7291500169738026E-2</v>
      </c>
      <c r="O8224" s="2">
        <f ca="1"/>
        <v>-0.46005716198320745</v>
      </c>
      <c r="X8224" s="2">
        <f ca="1"/>
        <v>47.235204661644588</v>
      </c>
      <c r="AG8224" s="2">
        <f ca="1"/>
        <v>0.56692799403234617</v>
      </c>
      <c r="AH8224" s="2" t="str">
        <f ca="1"/>
        <v>Bad</v>
      </c>
    </row>
    <row r="8225" spans="2:34">
      <c r="B8225" s="2">
        <f ca="1"/>
        <v>0.9217902612472435</v>
      </c>
      <c r="O8225" s="2">
        <f ca="1"/>
        <v>-0.65551472129010868</v>
      </c>
      <c r="X8225" s="2">
        <f ca="1"/>
        <v>60.298645741709308</v>
      </c>
      <c r="AG8225" s="2">
        <f ca="1"/>
        <v>0.14986410612568801</v>
      </c>
      <c r="AH8225" s="2" t="str">
        <f ca="1"/>
        <v>OK</v>
      </c>
    </row>
    <row r="8226" spans="2:34">
      <c r="B8226" s="2">
        <f ca="1"/>
        <v>1.6755693989876974E-2</v>
      </c>
      <c r="O8226" s="2">
        <f ca="1"/>
        <v>-0.49547612236013699</v>
      </c>
      <c r="X8226" s="2">
        <f ca="1"/>
        <v>62.341554914291223</v>
      </c>
      <c r="AG8226" s="2">
        <f ca="1"/>
        <v>3.8477250883346636E-2</v>
      </c>
      <c r="AH8226" s="2" t="str">
        <f ca="1"/>
        <v>Good</v>
      </c>
    </row>
    <row r="8227" spans="2:34">
      <c r="B8227" s="2">
        <f ca="1"/>
        <v>0.16642625609831829</v>
      </c>
      <c r="O8227" s="2">
        <f ca="1"/>
        <v>-1.2492921943692037</v>
      </c>
      <c r="X8227" s="2">
        <f ca="1"/>
        <v>69.853511617241907</v>
      </c>
      <c r="AG8227" s="2">
        <f ca="1"/>
        <v>0.87259740298637589</v>
      </c>
      <c r="AH8227" s="2" t="str">
        <f ca="1"/>
        <v>Bad</v>
      </c>
    </row>
    <row r="8228" spans="2:34">
      <c r="B8228" s="2">
        <f ca="1"/>
        <v>0.59747441604835339</v>
      </c>
      <c r="O8228" s="2">
        <f ca="1"/>
        <v>2.3354474029392254</v>
      </c>
      <c r="X8228" s="2">
        <f ca="1"/>
        <v>64.767995725030204</v>
      </c>
      <c r="AG8228" s="2">
        <f ca="1"/>
        <v>0.13012632481544117</v>
      </c>
      <c r="AH8228" s="2" t="str">
        <f ca="1"/>
        <v>OK</v>
      </c>
    </row>
    <row r="8229" spans="2:34">
      <c r="B8229" s="2">
        <f ca="1"/>
        <v>0.34391177744024071</v>
      </c>
      <c r="O8229" s="2">
        <f ca="1"/>
        <v>-0.60184088130186875</v>
      </c>
      <c r="X8229" s="2">
        <f ca="1"/>
        <v>22.096183998502891</v>
      </c>
      <c r="AG8229" s="2">
        <f ca="1"/>
        <v>0.64412663159773098</v>
      </c>
      <c r="AH8229" s="2" t="str">
        <f ca="1"/>
        <v>Bad</v>
      </c>
    </row>
    <row r="8230" spans="2:34">
      <c r="B8230" s="2">
        <f ca="1"/>
        <v>7.2043885080328218E-2</v>
      </c>
      <c r="O8230" s="2">
        <f ca="1"/>
        <v>5.8391789605755841E-2</v>
      </c>
      <c r="X8230" s="2">
        <f ca="1"/>
        <v>28.461670733211214</v>
      </c>
      <c r="AG8230" s="2">
        <f ca="1"/>
        <v>0.35228378813038286</v>
      </c>
      <c r="AH8230" s="2" t="str">
        <f ca="1"/>
        <v>OK</v>
      </c>
    </row>
    <row r="8231" spans="2:34">
      <c r="B8231" s="2">
        <f ca="1"/>
        <v>0.54548167825255378</v>
      </c>
      <c r="O8231" s="2">
        <f ca="1"/>
        <v>-0.1096526183450614</v>
      </c>
      <c r="X8231" s="2">
        <f ca="1"/>
        <v>28.355719942737746</v>
      </c>
      <c r="AG8231" s="2">
        <f ca="1"/>
        <v>0.19182181362972495</v>
      </c>
      <c r="AH8231" s="2" t="str">
        <f ca="1"/>
        <v>OK</v>
      </c>
    </row>
    <row r="8232" spans="2:34">
      <c r="B8232" s="2">
        <f ca="1"/>
        <v>0.95388639706684542</v>
      </c>
      <c r="O8232" s="2">
        <f ca="1"/>
        <v>-0.71049679105506991</v>
      </c>
      <c r="X8232" s="2">
        <f ca="1"/>
        <v>31.798006673196554</v>
      </c>
      <c r="AG8232" s="2">
        <f ca="1"/>
        <v>0.98440404453991315</v>
      </c>
      <c r="AH8232" s="2" t="str">
        <f ca="1"/>
        <v>Bad</v>
      </c>
    </row>
    <row r="8233" spans="2:34">
      <c r="B8233" s="2">
        <f ca="1"/>
        <v>0.64338183788768388</v>
      </c>
      <c r="O8233" s="2">
        <f ca="1"/>
        <v>0.14116780604833423</v>
      </c>
      <c r="X8233" s="2">
        <f ca="1"/>
        <v>36.114037663930397</v>
      </c>
      <c r="AG8233" s="2">
        <f ca="1"/>
        <v>0.41148377172196993</v>
      </c>
      <c r="AH8233" s="2" t="str">
        <f ca="1"/>
        <v>Bad</v>
      </c>
    </row>
    <row r="8234" spans="2:34">
      <c r="B8234" s="2">
        <f ca="1"/>
        <v>0.31008562720765931</v>
      </c>
      <c r="O8234" s="2">
        <f ca="1"/>
        <v>1.4840266323610782</v>
      </c>
      <c r="X8234" s="2">
        <f ca="1"/>
        <v>25.635640778782395</v>
      </c>
      <c r="AG8234" s="2">
        <f ca="1"/>
        <v>0.24468442950130043</v>
      </c>
      <c r="AH8234" s="2" t="str">
        <f ca="1"/>
        <v>OK</v>
      </c>
    </row>
    <row r="8235" spans="2:34">
      <c r="B8235" s="2">
        <f ca="1"/>
        <v>0.84328437351021357</v>
      </c>
      <c r="O8235" s="2">
        <f ca="1"/>
        <v>1.1087117350743698</v>
      </c>
      <c r="X8235" s="2">
        <f ca="1"/>
        <v>57.761315920603529</v>
      </c>
      <c r="AG8235" s="2">
        <f ca="1"/>
        <v>0.7192015527455704</v>
      </c>
      <c r="AH8235" s="2" t="str">
        <f ca="1"/>
        <v>Bad</v>
      </c>
    </row>
    <row r="8236" spans="2:34">
      <c r="B8236" s="2">
        <f ca="1"/>
        <v>0.67905972136383319</v>
      </c>
      <c r="O8236" s="2">
        <f ca="1"/>
        <v>0.27503839963167553</v>
      </c>
      <c r="X8236" s="2">
        <f ca="1"/>
        <v>39.500854105347358</v>
      </c>
      <c r="AG8236" s="2">
        <f ca="1"/>
        <v>0.31021525800597227</v>
      </c>
      <c r="AH8236" s="2" t="str">
        <f ca="1"/>
        <v>OK</v>
      </c>
    </row>
    <row r="8237" spans="2:34">
      <c r="B8237" s="2">
        <f ca="1"/>
        <v>0.55559852497839346</v>
      </c>
      <c r="O8237" s="2">
        <f ca="1"/>
        <v>-0.19809021255484058</v>
      </c>
      <c r="X8237" s="2">
        <f ca="1"/>
        <v>40.253224144548774</v>
      </c>
      <c r="AG8237" s="2">
        <f ca="1"/>
        <v>0.2010064361150099</v>
      </c>
      <c r="AH8237" s="2" t="str">
        <f ca="1"/>
        <v>OK</v>
      </c>
    </row>
    <row r="8238" spans="2:34">
      <c r="B8238" s="2">
        <f ca="1"/>
        <v>0.76125922983425598</v>
      </c>
      <c r="O8238" s="2">
        <f ca="1"/>
        <v>0.27224222353458488</v>
      </c>
      <c r="X8238" s="2">
        <f ca="1"/>
        <v>57.523288182814213</v>
      </c>
      <c r="AG8238" s="2">
        <f ca="1"/>
        <v>7.1576878945501576E-2</v>
      </c>
      <c r="AH8238" s="2" t="str">
        <f ca="1"/>
        <v>OK</v>
      </c>
    </row>
    <row r="8239" spans="2:34">
      <c r="B8239" s="2">
        <f ca="1"/>
        <v>7.1347595767378147E-2</v>
      </c>
      <c r="O8239" s="2">
        <f ca="1"/>
        <v>1.4550935085439032</v>
      </c>
      <c r="X8239" s="2">
        <f ca="1"/>
        <v>43.599390613389048</v>
      </c>
      <c r="AG8239" s="2">
        <f ca="1"/>
        <v>0.86316341733215274</v>
      </c>
      <c r="AH8239" s="2" t="str">
        <f ca="1"/>
        <v>Bad</v>
      </c>
    </row>
    <row r="8240" spans="2:34">
      <c r="B8240" s="2">
        <f ca="1"/>
        <v>7.7251708124822738E-2</v>
      </c>
      <c r="O8240" s="2">
        <f ca="1"/>
        <v>0.25916499692381223</v>
      </c>
      <c r="X8240" s="2">
        <f ca="1"/>
        <v>40.54857710937852</v>
      </c>
      <c r="AG8240" s="2">
        <f ca="1"/>
        <v>0.41332898966709464</v>
      </c>
      <c r="AH8240" s="2" t="str">
        <f ca="1"/>
        <v>Bad</v>
      </c>
    </row>
    <row r="8241" spans="2:34">
      <c r="B8241" s="2">
        <f ca="1"/>
        <v>0.91128834625109989</v>
      </c>
      <c r="O8241" s="2">
        <f ca="1"/>
        <v>0.45986401372898306</v>
      </c>
      <c r="X8241" s="2">
        <f ca="1"/>
        <v>84.986997214686767</v>
      </c>
      <c r="AG8241" s="2">
        <f ca="1"/>
        <v>0.86787842476565302</v>
      </c>
      <c r="AH8241" s="2" t="str">
        <f ca="1"/>
        <v>Bad</v>
      </c>
    </row>
    <row r="8242" spans="2:34">
      <c r="B8242" s="2">
        <f ca="1"/>
        <v>0.877615057688375</v>
      </c>
      <c r="O8242" s="2">
        <f ca="1"/>
        <v>-1.5412324372902573</v>
      </c>
      <c r="X8242" s="2">
        <f ca="1"/>
        <v>43.728279558773629</v>
      </c>
      <c r="AG8242" s="2">
        <f ca="1"/>
        <v>0.30605169818822109</v>
      </c>
      <c r="AH8242" s="2" t="str">
        <f ca="1"/>
        <v>OK</v>
      </c>
    </row>
    <row r="8243" spans="2:34">
      <c r="B8243" s="2">
        <f ca="1"/>
        <v>0.71343625749122896</v>
      </c>
      <c r="O8243" s="2">
        <f ca="1"/>
        <v>-0.30467824307240038</v>
      </c>
      <c r="X8243" s="2">
        <f ca="1"/>
        <v>35.832287413833839</v>
      </c>
      <c r="AG8243" s="2">
        <f ca="1"/>
        <v>0.51442075616806848</v>
      </c>
      <c r="AH8243" s="2" t="str">
        <f ca="1"/>
        <v>Bad</v>
      </c>
    </row>
    <row r="8244" spans="2:34">
      <c r="B8244" s="2">
        <f ca="1"/>
        <v>0.21693809863557401</v>
      </c>
      <c r="O8244" s="2">
        <f ca="1"/>
        <v>2.3148947025370199</v>
      </c>
      <c r="X8244" s="2">
        <f ca="1"/>
        <v>33.826738891503027</v>
      </c>
      <c r="AG8244" s="2">
        <f ca="1"/>
        <v>0.52260469052238134</v>
      </c>
      <c r="AH8244" s="2" t="str">
        <f ca="1"/>
        <v>Bad</v>
      </c>
    </row>
    <row r="8245" spans="2:34">
      <c r="B8245" s="2">
        <f ca="1"/>
        <v>0.26900152517496978</v>
      </c>
      <c r="O8245" s="2">
        <f ca="1"/>
        <v>0.4033687392261664</v>
      </c>
      <c r="X8245" s="2">
        <f ca="1"/>
        <v>27.147358591168839</v>
      </c>
      <c r="AG8245" s="2">
        <f ca="1"/>
        <v>0.98692927074512804</v>
      </c>
      <c r="AH8245" s="2" t="str">
        <f ca="1"/>
        <v>Bad</v>
      </c>
    </row>
    <row r="8246" spans="2:34">
      <c r="B8246" s="2">
        <f ca="1"/>
        <v>0.45448661655372868</v>
      </c>
      <c r="O8246" s="2">
        <f ca="1"/>
        <v>0.84999996157701996</v>
      </c>
      <c r="X8246" s="2">
        <f ca="1"/>
        <v>65.028831554504706</v>
      </c>
      <c r="AG8246" s="2">
        <f ca="1"/>
        <v>0.34756447080305541</v>
      </c>
      <c r="AH8246" s="2" t="str">
        <f ca="1"/>
        <v>OK</v>
      </c>
    </row>
    <row r="8247" spans="2:34">
      <c r="B8247" s="2">
        <f ca="1"/>
        <v>0.97286416912964646</v>
      </c>
      <c r="O8247" s="2">
        <f ca="1"/>
        <v>-0.5591801128584678</v>
      </c>
      <c r="X8247" s="2">
        <f ca="1"/>
        <v>45.091277776402727</v>
      </c>
      <c r="AG8247" s="2">
        <f ca="1"/>
        <v>0.38563603700155569</v>
      </c>
      <c r="AH8247" s="2" t="str">
        <f ca="1"/>
        <v>OK</v>
      </c>
    </row>
    <row r="8248" spans="2:34">
      <c r="B8248" s="2">
        <f ca="1"/>
        <v>0.92888762823788129</v>
      </c>
      <c r="O8248" s="2">
        <f ca="1"/>
        <v>0.70961035452740862</v>
      </c>
      <c r="X8248" s="2">
        <f ca="1"/>
        <v>36.776100396924093</v>
      </c>
      <c r="AG8248" s="2">
        <f ca="1"/>
        <v>0.15106981198559355</v>
      </c>
      <c r="AH8248" s="2" t="str">
        <f ca="1"/>
        <v>OK</v>
      </c>
    </row>
    <row r="8249" spans="2:34">
      <c r="B8249" s="2">
        <f ca="1"/>
        <v>0.48916256611369691</v>
      </c>
      <c r="O8249" s="2">
        <f ca="1"/>
        <v>-0.53116892463856813</v>
      </c>
      <c r="X8249" s="2">
        <f ca="1"/>
        <v>50.853277335952015</v>
      </c>
      <c r="AG8249" s="2">
        <f ca="1"/>
        <v>0.81792932588319878</v>
      </c>
      <c r="AH8249" s="2" t="str">
        <f ca="1"/>
        <v>Bad</v>
      </c>
    </row>
    <row r="8250" spans="2:34">
      <c r="B8250" s="2">
        <f ca="1"/>
        <v>0.34745975789449934</v>
      </c>
      <c r="O8250" s="2">
        <f ca="1"/>
        <v>0.27685236860429641</v>
      </c>
      <c r="X8250" s="2">
        <f ca="1"/>
        <v>61.333220743024803</v>
      </c>
      <c r="AG8250" s="2">
        <f ca="1"/>
        <v>0.60260660465658833</v>
      </c>
      <c r="AH8250" s="2" t="str">
        <f ca="1"/>
        <v>Bad</v>
      </c>
    </row>
    <row r="8251" spans="2:34">
      <c r="B8251" s="2">
        <f ca="1"/>
        <v>0.44243735778331827</v>
      </c>
      <c r="O8251" s="2">
        <f ca="1"/>
        <v>-1.1204948083730892</v>
      </c>
      <c r="X8251" s="2">
        <f ca="1"/>
        <v>58.97907791938016</v>
      </c>
      <c r="AG8251" s="2">
        <f ca="1"/>
        <v>0.15257654416425104</v>
      </c>
      <c r="AH8251" s="2" t="str">
        <f ca="1"/>
        <v>OK</v>
      </c>
    </row>
    <row r="8252" spans="2:34">
      <c r="B8252" s="2">
        <f ca="1"/>
        <v>0.73586270475613169</v>
      </c>
      <c r="O8252" s="2">
        <f ca="1"/>
        <v>-1.7437094662062307</v>
      </c>
      <c r="X8252" s="2">
        <f ca="1"/>
        <v>63.178786704289919</v>
      </c>
      <c r="AG8252" s="2">
        <f ca="1"/>
        <v>0.28990096076097949</v>
      </c>
      <c r="AH8252" s="2" t="str">
        <f ca="1"/>
        <v>OK</v>
      </c>
    </row>
    <row r="8253" spans="2:34">
      <c r="B8253" s="2">
        <f ca="1"/>
        <v>0.12840861775651935</v>
      </c>
      <c r="O8253" s="2">
        <f ca="1"/>
        <v>-0.94930443271224807</v>
      </c>
      <c r="X8253" s="2">
        <f ca="1"/>
        <v>23.515272579642122</v>
      </c>
      <c r="AG8253" s="2">
        <f ca="1"/>
        <v>0.85812859246503259</v>
      </c>
      <c r="AH8253" s="2" t="str">
        <f ca="1"/>
        <v>Bad</v>
      </c>
    </row>
    <row r="8254" spans="2:34">
      <c r="B8254" s="2">
        <f ca="1"/>
        <v>0.13402583889356445</v>
      </c>
      <c r="O8254" s="2">
        <f ca="1"/>
        <v>0.46141990136298816</v>
      </c>
      <c r="X8254" s="2">
        <f ca="1"/>
        <v>39.274194403265341</v>
      </c>
      <c r="AG8254" s="2">
        <f ca="1"/>
        <v>5.317629853873207E-2</v>
      </c>
      <c r="AH8254" s="2" t="str">
        <f ca="1"/>
        <v>OK</v>
      </c>
    </row>
    <row r="8255" spans="2:34">
      <c r="B8255" s="2">
        <f ca="1"/>
        <v>0.4014853585078566</v>
      </c>
      <c r="O8255" s="2">
        <f ca="1"/>
        <v>-1.9848992086617245</v>
      </c>
      <c r="X8255" s="2">
        <f ca="1"/>
        <v>48.781355315825515</v>
      </c>
      <c r="AG8255" s="2">
        <f ca="1"/>
        <v>0.59333813993697659</v>
      </c>
      <c r="AH8255" s="2" t="str">
        <f ca="1"/>
        <v>Bad</v>
      </c>
    </row>
    <row r="8256" spans="2:34">
      <c r="B8256" s="2">
        <f ca="1"/>
        <v>0.92074120000449966</v>
      </c>
      <c r="O8256" s="2">
        <f ca="1"/>
        <v>-0.80227815488002563</v>
      </c>
      <c r="X8256" s="2">
        <f ca="1"/>
        <v>52.736602772954598</v>
      </c>
      <c r="AG8256" s="2">
        <f ca="1"/>
        <v>0.81028704687416653</v>
      </c>
      <c r="AH8256" s="2" t="str">
        <f ca="1"/>
        <v>Bad</v>
      </c>
    </row>
    <row r="8257" spans="2:34">
      <c r="B8257" s="2">
        <f ca="1"/>
        <v>0.81581150589362839</v>
      </c>
      <c r="O8257" s="2">
        <f ca="1"/>
        <v>-2.1304415913578332</v>
      </c>
      <c r="X8257" s="2">
        <f ca="1"/>
        <v>59.42325340065797</v>
      </c>
      <c r="AG8257" s="2">
        <f ca="1"/>
        <v>0.24589180766965457</v>
      </c>
      <c r="AH8257" s="2" t="str">
        <f ca="1"/>
        <v>OK</v>
      </c>
    </row>
    <row r="8258" spans="2:34">
      <c r="B8258" s="2">
        <f ca="1"/>
        <v>0.7293039133384116</v>
      </c>
      <c r="O8258" s="2">
        <f ca="1"/>
        <v>-0.3350791506660224</v>
      </c>
      <c r="X8258" s="2">
        <f ca="1"/>
        <v>53.248217290179809</v>
      </c>
      <c r="AG8258" s="2">
        <f ca="1"/>
        <v>7.2395980624541112E-2</v>
      </c>
      <c r="AH8258" s="2" t="str">
        <f ca="1"/>
        <v>OK</v>
      </c>
    </row>
    <row r="8259" spans="2:34">
      <c r="B8259" s="2">
        <f ca="1"/>
        <v>0.60917026133678598</v>
      </c>
      <c r="O8259" s="2">
        <f ca="1"/>
        <v>-0.77323990712953428</v>
      </c>
      <c r="X8259" s="2">
        <f ca="1"/>
        <v>62.190445736822966</v>
      </c>
      <c r="AG8259" s="2">
        <f ca="1"/>
        <v>0.97400936134059646</v>
      </c>
      <c r="AH8259" s="2" t="str">
        <f ca="1"/>
        <v>Bad</v>
      </c>
    </row>
    <row r="8260" spans="2:34">
      <c r="B8260" s="2">
        <f ca="1"/>
        <v>0.24829816022954487</v>
      </c>
      <c r="O8260" s="2">
        <f ca="1"/>
        <v>7.5046020741899311E-2</v>
      </c>
      <c r="X8260" s="2">
        <f ca="1"/>
        <v>40.171205761091294</v>
      </c>
      <c r="AG8260" s="2">
        <f ca="1"/>
        <v>0.90806387639681985</v>
      </c>
      <c r="AH8260" s="2" t="str">
        <f ca="1"/>
        <v>Bad</v>
      </c>
    </row>
    <row r="8261" spans="2:34">
      <c r="B8261" s="2">
        <f ca="1"/>
        <v>0.2804425718063086</v>
      </c>
      <c r="O8261" s="2">
        <f ca="1"/>
        <v>0.37436403718731209</v>
      </c>
      <c r="X8261" s="2">
        <f ca="1"/>
        <v>47.468458799458219</v>
      </c>
      <c r="AG8261" s="2">
        <f ca="1"/>
        <v>0.40368991635634588</v>
      </c>
      <c r="AH8261" s="2" t="str">
        <f ca="1"/>
        <v>Bad</v>
      </c>
    </row>
    <row r="8262" spans="2:34">
      <c r="B8262" s="2">
        <f ca="1"/>
        <v>0.27332186305128792</v>
      </c>
      <c r="O8262" s="2">
        <f ca="1"/>
        <v>-1.0328371237610878</v>
      </c>
      <c r="X8262" s="2">
        <f ca="1"/>
        <v>48.809903982121369</v>
      </c>
      <c r="AG8262" s="2">
        <f ca="1"/>
        <v>0.57791729698902894</v>
      </c>
      <c r="AH8262" s="2" t="str">
        <f ca="1"/>
        <v>Bad</v>
      </c>
    </row>
    <row r="8263" spans="2:34">
      <c r="B8263" s="2">
        <f ca="1"/>
        <v>0.21305167742286102</v>
      </c>
      <c r="O8263" s="2">
        <f ca="1"/>
        <v>1.7453500762734282</v>
      </c>
      <c r="X8263" s="2">
        <f ca="1"/>
        <v>54.494747907675041</v>
      </c>
      <c r="AG8263" s="2">
        <f ca="1"/>
        <v>0.94258319511237065</v>
      </c>
      <c r="AH8263" s="2" t="str">
        <f ca="1"/>
        <v>Bad</v>
      </c>
    </row>
    <row r="8264" spans="2:34">
      <c r="B8264" s="2">
        <f ca="1"/>
        <v>0.19825905900373408</v>
      </c>
      <c r="O8264" s="2">
        <f ca="1"/>
        <v>-1.9589630682270591</v>
      </c>
      <c r="X8264" s="2">
        <f ca="1"/>
        <v>46.407764321785208</v>
      </c>
      <c r="AG8264" s="2">
        <f ca="1"/>
        <v>0.44153944695153924</v>
      </c>
      <c r="AH8264" s="2" t="str">
        <f ca="1"/>
        <v>Bad</v>
      </c>
    </row>
    <row r="8265" spans="2:34">
      <c r="B8265" s="2">
        <f ca="1"/>
        <v>0.61191286785297927</v>
      </c>
      <c r="O8265" s="2">
        <f ca="1"/>
        <v>-0.66936589013485925</v>
      </c>
      <c r="X8265" s="2">
        <f ca="1"/>
        <v>46.212851770217959</v>
      </c>
      <c r="AG8265" s="2">
        <f ca="1"/>
        <v>0.79587281289149248</v>
      </c>
      <c r="AH8265" s="2" t="str">
        <f ca="1"/>
        <v>Bad</v>
      </c>
    </row>
    <row r="8266" spans="2:34">
      <c r="B8266" s="2">
        <f ca="1"/>
        <v>0.67254037032451564</v>
      </c>
      <c r="O8266" s="2">
        <f ca="1"/>
        <v>0.41203952292377688</v>
      </c>
      <c r="X8266" s="2">
        <f ca="1"/>
        <v>41.981862812593498</v>
      </c>
      <c r="AG8266" s="2">
        <f ca="1"/>
        <v>0.12095364820731302</v>
      </c>
      <c r="AH8266" s="2" t="str">
        <f ca="1"/>
        <v>OK</v>
      </c>
    </row>
    <row r="8267" spans="2:34">
      <c r="B8267" s="2">
        <f ca="1"/>
        <v>0.13317194834587731</v>
      </c>
      <c r="O8267" s="2">
        <f ca="1"/>
        <v>1.0201535292831534</v>
      </c>
      <c r="X8267" s="2">
        <f ca="1"/>
        <v>71.633439519125503</v>
      </c>
      <c r="AG8267" s="2">
        <f ca="1"/>
        <v>0.895152439061627</v>
      </c>
      <c r="AH8267" s="2" t="str">
        <f ca="1"/>
        <v>Bad</v>
      </c>
    </row>
    <row r="8268" spans="2:34">
      <c r="B8268" s="2">
        <f ca="1"/>
        <v>0.99297975242113323</v>
      </c>
      <c r="O8268" s="2">
        <f ca="1"/>
        <v>-2.708464778499668</v>
      </c>
      <c r="X8268" s="2">
        <f ca="1"/>
        <v>31.815456320575535</v>
      </c>
      <c r="AG8268" s="2">
        <f ca="1"/>
        <v>0.94255107796210691</v>
      </c>
      <c r="AH8268" s="2" t="str">
        <f ca="1"/>
        <v>Bad</v>
      </c>
    </row>
    <row r="8269" spans="2:34">
      <c r="B8269" s="2">
        <f ca="1"/>
        <v>0.32617639013350908</v>
      </c>
      <c r="O8269" s="2">
        <f ca="1"/>
        <v>-0.62914907923324037</v>
      </c>
      <c r="X8269" s="2">
        <f ca="1"/>
        <v>78.499278309133203</v>
      </c>
      <c r="AG8269" s="2">
        <f ca="1"/>
        <v>0.96998087423593593</v>
      </c>
      <c r="AH8269" s="2" t="str">
        <f ca="1"/>
        <v>Bad</v>
      </c>
    </row>
    <row r="8270" spans="2:34">
      <c r="B8270" s="2">
        <f ca="1"/>
        <v>0.81429087195160177</v>
      </c>
      <c r="O8270" s="2">
        <f ca="1"/>
        <v>0.73464958965206995</v>
      </c>
      <c r="X8270" s="2">
        <f ca="1"/>
        <v>44.872344290333466</v>
      </c>
      <c r="AG8270" s="2">
        <f ca="1"/>
        <v>0.48941428371575824</v>
      </c>
      <c r="AH8270" s="2" t="str">
        <f ca="1"/>
        <v>Bad</v>
      </c>
    </row>
    <row r="8271" spans="2:34">
      <c r="B8271" s="2">
        <f ca="1"/>
        <v>0.65313646539068793</v>
      </c>
      <c r="O8271" s="2">
        <f ca="1"/>
        <v>0.16210158089442522</v>
      </c>
      <c r="X8271" s="2">
        <f ca="1"/>
        <v>34.377374442391428</v>
      </c>
      <c r="AG8271" s="2">
        <f ca="1"/>
        <v>0.17137718610714114</v>
      </c>
      <c r="AH8271" s="2" t="str">
        <f ca="1"/>
        <v>OK</v>
      </c>
    </row>
    <row r="8272" spans="2:34">
      <c r="B8272" s="2">
        <f ca="1"/>
        <v>0.39010261943599045</v>
      </c>
      <c r="O8272" s="2">
        <f ca="1"/>
        <v>1.7342596281261504</v>
      </c>
      <c r="X8272" s="2">
        <f ca="1"/>
        <v>54.145217405541658</v>
      </c>
      <c r="AG8272" s="2">
        <f ca="1"/>
        <v>0.45785250991324511</v>
      </c>
      <c r="AH8272" s="2" t="str">
        <f ca="1"/>
        <v>Bad</v>
      </c>
    </row>
    <row r="8273" spans="2:34">
      <c r="B8273" s="2">
        <f ca="1"/>
        <v>0.68969449931989635</v>
      </c>
      <c r="O8273" s="2">
        <f ca="1"/>
        <v>0.36691423157769981</v>
      </c>
      <c r="X8273" s="2">
        <f ca="1"/>
        <v>42.787348124564922</v>
      </c>
      <c r="AG8273" s="2">
        <f ca="1"/>
        <v>0.67628586138682234</v>
      </c>
      <c r="AH8273" s="2" t="str">
        <f ca="1"/>
        <v>Bad</v>
      </c>
    </row>
    <row r="8274" spans="2:34">
      <c r="B8274" s="2">
        <f ca="1"/>
        <v>5.9866242134891223E-2</v>
      </c>
      <c r="O8274" s="2">
        <f ca="1"/>
        <v>-0.83495551537484713</v>
      </c>
      <c r="X8274" s="2">
        <f ca="1"/>
        <v>45.811174601589045</v>
      </c>
      <c r="AG8274" s="2">
        <f ca="1"/>
        <v>0.25289431620776304</v>
      </c>
      <c r="AH8274" s="2" t="str">
        <f ca="1"/>
        <v>OK</v>
      </c>
    </row>
    <row r="8275" spans="2:34">
      <c r="B8275" s="2">
        <f ca="1"/>
        <v>0.97510363298052849</v>
      </c>
      <c r="O8275" s="2">
        <f ca="1"/>
        <v>-0.67192162717992809</v>
      </c>
      <c r="X8275" s="2">
        <f ca="1"/>
        <v>37.167293550555563</v>
      </c>
      <c r="AG8275" s="2">
        <f ca="1"/>
        <v>0.71716588475429965</v>
      </c>
      <c r="AH8275" s="2" t="str">
        <f ca="1"/>
        <v>Bad</v>
      </c>
    </row>
    <row r="8276" spans="2:34">
      <c r="B8276" s="2">
        <f ca="1"/>
        <v>0.96144556348629195</v>
      </c>
      <c r="O8276" s="2">
        <f ca="1"/>
        <v>1.4927694516237977</v>
      </c>
      <c r="X8276" s="2">
        <f ca="1"/>
        <v>47.721344614908105</v>
      </c>
      <c r="AG8276" s="2">
        <f ca="1"/>
        <v>0.60431069754904931</v>
      </c>
      <c r="AH8276" s="2" t="str">
        <f ca="1"/>
        <v>Bad</v>
      </c>
    </row>
    <row r="8277" spans="2:34">
      <c r="B8277" s="2">
        <f ca="1"/>
        <v>0.27536013775272683</v>
      </c>
      <c r="O8277" s="2">
        <f ca="1"/>
        <v>-0.8798161816497736</v>
      </c>
      <c r="X8277" s="2">
        <f ca="1"/>
        <v>37.999357492888173</v>
      </c>
      <c r="AG8277" s="2">
        <f ca="1"/>
        <v>0.83384808934022114</v>
      </c>
      <c r="AH8277" s="2" t="str">
        <f ca="1"/>
        <v>Bad</v>
      </c>
    </row>
    <row r="8278" spans="2:34">
      <c r="B8278" s="2">
        <f ca="1"/>
        <v>0.99235971521470501</v>
      </c>
      <c r="O8278" s="2">
        <f ca="1"/>
        <v>-1.7163603060808761</v>
      </c>
      <c r="X8278" s="2">
        <f ca="1"/>
        <v>58.770970003786132</v>
      </c>
      <c r="AG8278" s="2">
        <f ca="1"/>
        <v>0.22705961464390567</v>
      </c>
      <c r="AH8278" s="2" t="str">
        <f ca="1"/>
        <v>OK</v>
      </c>
    </row>
    <row r="8279" spans="2:34">
      <c r="B8279" s="2">
        <f ca="1"/>
        <v>0.97976854096416477</v>
      </c>
      <c r="O8279" s="2">
        <f ca="1"/>
        <v>1.2589108968990583</v>
      </c>
      <c r="X8279" s="2">
        <f ca="1"/>
        <v>36.43289378048194</v>
      </c>
      <c r="AG8279" s="2">
        <f ca="1"/>
        <v>0.57312166120893271</v>
      </c>
      <c r="AH8279" s="2" t="str">
        <f ca="1"/>
        <v>Bad</v>
      </c>
    </row>
    <row r="8280" spans="2:34">
      <c r="B8280" s="2">
        <f ca="1"/>
        <v>0.41708155574147576</v>
      </c>
      <c r="O8280" s="2">
        <f ca="1"/>
        <v>-5.228042587813346E-2</v>
      </c>
      <c r="X8280" s="2">
        <f ca="1"/>
        <v>64.110123555527238</v>
      </c>
      <c r="AG8280" s="2">
        <f ca="1"/>
        <v>0.79150523508660453</v>
      </c>
      <c r="AH8280" s="2" t="str">
        <f ca="1"/>
        <v>Bad</v>
      </c>
    </row>
    <row r="8281" spans="2:34">
      <c r="B8281" s="2">
        <f ca="1"/>
        <v>0.83064685598416332</v>
      </c>
      <c r="O8281" s="2">
        <f ca="1"/>
        <v>0.57830986492927539</v>
      </c>
      <c r="X8281" s="2">
        <f ca="1"/>
        <v>47.584205835876176</v>
      </c>
      <c r="AG8281" s="2">
        <f ca="1"/>
        <v>0.92527971053969593</v>
      </c>
      <c r="AH8281" s="2" t="str">
        <f ca="1"/>
        <v>Bad</v>
      </c>
    </row>
    <row r="8282" spans="2:34">
      <c r="B8282" s="2">
        <f ca="1"/>
        <v>0.11272744796981016</v>
      </c>
      <c r="O8282" s="2">
        <f ca="1"/>
        <v>0.26097851163232905</v>
      </c>
      <c r="X8282" s="2">
        <f ca="1"/>
        <v>84.770690713155417</v>
      </c>
      <c r="AG8282" s="2">
        <f ca="1"/>
        <v>0.57370754414626135</v>
      </c>
      <c r="AH8282" s="2" t="str">
        <f ca="1"/>
        <v>Bad</v>
      </c>
    </row>
    <row r="8283" spans="2:34">
      <c r="B8283" s="2">
        <f ca="1"/>
        <v>0.28175150744229027</v>
      </c>
      <c r="O8283" s="2">
        <f ca="1"/>
        <v>0.80648672382029463</v>
      </c>
      <c r="X8283" s="2">
        <f ca="1"/>
        <v>43.470792786011707</v>
      </c>
      <c r="AG8283" s="2">
        <f ca="1"/>
        <v>0.32448577299734138</v>
      </c>
      <c r="AH8283" s="2" t="str">
        <f ca="1"/>
        <v>OK</v>
      </c>
    </row>
    <row r="8284" spans="2:34">
      <c r="B8284" s="2">
        <f ca="1"/>
        <v>0.75215682048398103</v>
      </c>
      <c r="O8284" s="2">
        <f ca="1"/>
        <v>0.53807274307105513</v>
      </c>
      <c r="X8284" s="2">
        <f ca="1"/>
        <v>70.869583734938232</v>
      </c>
      <c r="AG8284" s="2">
        <f ca="1"/>
        <v>3.8505938056680344E-2</v>
      </c>
      <c r="AH8284" s="2" t="str">
        <f ca="1"/>
        <v>Good</v>
      </c>
    </row>
    <row r="8285" spans="2:34">
      <c r="B8285" s="2">
        <f ca="1"/>
        <v>5.6144596037803529E-2</v>
      </c>
      <c r="O8285" s="2">
        <f ca="1"/>
        <v>1.1529076677767005</v>
      </c>
      <c r="X8285" s="2">
        <f ca="1"/>
        <v>58.570129541949541</v>
      </c>
      <c r="AG8285" s="2">
        <f ca="1"/>
        <v>0.66010457181385851</v>
      </c>
      <c r="AH8285" s="2" t="str">
        <f ca="1"/>
        <v>Bad</v>
      </c>
    </row>
    <row r="8286" spans="2:34">
      <c r="B8286" s="2">
        <f ca="1"/>
        <v>0.73441262206848279</v>
      </c>
      <c r="O8286" s="2">
        <f ca="1"/>
        <v>0.41236372479825012</v>
      </c>
      <c r="X8286" s="2">
        <f ca="1"/>
        <v>60.870198203252535</v>
      </c>
      <c r="AG8286" s="2">
        <f ca="1"/>
        <v>0.51943048957319804</v>
      </c>
      <c r="AH8286" s="2" t="str">
        <f ca="1"/>
        <v>Bad</v>
      </c>
    </row>
    <row r="8287" spans="2:34">
      <c r="B8287" s="2">
        <f ca="1"/>
        <v>0.43690016257041631</v>
      </c>
      <c r="O8287" s="2">
        <f ca="1"/>
        <v>-0.4605129193330787</v>
      </c>
      <c r="X8287" s="2">
        <f ca="1"/>
        <v>34.173240054540287</v>
      </c>
      <c r="AG8287" s="2">
        <f ca="1"/>
        <v>0.69510324032662041</v>
      </c>
      <c r="AH8287" s="2" t="str">
        <f ca="1"/>
        <v>Bad</v>
      </c>
    </row>
    <row r="8288" spans="2:34">
      <c r="B8288" s="2">
        <f ca="1"/>
        <v>0.37768572734060046</v>
      </c>
      <c r="O8288" s="2">
        <f ca="1"/>
        <v>-0.84811059664428845</v>
      </c>
      <c r="X8288" s="2">
        <f ca="1"/>
        <v>30.212938964044955</v>
      </c>
      <c r="AG8288" s="2">
        <f ca="1"/>
        <v>0.71077063949301866</v>
      </c>
      <c r="AH8288" s="2" t="str">
        <f ca="1"/>
        <v>Bad</v>
      </c>
    </row>
    <row r="8289" spans="2:34">
      <c r="B8289" s="2">
        <f ca="1"/>
        <v>0.98668590567364745</v>
      </c>
      <c r="O8289" s="2">
        <f ca="1"/>
        <v>0.93110854716360669</v>
      </c>
      <c r="X8289" s="2">
        <f ca="1"/>
        <v>46.901803107860488</v>
      </c>
      <c r="AG8289" s="2">
        <f ca="1"/>
        <v>0.86583501141157959</v>
      </c>
      <c r="AH8289" s="2" t="str">
        <f ca="1"/>
        <v>Bad</v>
      </c>
    </row>
    <row r="8290" spans="2:34">
      <c r="B8290" s="2">
        <f ca="1"/>
        <v>0.20485945576228359</v>
      </c>
      <c r="O8290" s="2">
        <f ca="1"/>
        <v>0.55406400679761636</v>
      </c>
      <c r="X8290" s="2">
        <f ca="1"/>
        <v>36.941277221970957</v>
      </c>
      <c r="AG8290" s="2">
        <f ca="1"/>
        <v>0.6819690020291751</v>
      </c>
      <c r="AH8290" s="2" t="str">
        <f ca="1"/>
        <v>Bad</v>
      </c>
    </row>
    <row r="8291" spans="2:34">
      <c r="B8291" s="2">
        <f ca="1"/>
        <v>0.20534154680545447</v>
      </c>
      <c r="O8291" s="2">
        <f ca="1"/>
        <v>-0.4769750565849924</v>
      </c>
      <c r="X8291" s="2">
        <f ca="1"/>
        <v>39.408143114359142</v>
      </c>
      <c r="AG8291" s="2">
        <f ca="1"/>
        <v>0.20173644372991673</v>
      </c>
      <c r="AH8291" s="2" t="str">
        <f ca="1"/>
        <v>OK</v>
      </c>
    </row>
    <row r="8292" spans="2:34">
      <c r="B8292" s="2">
        <f ca="1"/>
        <v>0.26445746439595119</v>
      </c>
      <c r="O8292" s="2">
        <f ca="1"/>
        <v>-1.8618072085012105</v>
      </c>
      <c r="X8292" s="2">
        <f ca="1"/>
        <v>52.885163688094451</v>
      </c>
      <c r="AG8292" s="2">
        <f ca="1"/>
        <v>5.0641053765594135E-2</v>
      </c>
      <c r="AH8292" s="2" t="str">
        <f ca="1"/>
        <v>OK</v>
      </c>
    </row>
    <row r="8293" spans="2:34">
      <c r="B8293" s="2">
        <f ca="1"/>
        <v>0.63965542601789993</v>
      </c>
      <c r="O8293" s="2">
        <f ca="1"/>
        <v>1.1510564535055588E-2</v>
      </c>
      <c r="X8293" s="2">
        <f ca="1"/>
        <v>66.580480266006802</v>
      </c>
      <c r="AG8293" s="2">
        <f ca="1"/>
        <v>0.93130202192789202</v>
      </c>
      <c r="AH8293" s="2" t="str">
        <f ca="1"/>
        <v>Bad</v>
      </c>
    </row>
    <row r="8294" spans="2:34">
      <c r="B8294" s="2">
        <f ca="1"/>
        <v>0.75978431821935022</v>
      </c>
      <c r="O8294" s="2">
        <f ca="1"/>
        <v>0.80097961924171357</v>
      </c>
      <c r="X8294" s="2">
        <f ca="1"/>
        <v>48.451493963193798</v>
      </c>
      <c r="AG8294" s="2">
        <f ca="1"/>
        <v>0.80126034903433685</v>
      </c>
      <c r="AH8294" s="2" t="str">
        <f ca="1"/>
        <v>Bad</v>
      </c>
    </row>
    <row r="8295" spans="2:34">
      <c r="B8295" s="2">
        <f ca="1"/>
        <v>0.83871083376470379</v>
      </c>
      <c r="O8295" s="2">
        <f ca="1"/>
        <v>-0.72660982762262405</v>
      </c>
      <c r="X8295" s="2">
        <f ca="1"/>
        <v>45.427639487775835</v>
      </c>
      <c r="AG8295" s="2">
        <f ca="1"/>
        <v>0.99944879324769009</v>
      </c>
      <c r="AH8295" s="2" t="str">
        <f ca="1"/>
        <v>Bad</v>
      </c>
    </row>
    <row r="8296" spans="2:34">
      <c r="B8296" s="2">
        <f ca="1"/>
        <v>0.43162868493253104</v>
      </c>
      <c r="O8296" s="2">
        <f ca="1"/>
        <v>0.21813680814267267</v>
      </c>
      <c r="X8296" s="2">
        <f ca="1"/>
        <v>45.534590297789052</v>
      </c>
      <c r="AG8296" s="2">
        <f ca="1"/>
        <v>0.72911549092501149</v>
      </c>
      <c r="AH8296" s="2" t="str">
        <f ca="1"/>
        <v>Bad</v>
      </c>
    </row>
    <row r="8297" spans="2:34">
      <c r="B8297" s="2">
        <f ca="1"/>
        <v>0.17645851710694038</v>
      </c>
      <c r="O8297" s="2">
        <f ca="1"/>
        <v>-2.1987643915603865</v>
      </c>
      <c r="X8297" s="2">
        <f ca="1"/>
        <v>60.954395228084536</v>
      </c>
      <c r="AG8297" s="2">
        <f ca="1"/>
        <v>0.60406559670911286</v>
      </c>
      <c r="AH8297" s="2" t="str">
        <f ca="1"/>
        <v>Bad</v>
      </c>
    </row>
    <row r="8298" spans="2:34">
      <c r="B8298" s="2">
        <f ca="1"/>
        <v>0.78368659308354172</v>
      </c>
      <c r="O8298" s="2">
        <f ca="1"/>
        <v>-0.79536550313642973</v>
      </c>
      <c r="X8298" s="2">
        <f ca="1"/>
        <v>36.04047207317948</v>
      </c>
      <c r="AG8298" s="2">
        <f ca="1"/>
        <v>0.22540160625140881</v>
      </c>
      <c r="AH8298" s="2" t="str">
        <f ca="1"/>
        <v>OK</v>
      </c>
    </row>
    <row r="8299" spans="2:34">
      <c r="B8299" s="2">
        <f ca="1"/>
        <v>0.50592289949439562</v>
      </c>
      <c r="O8299" s="2">
        <f ca="1"/>
        <v>1.1478293578175582</v>
      </c>
      <c r="X8299" s="2">
        <f ca="1"/>
        <v>77.822324575821625</v>
      </c>
      <c r="AG8299" s="2">
        <f ca="1"/>
        <v>0.80448714298646351</v>
      </c>
      <c r="AH8299" s="2" t="str">
        <f ca="1"/>
        <v>Bad</v>
      </c>
    </row>
    <row r="8300" spans="2:34">
      <c r="B8300" s="2">
        <f ca="1"/>
        <v>0.58315526093607084</v>
      </c>
      <c r="O8300" s="2">
        <f ca="1"/>
        <v>-0.19056177230304805</v>
      </c>
      <c r="X8300" s="2">
        <f ca="1"/>
        <v>50.9831389006644</v>
      </c>
      <c r="AG8300" s="2">
        <f ca="1"/>
        <v>0.49301734366290217</v>
      </c>
      <c r="AH8300" s="2" t="str">
        <f ca="1"/>
        <v>Bad</v>
      </c>
    </row>
    <row r="8301" spans="2:34">
      <c r="B8301" s="2">
        <f ca="1"/>
        <v>0.81440917157435222</v>
      </c>
      <c r="O8301" s="2">
        <f ca="1"/>
        <v>-2.3037920725873025</v>
      </c>
      <c r="X8301" s="2">
        <f ca="1"/>
        <v>39.512451357566484</v>
      </c>
      <c r="AG8301" s="2">
        <f ca="1"/>
        <v>0.48644611522246661</v>
      </c>
      <c r="AH8301" s="2" t="str">
        <f ca="1"/>
        <v>Bad</v>
      </c>
    </row>
    <row r="8302" spans="2:34">
      <c r="B8302" s="2">
        <f ca="1"/>
        <v>0.59689870889055263</v>
      </c>
      <c r="O8302" s="2">
        <f ca="1"/>
        <v>0.28537502149456817</v>
      </c>
      <c r="X8302" s="2">
        <f ca="1"/>
        <v>34.721509464237613</v>
      </c>
      <c r="AG8302" s="2">
        <f ca="1"/>
        <v>0.40739598413781675</v>
      </c>
      <c r="AH8302" s="2" t="str">
        <f ca="1"/>
        <v>Bad</v>
      </c>
    </row>
    <row r="8303" spans="2:34">
      <c r="B8303" s="2">
        <f ca="1"/>
        <v>0.90372477785540162</v>
      </c>
      <c r="O8303" s="2">
        <f ca="1"/>
        <v>1.2980269417649033</v>
      </c>
      <c r="X8303" s="2">
        <f ca="1"/>
        <v>54.899600836176241</v>
      </c>
      <c r="AG8303" s="2">
        <f ca="1"/>
        <v>0.83240065264870089</v>
      </c>
      <c r="AH8303" s="2" t="str">
        <f ca="1"/>
        <v>Bad</v>
      </c>
    </row>
    <row r="8304" spans="2:34">
      <c r="B8304" s="2">
        <f ca="1"/>
        <v>0.54900329787800395</v>
      </c>
      <c r="O8304" s="2">
        <f ca="1"/>
        <v>-0.93866125893654973</v>
      </c>
      <c r="X8304" s="2">
        <f ca="1"/>
        <v>53.806723418116093</v>
      </c>
      <c r="AG8304" s="2">
        <f ca="1"/>
        <v>0.83859265810419648</v>
      </c>
      <c r="AH8304" s="2" t="str">
        <f ca="1"/>
        <v>Bad</v>
      </c>
    </row>
    <row r="8305" spans="2:34">
      <c r="B8305" s="2">
        <f ca="1"/>
        <v>0.73375128460468164</v>
      </c>
      <c r="O8305" s="2">
        <f ca="1"/>
        <v>-0.50728115481315361</v>
      </c>
      <c r="X8305" s="2">
        <f ca="1"/>
        <v>50.13587864264661</v>
      </c>
      <c r="AG8305" s="2">
        <f ca="1"/>
        <v>0.21212131653317789</v>
      </c>
      <c r="AH8305" s="2" t="str">
        <f ca="1"/>
        <v>OK</v>
      </c>
    </row>
    <row r="8306" spans="2:34">
      <c r="B8306" s="2">
        <f ca="1"/>
        <v>0.99758038774122748</v>
      </c>
      <c r="O8306" s="2">
        <f ca="1"/>
        <v>0.72713030464258421</v>
      </c>
      <c r="X8306" s="2">
        <f ca="1"/>
        <v>39.469099332684337</v>
      </c>
      <c r="AG8306" s="2">
        <f ca="1"/>
        <v>0.82483014425080348</v>
      </c>
      <c r="AH8306" s="2" t="str">
        <f ca="1"/>
        <v>Bad</v>
      </c>
    </row>
    <row r="8307" spans="2:34">
      <c r="B8307" s="2">
        <f ca="1"/>
        <v>0.76467342257202597</v>
      </c>
      <c r="O8307" s="2">
        <f ca="1"/>
        <v>2.1737556009110657</v>
      </c>
      <c r="X8307" s="2">
        <f ca="1"/>
        <v>38.93512635844926</v>
      </c>
      <c r="AG8307" s="2">
        <f ca="1"/>
        <v>0.40401692273019019</v>
      </c>
      <c r="AH8307" s="2" t="str">
        <f ca="1"/>
        <v>Bad</v>
      </c>
    </row>
    <row r="8308" spans="2:34">
      <c r="B8308" s="2">
        <f ca="1"/>
        <v>8.9161813363340503E-2</v>
      </c>
      <c r="O8308" s="2">
        <f ca="1"/>
        <v>1.8894498554131163</v>
      </c>
      <c r="X8308" s="2">
        <f ca="1"/>
        <v>36.950424995957349</v>
      </c>
      <c r="AG8308" s="2">
        <f ca="1"/>
        <v>0.80324008820166459</v>
      </c>
      <c r="AH8308" s="2" t="str">
        <f ca="1"/>
        <v>Bad</v>
      </c>
    </row>
    <row r="8309" spans="2:34">
      <c r="B8309" s="2">
        <f ca="1"/>
        <v>0.21222610356432403</v>
      </c>
      <c r="O8309" s="2">
        <f ca="1"/>
        <v>-1.4776405800408918</v>
      </c>
      <c r="X8309" s="2">
        <f ca="1"/>
        <v>44.347677810566132</v>
      </c>
      <c r="AG8309" s="2">
        <f ca="1"/>
        <v>0.86982710623648485</v>
      </c>
      <c r="AH8309" s="2" t="str">
        <f ca="1"/>
        <v>Bad</v>
      </c>
    </row>
    <row r="8310" spans="2:34">
      <c r="B8310" s="2">
        <f ca="1"/>
        <v>0.26367102313449653</v>
      </c>
      <c r="O8310" s="2">
        <f ca="1"/>
        <v>-2.4916344324241031</v>
      </c>
      <c r="X8310" s="2">
        <f ca="1"/>
        <v>50.581877049728526</v>
      </c>
      <c r="AG8310" s="2">
        <f ca="1"/>
        <v>0.12721561994364938</v>
      </c>
      <c r="AH8310" s="2" t="str">
        <f ca="1"/>
        <v>OK</v>
      </c>
    </row>
    <row r="8311" spans="2:34">
      <c r="B8311" s="2">
        <f ca="1"/>
        <v>0.7016672823107315</v>
      </c>
      <c r="O8311" s="2">
        <f ca="1"/>
        <v>0.57166935180844314</v>
      </c>
      <c r="X8311" s="2">
        <f ca="1"/>
        <v>58.528442155917368</v>
      </c>
      <c r="AG8311" s="2">
        <f ca="1"/>
        <v>0.14263001009657117</v>
      </c>
      <c r="AH8311" s="2" t="str">
        <f ca="1"/>
        <v>OK</v>
      </c>
    </row>
    <row r="8312" spans="2:34">
      <c r="B8312" s="2">
        <f ca="1"/>
        <v>0.58163603307043199</v>
      </c>
      <c r="O8312" s="2">
        <f ca="1"/>
        <v>1.0965453353469505</v>
      </c>
      <c r="X8312" s="2">
        <f ca="1"/>
        <v>24.986441998992206</v>
      </c>
      <c r="AG8312" s="2">
        <f ca="1"/>
        <v>0.87180347627540189</v>
      </c>
      <c r="AH8312" s="2" t="str">
        <f ca="1"/>
        <v>Bad</v>
      </c>
    </row>
    <row r="8313" spans="2:34">
      <c r="B8313" s="2">
        <f ca="1"/>
        <v>0.35865544867258015</v>
      </c>
      <c r="O8313" s="2">
        <f ca="1"/>
        <v>1.0121838556753655</v>
      </c>
      <c r="X8313" s="2">
        <f ca="1"/>
        <v>72.214778041788861</v>
      </c>
      <c r="AG8313" s="2">
        <f ca="1"/>
        <v>0.68369570594197682</v>
      </c>
      <c r="AH8313" s="2" t="str">
        <f ca="1"/>
        <v>Bad</v>
      </c>
    </row>
    <row r="8314" spans="2:34">
      <c r="B8314" s="2">
        <f ca="1"/>
        <v>0.87518964228642004</v>
      </c>
      <c r="O8314" s="2">
        <f ca="1"/>
        <v>0.10969193580006056</v>
      </c>
      <c r="X8314" s="2">
        <f ca="1"/>
        <v>43.215485384609934</v>
      </c>
      <c r="AG8314" s="2">
        <f ca="1"/>
        <v>0.31078674328619149</v>
      </c>
      <c r="AH8314" s="2" t="str">
        <f ca="1"/>
        <v>OK</v>
      </c>
    </row>
    <row r="8315" spans="2:34">
      <c r="B8315" s="2">
        <f ca="1"/>
        <v>0.72157014666513342</v>
      </c>
      <c r="O8315" s="2">
        <f ca="1"/>
        <v>-0.2208302990154338</v>
      </c>
      <c r="X8315" s="2">
        <f ca="1"/>
        <v>62.552289614330462</v>
      </c>
      <c r="AG8315" s="2">
        <f ca="1"/>
        <v>0.70296002131605295</v>
      </c>
      <c r="AH8315" s="2" t="str">
        <f ca="1"/>
        <v>Bad</v>
      </c>
    </row>
    <row r="8316" spans="2:34">
      <c r="B8316" s="2">
        <f ca="1"/>
        <v>0.1127169747345067</v>
      </c>
      <c r="O8316" s="2">
        <f ca="1"/>
        <v>0.88753535123392413</v>
      </c>
      <c r="X8316" s="2">
        <f ca="1"/>
        <v>42.058227661042835</v>
      </c>
      <c r="AG8316" s="2">
        <f ca="1"/>
        <v>8.8206438644085505E-2</v>
      </c>
      <c r="AH8316" s="2" t="str">
        <f ca="1"/>
        <v>OK</v>
      </c>
    </row>
    <row r="8317" spans="2:34">
      <c r="B8317" s="2">
        <f ca="1"/>
        <v>0.83766362041712261</v>
      </c>
      <c r="O8317" s="2">
        <f ca="1"/>
        <v>-0.70137369643163594</v>
      </c>
      <c r="X8317" s="2">
        <f ca="1"/>
        <v>34.192223248215868</v>
      </c>
      <c r="AG8317" s="2">
        <f ca="1"/>
        <v>1.8223472394465645E-2</v>
      </c>
      <c r="AH8317" s="2" t="str">
        <f ca="1"/>
        <v>Good</v>
      </c>
    </row>
    <row r="8318" spans="2:34">
      <c r="B8318" s="2">
        <f ca="1"/>
        <v>0.48286884839057964</v>
      </c>
      <c r="O8318" s="2">
        <f ca="1"/>
        <v>-0.40874048828629478</v>
      </c>
      <c r="X8318" s="2">
        <f ca="1"/>
        <v>67.073995592919971</v>
      </c>
      <c r="AG8318" s="2">
        <f ca="1"/>
        <v>0.72122881525422478</v>
      </c>
      <c r="AH8318" s="2" t="str">
        <f ca="1"/>
        <v>Bad</v>
      </c>
    </row>
    <row r="8319" spans="2:34">
      <c r="B8319" s="2">
        <f ca="1"/>
        <v>0.88352895594122871</v>
      </c>
      <c r="O8319" s="2">
        <f ca="1"/>
        <v>0.27622666512464034</v>
      </c>
      <c r="X8319" s="2">
        <f ca="1"/>
        <v>39.188454308459349</v>
      </c>
      <c r="AG8319" s="2">
        <f ca="1"/>
        <v>0.96387779012162023</v>
      </c>
      <c r="AH8319" s="2" t="str">
        <f ca="1"/>
        <v>Bad</v>
      </c>
    </row>
    <row r="8320" spans="2:34">
      <c r="B8320" s="2">
        <f ca="1"/>
        <v>0.71419760081601424</v>
      </c>
      <c r="O8320" s="2">
        <f ca="1"/>
        <v>-1.3779967764981615</v>
      </c>
      <c r="X8320" s="2">
        <f ca="1"/>
        <v>53.773662796811976</v>
      </c>
      <c r="AG8320" s="2">
        <f ca="1"/>
        <v>0.1568280357438232</v>
      </c>
      <c r="AH8320" s="2" t="str">
        <f ca="1"/>
        <v>OK</v>
      </c>
    </row>
    <row r="8321" spans="2:34">
      <c r="B8321" s="2">
        <f ca="1"/>
        <v>0.76702327194779962</v>
      </c>
      <c r="O8321" s="2">
        <f ca="1"/>
        <v>-2.4737109044888976</v>
      </c>
      <c r="X8321" s="2">
        <f ca="1"/>
        <v>51.169050481335638</v>
      </c>
      <c r="AG8321" s="2">
        <f ca="1"/>
        <v>0.74900964357146727</v>
      </c>
      <c r="AH8321" s="2" t="str">
        <f ca="1"/>
        <v>Bad</v>
      </c>
    </row>
    <row r="8322" spans="2:34">
      <c r="B8322" s="2">
        <f ca="1"/>
        <v>7.6934691067900296E-3</v>
      </c>
      <c r="O8322" s="2">
        <f ca="1"/>
        <v>-0.72612562770684108</v>
      </c>
      <c r="X8322" s="2">
        <f ca="1"/>
        <v>58.27929817136723</v>
      </c>
      <c r="AG8322" s="2">
        <f ca="1"/>
        <v>0.34212563677017549</v>
      </c>
      <c r="AH8322" s="2" t="str">
        <f ca="1"/>
        <v>OK</v>
      </c>
    </row>
    <row r="8323" spans="2:34">
      <c r="B8323" s="2">
        <f ca="1"/>
        <v>3.4625845247344911E-2</v>
      </c>
      <c r="O8323" s="2">
        <f ca="1"/>
        <v>0.69297769282754851</v>
      </c>
      <c r="X8323" s="2">
        <f ca="1"/>
        <v>37.713731622040363</v>
      </c>
      <c r="AG8323" s="2">
        <f ca="1"/>
        <v>0.56859908323842445</v>
      </c>
      <c r="AH8323" s="2" t="str">
        <f ca="1"/>
        <v>Bad</v>
      </c>
    </row>
    <row r="8324" spans="2:34">
      <c r="B8324" s="2">
        <f ca="1"/>
        <v>0.58916037149985478</v>
      </c>
      <c r="O8324" s="2">
        <f ca="1"/>
        <v>-0.5585777747194447</v>
      </c>
      <c r="X8324" s="2">
        <f ca="1"/>
        <v>30.773616130312249</v>
      </c>
      <c r="AG8324" s="2">
        <f ca="1"/>
        <v>0.48514394087926127</v>
      </c>
      <c r="AH8324" s="2" t="str">
        <f ca="1"/>
        <v>Bad</v>
      </c>
    </row>
    <row r="8325" spans="2:34">
      <c r="B8325" s="2">
        <f ca="1"/>
        <v>0.42193130960843095</v>
      </c>
      <c r="O8325" s="2">
        <f ca="1"/>
        <v>-0.35827967804630412</v>
      </c>
      <c r="X8325" s="2">
        <f ca="1"/>
        <v>73.786626700940431</v>
      </c>
      <c r="AG8325" s="2">
        <f ca="1"/>
        <v>2.2699585285112844E-2</v>
      </c>
      <c r="AH8325" s="2" t="str">
        <f ca="1"/>
        <v>Good</v>
      </c>
    </row>
    <row r="8326" spans="2:34">
      <c r="B8326" s="2">
        <f ca="1"/>
        <v>0.88442077850746337</v>
      </c>
      <c r="O8326" s="2">
        <f ca="1"/>
        <v>0.79683256725466789</v>
      </c>
      <c r="X8326" s="2">
        <f ca="1"/>
        <v>91.491891120878535</v>
      </c>
      <c r="AG8326" s="2">
        <f ca="1"/>
        <v>0.43790713593193975</v>
      </c>
      <c r="AH8326" s="2" t="str">
        <f ca="1"/>
        <v>Bad</v>
      </c>
    </row>
    <row r="8327" spans="2:34">
      <c r="B8327" s="2">
        <f ca="1"/>
        <v>0.12395008208404135</v>
      </c>
      <c r="O8327" s="2">
        <f ca="1"/>
        <v>1.5824134889774355</v>
      </c>
      <c r="X8327" s="2">
        <f ca="1"/>
        <v>44.922533504951588</v>
      </c>
      <c r="AG8327" s="2">
        <f ca="1"/>
        <v>0.58354627215738497</v>
      </c>
      <c r="AH8327" s="2" t="str">
        <f ca="1"/>
        <v>Bad</v>
      </c>
    </row>
    <row r="8328" spans="2:34">
      <c r="B8328" s="2">
        <f ca="1"/>
        <v>0.58334930854786737</v>
      </c>
      <c r="O8328" s="2">
        <f ca="1"/>
        <v>1.6453251821156423</v>
      </c>
      <c r="X8328" s="2">
        <f ca="1"/>
        <v>54.782921223376412</v>
      </c>
      <c r="AG8328" s="2">
        <f ca="1"/>
        <v>0.28573863120141718</v>
      </c>
      <c r="AH8328" s="2" t="str">
        <f ca="1"/>
        <v>OK</v>
      </c>
    </row>
    <row r="8329" spans="2:34">
      <c r="B8329" s="2">
        <f ca="1"/>
        <v>0.57603363939955798</v>
      </c>
      <c r="O8329" s="2">
        <f ca="1"/>
        <v>-0.96138499094355923</v>
      </c>
      <c r="X8329" s="2">
        <f ca="1"/>
        <v>32.680218159175787</v>
      </c>
      <c r="AG8329" s="2">
        <f ca="1"/>
        <v>0.57277198330624013</v>
      </c>
      <c r="AH8329" s="2" t="str">
        <f ca="1"/>
        <v>Bad</v>
      </c>
    </row>
    <row r="8330" spans="2:34">
      <c r="B8330" s="2">
        <f ca="1"/>
        <v>8.0950044324999304E-2</v>
      </c>
      <c r="O8330" s="2">
        <f ca="1"/>
        <v>0.34275582191873027</v>
      </c>
      <c r="X8330" s="2">
        <f ca="1"/>
        <v>57.842520849337397</v>
      </c>
      <c r="AG8330" s="2">
        <f ca="1"/>
        <v>0.16701526517572884</v>
      </c>
      <c r="AH8330" s="2" t="str">
        <f ca="1"/>
        <v>OK</v>
      </c>
    </row>
    <row r="8331" spans="2:34">
      <c r="B8331" s="2">
        <f ca="1"/>
        <v>0.28560079587555864</v>
      </c>
      <c r="O8331" s="2">
        <f ca="1"/>
        <v>-0.82417172840627306</v>
      </c>
      <c r="X8331" s="2">
        <f ca="1"/>
        <v>38.493797260314309</v>
      </c>
      <c r="AG8331" s="2">
        <f ca="1"/>
        <v>0.88834958623150651</v>
      </c>
      <c r="AH8331" s="2" t="str">
        <f ca="1"/>
        <v>Bad</v>
      </c>
    </row>
    <row r="8332" spans="2:34">
      <c r="B8332" s="2">
        <f ca="1"/>
        <v>0.47535955054419388</v>
      </c>
      <c r="O8332" s="2">
        <f ca="1"/>
        <v>1.4871771706306369</v>
      </c>
      <c r="X8332" s="2">
        <f ca="1"/>
        <v>65.063572762570061</v>
      </c>
      <c r="AG8332" s="2">
        <f ca="1"/>
        <v>0.2329317911611466</v>
      </c>
      <c r="AH8332" s="2" t="str">
        <f ca="1"/>
        <v>OK</v>
      </c>
    </row>
    <row r="8333" spans="2:34">
      <c r="B8333" s="2">
        <f ca="1"/>
        <v>0.12951062720627959</v>
      </c>
      <c r="O8333" s="2">
        <f ca="1"/>
        <v>-0.62814491822011609</v>
      </c>
      <c r="X8333" s="2">
        <f ca="1"/>
        <v>35.179885050985803</v>
      </c>
      <c r="AG8333" s="2">
        <f ca="1"/>
        <v>0.59543005163179963</v>
      </c>
      <c r="AH8333" s="2" t="str">
        <f ca="1"/>
        <v>Bad</v>
      </c>
    </row>
    <row r="8334" spans="2:34">
      <c r="B8334" s="2">
        <f ca="1"/>
        <v>4.7119937702667203E-2</v>
      </c>
      <c r="O8334" s="2">
        <f ca="1"/>
        <v>0.34213649434894333</v>
      </c>
      <c r="X8334" s="2">
        <f ca="1"/>
        <v>45.191919332172361</v>
      </c>
      <c r="AG8334" s="2">
        <f ca="1"/>
        <v>0.56535575802227367</v>
      </c>
      <c r="AH8334" s="2" t="str">
        <f ca="1"/>
        <v>Bad</v>
      </c>
    </row>
    <row r="8335" spans="2:34">
      <c r="B8335" s="2">
        <f ca="1"/>
        <v>0.94931982546384241</v>
      </c>
      <c r="O8335" s="2">
        <f ca="1"/>
        <v>0.2281855351723126</v>
      </c>
      <c r="X8335" s="2">
        <f ca="1"/>
        <v>55.066325640240393</v>
      </c>
      <c r="AG8335" s="2">
        <f ca="1"/>
        <v>7.9980359021032399E-2</v>
      </c>
      <c r="AH8335" s="2" t="str">
        <f ca="1"/>
        <v>OK</v>
      </c>
    </row>
    <row r="8336" spans="2:34">
      <c r="B8336" s="2">
        <f ca="1"/>
        <v>0.22188747047388913</v>
      </c>
      <c r="O8336" s="2">
        <f ca="1"/>
        <v>0.10776090234171547</v>
      </c>
      <c r="X8336" s="2">
        <f ca="1"/>
        <v>73.363522180810691</v>
      </c>
      <c r="AG8336" s="2">
        <f ca="1"/>
        <v>0.21248915031539073</v>
      </c>
      <c r="AH8336" s="2" t="str">
        <f ca="1"/>
        <v>OK</v>
      </c>
    </row>
    <row r="8337" spans="2:34">
      <c r="B8337" s="2">
        <f ca="1"/>
        <v>0.74846686242292826</v>
      </c>
      <c r="O8337" s="2">
        <f ca="1"/>
        <v>1.1543722001765653</v>
      </c>
      <c r="X8337" s="2">
        <f ca="1"/>
        <v>21.247670696381515</v>
      </c>
      <c r="AG8337" s="2">
        <f ca="1"/>
        <v>0.65856691982644744</v>
      </c>
      <c r="AH8337" s="2" t="str">
        <f ca="1"/>
        <v>Bad</v>
      </c>
    </row>
    <row r="8338" spans="2:34">
      <c r="B8338" s="2">
        <f ca="1"/>
        <v>0.95339834748575214</v>
      </c>
      <c r="O8338" s="2">
        <f ca="1"/>
        <v>2.8949617398051579</v>
      </c>
      <c r="X8338" s="2">
        <f ca="1"/>
        <v>40.611070838809951</v>
      </c>
      <c r="AG8338" s="2">
        <f ca="1"/>
        <v>0.8785623179058959</v>
      </c>
      <c r="AH8338" s="2" t="str">
        <f ca="1"/>
        <v>Bad</v>
      </c>
    </row>
    <row r="8339" spans="2:34">
      <c r="B8339" s="2">
        <f ca="1"/>
        <v>2.0587567534113616E-2</v>
      </c>
      <c r="O8339" s="2">
        <f ca="1"/>
        <v>0.97363509948871696</v>
      </c>
      <c r="X8339" s="2">
        <f ca="1"/>
        <v>44.750183804802631</v>
      </c>
      <c r="AG8339" s="2">
        <f ca="1"/>
        <v>0.89612804163674697</v>
      </c>
      <c r="AH8339" s="2" t="str">
        <f ca="1"/>
        <v>Bad</v>
      </c>
    </row>
    <row r="8340" spans="2:34">
      <c r="B8340" s="2">
        <f ca="1"/>
        <v>0.2404120136924417</v>
      </c>
      <c r="O8340" s="2">
        <f ca="1"/>
        <v>1.3199802784278112</v>
      </c>
      <c r="X8340" s="2">
        <f ca="1"/>
        <v>29.612936640218027</v>
      </c>
      <c r="AG8340" s="2">
        <f ca="1"/>
        <v>0.62404245426567906</v>
      </c>
      <c r="AH8340" s="2" t="str">
        <f ca="1"/>
        <v>Bad</v>
      </c>
    </row>
    <row r="8341" spans="2:34">
      <c r="B8341" s="2">
        <f ca="1"/>
        <v>0.75718863307434381</v>
      </c>
      <c r="O8341" s="2">
        <f ca="1"/>
        <v>1.0697435816175471</v>
      </c>
      <c r="X8341" s="2">
        <f ca="1"/>
        <v>64.503402370997918</v>
      </c>
      <c r="AG8341" s="2">
        <f ca="1"/>
        <v>0.74306559454188159</v>
      </c>
      <c r="AH8341" s="2" t="str">
        <f ca="1"/>
        <v>Bad</v>
      </c>
    </row>
    <row r="8342" spans="2:34">
      <c r="B8342" s="2">
        <f ca="1"/>
        <v>1.7962661975525318E-2</v>
      </c>
      <c r="O8342" s="2">
        <f ca="1"/>
        <v>-0.10194180781829885</v>
      </c>
      <c r="X8342" s="2">
        <f ca="1"/>
        <v>71.110462768159707</v>
      </c>
      <c r="AG8342" s="2">
        <f ca="1"/>
        <v>0.40630535288754488</v>
      </c>
      <c r="AH8342" s="2" t="str">
        <f ca="1"/>
        <v>Bad</v>
      </c>
    </row>
    <row r="8343" spans="2:34">
      <c r="B8343" s="2">
        <f ca="1"/>
        <v>0.51982605399315962</v>
      </c>
      <c r="O8343" s="2">
        <f ca="1"/>
        <v>1.0316408200478691</v>
      </c>
      <c r="X8343" s="2">
        <f ca="1"/>
        <v>56.137253467005088</v>
      </c>
      <c r="AG8343" s="2">
        <f ca="1"/>
        <v>0.64979636961984499</v>
      </c>
      <c r="AH8343" s="2" t="str">
        <f ca="1"/>
        <v>Bad</v>
      </c>
    </row>
    <row r="8344" spans="2:34">
      <c r="B8344" s="2">
        <f ca="1"/>
        <v>0.97977433720991502</v>
      </c>
      <c r="O8344" s="2">
        <f ca="1"/>
        <v>0.91865880084998719</v>
      </c>
      <c r="X8344" s="2">
        <f ca="1"/>
        <v>24.017563861885112</v>
      </c>
      <c r="AG8344" s="2">
        <f ca="1"/>
        <v>0.60581985011312312</v>
      </c>
      <c r="AH8344" s="2" t="str">
        <f ca="1"/>
        <v>Bad</v>
      </c>
    </row>
    <row r="8345" spans="2:34">
      <c r="B8345" s="2">
        <f ca="1"/>
        <v>0.72352277537083998</v>
      </c>
      <c r="O8345" s="2">
        <f ca="1"/>
        <v>0.14547654736081367</v>
      </c>
      <c r="X8345" s="2">
        <f ca="1"/>
        <v>48.323133766417058</v>
      </c>
      <c r="AG8345" s="2">
        <f ca="1"/>
        <v>0.72755434112213013</v>
      </c>
      <c r="AH8345" s="2" t="str">
        <f ca="1"/>
        <v>Bad</v>
      </c>
    </row>
    <row r="8346" spans="2:34">
      <c r="B8346" s="2">
        <f ca="1"/>
        <v>0.68029541015946648</v>
      </c>
      <c r="O8346" s="2">
        <f ca="1"/>
        <v>0.12936979114753874</v>
      </c>
      <c r="X8346" s="2">
        <f ca="1"/>
        <v>84.224199668521095</v>
      </c>
      <c r="AG8346" s="2">
        <f ca="1"/>
        <v>7.2201827651091177E-2</v>
      </c>
      <c r="AH8346" s="2" t="str">
        <f ca="1"/>
        <v>OK</v>
      </c>
    </row>
    <row r="8347" spans="2:34">
      <c r="B8347" s="2">
        <f ca="1"/>
        <v>5.5789153965373872E-2</v>
      </c>
      <c r="O8347" s="2">
        <f ca="1"/>
        <v>-0.35251324135673318</v>
      </c>
      <c r="X8347" s="2">
        <f ca="1"/>
        <v>93.467900226783215</v>
      </c>
      <c r="AG8347" s="2">
        <f ca="1"/>
        <v>0.52376265059777727</v>
      </c>
      <c r="AH8347" s="2" t="str">
        <f ca="1"/>
        <v>Bad</v>
      </c>
    </row>
    <row r="8348" spans="2:34">
      <c r="B8348" s="2">
        <f ca="1"/>
        <v>0.17764417116164033</v>
      </c>
      <c r="O8348" s="2">
        <f ca="1"/>
        <v>0.13135069900994115</v>
      </c>
      <c r="X8348" s="2">
        <f ca="1"/>
        <v>50.803703930159408</v>
      </c>
      <c r="AG8348" s="2">
        <f ca="1"/>
        <v>0.94306139012944312</v>
      </c>
      <c r="AH8348" s="2" t="str">
        <f ca="1"/>
        <v>Bad</v>
      </c>
    </row>
    <row r="8349" spans="2:34">
      <c r="B8349" s="2">
        <f ca="1"/>
        <v>0.41348244722010152</v>
      </c>
      <c r="O8349" s="2">
        <f ca="1"/>
        <v>1.1286324884289036</v>
      </c>
      <c r="X8349" s="2">
        <f ca="1"/>
        <v>46.31655254220837</v>
      </c>
      <c r="AG8349" s="2">
        <f ca="1"/>
        <v>0.10537340521480232</v>
      </c>
      <c r="AH8349" s="2" t="str">
        <f ca="1"/>
        <v>OK</v>
      </c>
    </row>
    <row r="8350" spans="2:34">
      <c r="B8350" s="2">
        <f ca="1"/>
        <v>0.58995751805797791</v>
      </c>
      <c r="O8350" s="2">
        <f ca="1"/>
        <v>-0.62349636636086658</v>
      </c>
      <c r="X8350" s="2">
        <f ca="1"/>
        <v>76.971532188135313</v>
      </c>
      <c r="AG8350" s="2">
        <f ca="1"/>
        <v>0.39273062664895142</v>
      </c>
      <c r="AH8350" s="2" t="str">
        <f ca="1"/>
        <v>OK</v>
      </c>
    </row>
    <row r="8351" spans="2:34">
      <c r="B8351" s="2">
        <f ca="1"/>
        <v>7.3481571343186891E-2</v>
      </c>
      <c r="O8351" s="2">
        <f ca="1"/>
        <v>1.60947129022151</v>
      </c>
      <c r="X8351" s="2">
        <f ca="1"/>
        <v>36.697296291148888</v>
      </c>
      <c r="AG8351" s="2">
        <f ca="1"/>
        <v>0.47536457416156774</v>
      </c>
      <c r="AH8351" s="2" t="str">
        <f ca="1"/>
        <v>Bad</v>
      </c>
    </row>
    <row r="8352" spans="2:34">
      <c r="B8352" s="2">
        <f ca="1"/>
        <v>0.28911101216100055</v>
      </c>
      <c r="O8352" s="2">
        <f ca="1"/>
        <v>-0.49623836157131296</v>
      </c>
      <c r="X8352" s="2">
        <f ca="1"/>
        <v>37.908209157657041</v>
      </c>
      <c r="AG8352" s="2">
        <f ca="1"/>
        <v>0.93262591825066909</v>
      </c>
      <c r="AH8352" s="2" t="str">
        <f ca="1"/>
        <v>Bad</v>
      </c>
    </row>
    <row r="8353" spans="2:34">
      <c r="B8353" s="2">
        <f ca="1"/>
        <v>0.38454802605483729</v>
      </c>
      <c r="O8353" s="2">
        <f ca="1"/>
        <v>-7.5593509874139084E-2</v>
      </c>
      <c r="X8353" s="2">
        <f ca="1"/>
        <v>38.908259638919809</v>
      </c>
      <c r="AG8353" s="2">
        <f ca="1"/>
        <v>0.29253487115646415</v>
      </c>
      <c r="AH8353" s="2" t="str">
        <f ca="1"/>
        <v>OK</v>
      </c>
    </row>
    <row r="8354" spans="2:34">
      <c r="B8354" s="2">
        <f ca="1"/>
        <v>0.41566916444048752</v>
      </c>
      <c r="O8354" s="2">
        <f ca="1"/>
        <v>-0.25493416401640528</v>
      </c>
      <c r="X8354" s="2">
        <f ca="1"/>
        <v>58.472426459502458</v>
      </c>
      <c r="AG8354" s="2">
        <f ca="1"/>
        <v>0.8200168178580447</v>
      </c>
      <c r="AH8354" s="2" t="str">
        <f ca="1"/>
        <v>Bad</v>
      </c>
    </row>
    <row r="8355" spans="2:34">
      <c r="B8355" s="2">
        <f ca="1"/>
        <v>0.47993931775716359</v>
      </c>
      <c r="O8355" s="2">
        <f ca="1"/>
        <v>-0.44240908752227676</v>
      </c>
      <c r="X8355" s="2">
        <f ca="1"/>
        <v>70.249668674515931</v>
      </c>
      <c r="AG8355" s="2">
        <f ca="1"/>
        <v>0.5934256518602159</v>
      </c>
      <c r="AH8355" s="2" t="str">
        <f ca="1"/>
        <v>Bad</v>
      </c>
    </row>
    <row r="8356" spans="2:34">
      <c r="B8356" s="2">
        <f ca="1"/>
        <v>0.58201273642965434</v>
      </c>
      <c r="O8356" s="2">
        <f ca="1"/>
        <v>0.57728497647982424</v>
      </c>
      <c r="X8356" s="2">
        <f ca="1"/>
        <v>55.795199857744507</v>
      </c>
      <c r="AG8356" s="2">
        <f ca="1"/>
        <v>0.65909449351587313</v>
      </c>
      <c r="AH8356" s="2" t="str">
        <f ca="1"/>
        <v>Bad</v>
      </c>
    </row>
    <row r="8357" spans="2:34">
      <c r="B8357" s="2">
        <f ca="1"/>
        <v>0.41101608123779565</v>
      </c>
      <c r="O8357" s="2">
        <f ca="1"/>
        <v>-0.73159682740855114</v>
      </c>
      <c r="X8357" s="2">
        <f ca="1"/>
        <v>54.552106250076555</v>
      </c>
      <c r="AG8357" s="2">
        <f ca="1"/>
        <v>0.47848519072544349</v>
      </c>
      <c r="AH8357" s="2" t="str">
        <f ca="1"/>
        <v>Bad</v>
      </c>
    </row>
    <row r="8358" spans="2:34">
      <c r="B8358" s="2">
        <f ca="1"/>
        <v>0.66025785961895256</v>
      </c>
      <c r="O8358" s="2">
        <f ca="1"/>
        <v>-0.60648952045148097</v>
      </c>
      <c r="X8358" s="2">
        <f ca="1"/>
        <v>25.618510942217124</v>
      </c>
      <c r="AG8358" s="2">
        <f ca="1"/>
        <v>0.35382418400855453</v>
      </c>
      <c r="AH8358" s="2" t="str">
        <f ca="1"/>
        <v>OK</v>
      </c>
    </row>
    <row r="8359" spans="2:34">
      <c r="B8359" s="2">
        <f ca="1"/>
        <v>0.10649896945265169</v>
      </c>
      <c r="O8359" s="2">
        <f ca="1"/>
        <v>-5.1652682482479867E-2</v>
      </c>
      <c r="X8359" s="2">
        <f ca="1"/>
        <v>42.385491976165881</v>
      </c>
      <c r="AG8359" s="2">
        <f ca="1"/>
        <v>1.8269128501639198E-2</v>
      </c>
      <c r="AH8359" s="2" t="str">
        <f ca="1"/>
        <v>Good</v>
      </c>
    </row>
    <row r="8360" spans="2:34">
      <c r="B8360" s="2">
        <f ca="1"/>
        <v>0.96745312637805081</v>
      </c>
      <c r="O8360" s="2">
        <f ca="1"/>
        <v>0.3826310365868606</v>
      </c>
      <c r="X8360" s="2">
        <f ca="1"/>
        <v>84.499745487620601</v>
      </c>
      <c r="AG8360" s="2">
        <f ca="1"/>
        <v>0.29104422192063328</v>
      </c>
      <c r="AH8360" s="2" t="str">
        <f ca="1"/>
        <v>OK</v>
      </c>
    </row>
    <row r="8361" spans="2:34">
      <c r="B8361" s="2">
        <f ca="1"/>
        <v>0.48666686385266789</v>
      </c>
      <c r="O8361" s="2">
        <f ca="1"/>
        <v>-1.4719285116332355</v>
      </c>
      <c r="X8361" s="2">
        <f ca="1"/>
        <v>40.09997827519129</v>
      </c>
      <c r="AG8361" s="2">
        <f ca="1"/>
        <v>0.83298269721220919</v>
      </c>
      <c r="AH8361" s="2" t="str">
        <f ca="1"/>
        <v>Bad</v>
      </c>
    </row>
    <row r="8362" spans="2:34">
      <c r="B8362" s="2">
        <f ca="1"/>
        <v>0.16387900669287236</v>
      </c>
      <c r="O8362" s="2">
        <f ca="1"/>
        <v>1.6614870027825464</v>
      </c>
      <c r="X8362" s="2">
        <f ca="1"/>
        <v>38.052693002166016</v>
      </c>
      <c r="AG8362" s="2">
        <f ca="1"/>
        <v>0.78983170627344079</v>
      </c>
      <c r="AH8362" s="2" t="str">
        <f ca="1"/>
        <v>Bad</v>
      </c>
    </row>
    <row r="8363" spans="2:34">
      <c r="B8363" s="2">
        <f ca="1"/>
        <v>0.83816309274357725</v>
      </c>
      <c r="O8363" s="2">
        <f ca="1"/>
        <v>0.43332319815435277</v>
      </c>
      <c r="X8363" s="2">
        <f ca="1"/>
        <v>55.168818714741832</v>
      </c>
      <c r="AG8363" s="2">
        <f ca="1"/>
        <v>0.19175299571557192</v>
      </c>
      <c r="AH8363" s="2" t="str">
        <f ca="1"/>
        <v>OK</v>
      </c>
    </row>
    <row r="8364" spans="2:34">
      <c r="B8364" s="2">
        <f ca="1"/>
        <v>0.74495986984602558</v>
      </c>
      <c r="O8364" s="2">
        <f ca="1"/>
        <v>-0.70193089727339308</v>
      </c>
      <c r="X8364" s="2">
        <f ca="1"/>
        <v>25.659677928973576</v>
      </c>
      <c r="AG8364" s="2">
        <f ca="1"/>
        <v>0.76196609867109899</v>
      </c>
      <c r="AH8364" s="2" t="str">
        <f ca="1"/>
        <v>Bad</v>
      </c>
    </row>
    <row r="8365" spans="2:34">
      <c r="B8365" s="2">
        <f ca="1"/>
        <v>0.27941289661564905</v>
      </c>
      <c r="O8365" s="2">
        <f ca="1"/>
        <v>-0.20749019821903023</v>
      </c>
      <c r="X8365" s="2">
        <f ca="1"/>
        <v>48.252421004182722</v>
      </c>
      <c r="AG8365" s="2">
        <f ca="1"/>
        <v>0.27210895013687519</v>
      </c>
      <c r="AH8365" s="2" t="str">
        <f ca="1"/>
        <v>OK</v>
      </c>
    </row>
    <row r="8366" spans="2:34">
      <c r="B8366" s="2">
        <f ca="1"/>
        <v>0.5666328507122862</v>
      </c>
      <c r="O8366" s="2">
        <f ca="1"/>
        <v>1.291036306534399</v>
      </c>
      <c r="X8366" s="2">
        <f ca="1"/>
        <v>72.434104706425956</v>
      </c>
      <c r="AG8366" s="2">
        <f ca="1"/>
        <v>0.13839042229132792</v>
      </c>
      <c r="AH8366" s="2" t="str">
        <f ca="1"/>
        <v>OK</v>
      </c>
    </row>
    <row r="8367" spans="2:34">
      <c r="B8367" s="2">
        <f ca="1"/>
        <v>3.1662643396472845E-3</v>
      </c>
      <c r="O8367" s="2">
        <f ca="1"/>
        <v>0.50373825310200449</v>
      </c>
      <c r="X8367" s="2">
        <f ca="1"/>
        <v>71.25591688882794</v>
      </c>
      <c r="AG8367" s="2">
        <f ca="1"/>
        <v>0.92885037591036634</v>
      </c>
      <c r="AH8367" s="2" t="str">
        <f ca="1"/>
        <v>Bad</v>
      </c>
    </row>
    <row r="8368" spans="2:34">
      <c r="B8368" s="2">
        <f ca="1"/>
        <v>6.7597673258031454E-2</v>
      </c>
      <c r="O8368" s="2">
        <f ca="1"/>
        <v>1.4459563117215841</v>
      </c>
      <c r="X8368" s="2">
        <f ca="1"/>
        <v>37.924541506739203</v>
      </c>
      <c r="AG8368" s="2">
        <f ca="1"/>
        <v>0.22275113524915868</v>
      </c>
      <c r="AH8368" s="2" t="str">
        <f ca="1"/>
        <v>OK</v>
      </c>
    </row>
    <row r="8369" spans="2:34">
      <c r="B8369" s="2">
        <f ca="1"/>
        <v>0.53651239417366625</v>
      </c>
      <c r="O8369" s="2">
        <f ca="1"/>
        <v>-1.4316553899919651</v>
      </c>
      <c r="X8369" s="2">
        <f ca="1"/>
        <v>62.413706923717847</v>
      </c>
      <c r="AG8369" s="2">
        <f ca="1"/>
        <v>0.62488902839229366</v>
      </c>
      <c r="AH8369" s="2" t="str">
        <f ca="1"/>
        <v>Bad</v>
      </c>
    </row>
    <row r="8370" spans="2:34">
      <c r="B8370" s="2">
        <f ca="1"/>
        <v>0.91747215453723441</v>
      </c>
      <c r="O8370" s="2">
        <f ca="1"/>
        <v>-0.33566716461913443</v>
      </c>
      <c r="X8370" s="2">
        <f ca="1"/>
        <v>29.895438396480941</v>
      </c>
      <c r="AG8370" s="2">
        <f ca="1"/>
        <v>0.51657384265161088</v>
      </c>
      <c r="AH8370" s="2" t="str">
        <f ca="1"/>
        <v>Bad</v>
      </c>
    </row>
    <row r="8371" spans="2:34">
      <c r="B8371" s="2">
        <f ca="1"/>
        <v>0.33138246153720829</v>
      </c>
      <c r="O8371" s="2">
        <f ca="1"/>
        <v>-0.94979474625187066</v>
      </c>
      <c r="X8371" s="2">
        <f ca="1"/>
        <v>45.753974509722539</v>
      </c>
      <c r="AG8371" s="2">
        <f ca="1"/>
        <v>0.62579292672739317</v>
      </c>
      <c r="AH8371" s="2" t="str">
        <f ca="1"/>
        <v>Bad</v>
      </c>
    </row>
    <row r="8372" spans="2:34">
      <c r="B8372" s="2">
        <f ca="1"/>
        <v>0.22147365716617573</v>
      </c>
      <c r="O8372" s="2">
        <f ca="1"/>
        <v>-0.6024730848818749</v>
      </c>
      <c r="X8372" s="2">
        <f ca="1"/>
        <v>37.844236943087012</v>
      </c>
      <c r="AG8372" s="2">
        <f ca="1"/>
        <v>0.37606910969961649</v>
      </c>
      <c r="AH8372" s="2" t="str">
        <f ca="1"/>
        <v>OK</v>
      </c>
    </row>
    <row r="8373" spans="2:34">
      <c r="B8373" s="2">
        <f ca="1"/>
        <v>0.23213228630439953</v>
      </c>
      <c r="O8373" s="2">
        <f ca="1"/>
        <v>-0.2732877000647117</v>
      </c>
      <c r="X8373" s="2">
        <f ca="1"/>
        <v>47.619249186550441</v>
      </c>
      <c r="AG8373" s="2">
        <f ca="1"/>
        <v>0.83293914464548235</v>
      </c>
      <c r="AH8373" s="2" t="str">
        <f ca="1"/>
        <v>Bad</v>
      </c>
    </row>
    <row r="8374" spans="2:34">
      <c r="B8374" s="2">
        <f ca="1"/>
        <v>0.83455812697313725</v>
      </c>
      <c r="O8374" s="2">
        <f ca="1"/>
        <v>-1.8759428997713636</v>
      </c>
      <c r="X8374" s="2">
        <f ca="1"/>
        <v>30.331537419154259</v>
      </c>
      <c r="AG8374" s="2">
        <f ca="1"/>
        <v>0.43388192821332217</v>
      </c>
      <c r="AH8374" s="2" t="str">
        <f ca="1"/>
        <v>Bad</v>
      </c>
    </row>
    <row r="8375" spans="2:34">
      <c r="B8375" s="2">
        <f ca="1"/>
        <v>0.63451239587752961</v>
      </c>
      <c r="O8375" s="2">
        <f ca="1"/>
        <v>-0.16682708972396676</v>
      </c>
      <c r="X8375" s="2">
        <f ca="1"/>
        <v>39.91995387327843</v>
      </c>
      <c r="AG8375" s="2">
        <f ca="1"/>
        <v>0.87279764857427944</v>
      </c>
      <c r="AH8375" s="2" t="str">
        <f ca="1"/>
        <v>Bad</v>
      </c>
    </row>
    <row r="8376" spans="2:34">
      <c r="B8376" s="2">
        <f ca="1"/>
        <v>0.94812775101820068</v>
      </c>
      <c r="O8376" s="2">
        <f ca="1"/>
        <v>0.55647910163880809</v>
      </c>
      <c r="X8376" s="2">
        <f ca="1"/>
        <v>38.308279624915777</v>
      </c>
      <c r="AG8376" s="2">
        <f ca="1"/>
        <v>0.57471677151958622</v>
      </c>
      <c r="AH8376" s="2" t="str">
        <f ca="1"/>
        <v>Bad</v>
      </c>
    </row>
    <row r="8377" spans="2:34">
      <c r="B8377" s="2">
        <f ca="1"/>
        <v>0.38669503001067551</v>
      </c>
      <c r="O8377" s="2">
        <f ca="1"/>
        <v>-0.80695097946237337</v>
      </c>
      <c r="X8377" s="2">
        <f ca="1"/>
        <v>69.958422232128953</v>
      </c>
      <c r="AG8377" s="2">
        <f ca="1"/>
        <v>0.23105007037675374</v>
      </c>
      <c r="AH8377" s="2" t="str">
        <f ca="1"/>
        <v>OK</v>
      </c>
    </row>
    <row r="8378" spans="2:34">
      <c r="B8378" s="2">
        <f ca="1"/>
        <v>0.29498367453580343</v>
      </c>
      <c r="O8378" s="2">
        <f ca="1"/>
        <v>-0.27185049501341813</v>
      </c>
      <c r="X8378" s="2">
        <f ca="1"/>
        <v>42.379762132017419</v>
      </c>
      <c r="AG8378" s="2">
        <f ca="1"/>
        <v>0.42843572721248835</v>
      </c>
      <c r="AH8378" s="2" t="str">
        <f ca="1"/>
        <v>Bad</v>
      </c>
    </row>
    <row r="8379" spans="2:34">
      <c r="B8379" s="2">
        <f ca="1"/>
        <v>0.34573879876206082</v>
      </c>
      <c r="O8379" s="2">
        <f ca="1"/>
        <v>0.58298390408719192</v>
      </c>
      <c r="X8379" s="2">
        <f ca="1"/>
        <v>62.337958369216942</v>
      </c>
      <c r="AG8379" s="2">
        <f ca="1"/>
        <v>0.22444221411895127</v>
      </c>
      <c r="AH8379" s="2" t="str">
        <f ca="1"/>
        <v>OK</v>
      </c>
    </row>
    <row r="8380" spans="2:34">
      <c r="B8380" s="2">
        <f ca="1"/>
        <v>0.25051566333664943</v>
      </c>
      <c r="O8380" s="2">
        <f ca="1"/>
        <v>0.99663966678394589</v>
      </c>
      <c r="X8380" s="2">
        <f ca="1"/>
        <v>57.908864054990872</v>
      </c>
      <c r="AG8380" s="2">
        <f ca="1"/>
        <v>0.45201261832801243</v>
      </c>
      <c r="AH8380" s="2" t="str">
        <f ca="1"/>
        <v>Bad</v>
      </c>
    </row>
    <row r="8381" spans="2:34">
      <c r="B8381" s="2">
        <f ca="1"/>
        <v>0.44482559246067432</v>
      </c>
      <c r="O8381" s="2">
        <f ca="1"/>
        <v>0.27160003536869121</v>
      </c>
      <c r="X8381" s="2">
        <f ca="1"/>
        <v>40.910565106973209</v>
      </c>
      <c r="AG8381" s="2">
        <f ca="1"/>
        <v>0.56112223942916972</v>
      </c>
      <c r="AH8381" s="2" t="str">
        <f ca="1"/>
        <v>Bad</v>
      </c>
    </row>
    <row r="8382" spans="2:34">
      <c r="B8382" s="2">
        <f ca="1"/>
        <v>0.21371481832773664</v>
      </c>
      <c r="O8382" s="2">
        <f ca="1"/>
        <v>0.71530853067581168</v>
      </c>
      <c r="X8382" s="2">
        <f ca="1"/>
        <v>75.750122693193859</v>
      </c>
      <c r="AG8382" s="2">
        <f ca="1"/>
        <v>0.91045513710612558</v>
      </c>
      <c r="AH8382" s="2" t="str">
        <f ca="1"/>
        <v>Bad</v>
      </c>
    </row>
    <row r="8383" spans="2:34">
      <c r="B8383" s="2">
        <f ca="1"/>
        <v>0.89475144574466903</v>
      </c>
      <c r="O8383" s="2">
        <f ca="1"/>
        <v>-0.61352540572042313</v>
      </c>
      <c r="X8383" s="2">
        <f ca="1"/>
        <v>36.881760432696808</v>
      </c>
      <c r="AG8383" s="2">
        <f ca="1"/>
        <v>0.53874948347595475</v>
      </c>
      <c r="AH8383" s="2" t="str">
        <f ca="1"/>
        <v>Bad</v>
      </c>
    </row>
    <row r="8384" spans="2:34">
      <c r="B8384" s="2">
        <f ca="1"/>
        <v>0.54781422742927544</v>
      </c>
      <c r="O8384" s="2">
        <f ca="1"/>
        <v>-1.1060285037683306</v>
      </c>
      <c r="X8384" s="2">
        <f ca="1"/>
        <v>50.416816877257915</v>
      </c>
      <c r="AG8384" s="2">
        <f ca="1"/>
        <v>0.71818255613147097</v>
      </c>
      <c r="AH8384" s="2" t="str">
        <f ca="1"/>
        <v>Bad</v>
      </c>
    </row>
    <row r="8385" spans="2:34">
      <c r="B8385" s="2">
        <f ca="1"/>
        <v>0.86751786155562072</v>
      </c>
      <c r="O8385" s="2">
        <f ca="1"/>
        <v>-0.35822709989909912</v>
      </c>
      <c r="X8385" s="2">
        <f ca="1"/>
        <v>42.453899860801542</v>
      </c>
      <c r="AG8385" s="2">
        <f ca="1"/>
        <v>7.8483216791635613E-2</v>
      </c>
      <c r="AH8385" s="2" t="str">
        <f ca="1"/>
        <v>OK</v>
      </c>
    </row>
    <row r="8386" spans="2:34">
      <c r="B8386" s="2">
        <f ca="1"/>
        <v>3.7172043946820388E-4</v>
      </c>
      <c r="O8386" s="2">
        <f ca="1"/>
        <v>0.39286113578257348</v>
      </c>
      <c r="X8386" s="2">
        <f ca="1"/>
        <v>34.893254350949633</v>
      </c>
      <c r="AG8386" s="2">
        <f ca="1"/>
        <v>0.73204342447860782</v>
      </c>
      <c r="AH8386" s="2" t="str">
        <f ca="1"/>
        <v>Bad</v>
      </c>
    </row>
    <row r="8387" spans="2:34">
      <c r="B8387" s="2">
        <f ca="1"/>
        <v>0.39065595648736617</v>
      </c>
      <c r="O8387" s="2">
        <f ca="1"/>
        <v>-1.0426814581463688</v>
      </c>
      <c r="X8387" s="2">
        <f ca="1"/>
        <v>56.678706894060753</v>
      </c>
      <c r="AG8387" s="2">
        <f ca="1"/>
        <v>0.28687152531558646</v>
      </c>
      <c r="AH8387" s="2" t="str">
        <f ca="1"/>
        <v>OK</v>
      </c>
    </row>
    <row r="8388" spans="2:34">
      <c r="B8388" s="2">
        <f ca="1"/>
        <v>0.67520924457788922</v>
      </c>
      <c r="O8388" s="2">
        <f ca="1"/>
        <v>-2.9425288599832799E-2</v>
      </c>
      <c r="X8388" s="2">
        <f ca="1"/>
        <v>66.419697049629093</v>
      </c>
      <c r="AG8388" s="2">
        <f ca="1"/>
        <v>0.93324189395544188</v>
      </c>
      <c r="AH8388" s="2" t="str">
        <f ca="1"/>
        <v>Bad</v>
      </c>
    </row>
    <row r="8389" spans="2:34">
      <c r="B8389" s="2">
        <f ca="1"/>
        <v>0.56104790105903191</v>
      </c>
      <c r="O8389" s="2">
        <f ca="1"/>
        <v>-1.0189357684741294</v>
      </c>
      <c r="X8389" s="2">
        <f ca="1"/>
        <v>56.727662920913204</v>
      </c>
      <c r="AG8389" s="2">
        <f ca="1"/>
        <v>0.86816760016167005</v>
      </c>
      <c r="AH8389" s="2" t="str">
        <f ca="1"/>
        <v>Bad</v>
      </c>
    </row>
    <row r="8390" spans="2:34">
      <c r="B8390" s="2">
        <f ca="1"/>
        <v>0.15274747627849017</v>
      </c>
      <c r="O8390" s="2">
        <f ca="1"/>
        <v>1.8174646526503353</v>
      </c>
      <c r="X8390" s="2">
        <f ca="1"/>
        <v>71.962614488850789</v>
      </c>
      <c r="AG8390" s="2">
        <f ca="1"/>
        <v>0.65429729474135034</v>
      </c>
      <c r="AH8390" s="2" t="str">
        <f ca="1"/>
        <v>Bad</v>
      </c>
    </row>
    <row r="8391" spans="2:34">
      <c r="B8391" s="2">
        <f ca="1"/>
        <v>0.95807328739919395</v>
      </c>
      <c r="O8391" s="2">
        <f ca="1"/>
        <v>-0.52186289889401904</v>
      </c>
      <c r="X8391" s="2">
        <f ca="1"/>
        <v>61.686578057707287</v>
      </c>
      <c r="AG8391" s="2">
        <f ca="1"/>
        <v>0.20985983336610614</v>
      </c>
      <c r="AH8391" s="2" t="str">
        <f ca="1"/>
        <v>OK</v>
      </c>
    </row>
    <row r="8392" spans="2:34">
      <c r="B8392" s="2">
        <f ca="1"/>
        <v>0.76063319080609659</v>
      </c>
      <c r="O8392" s="2">
        <f ca="1"/>
        <v>1.3266441584459383</v>
      </c>
      <c r="X8392" s="2">
        <f ca="1"/>
        <v>71.577431680341988</v>
      </c>
      <c r="AG8392" s="2">
        <f ca="1"/>
        <v>0.32487848932731422</v>
      </c>
      <c r="AH8392" s="2" t="str">
        <f ca="1"/>
        <v>OK</v>
      </c>
    </row>
    <row r="8393" spans="2:34">
      <c r="B8393" s="2">
        <f ca="1"/>
        <v>0.97903672514687456</v>
      </c>
      <c r="O8393" s="2">
        <f ca="1"/>
        <v>1.1510212169116003</v>
      </c>
      <c r="X8393" s="2">
        <f ca="1"/>
        <v>31.418953724128102</v>
      </c>
      <c r="AG8393" s="2">
        <f ca="1"/>
        <v>2.5732119789567909E-2</v>
      </c>
      <c r="AH8393" s="2" t="str">
        <f ca="1"/>
        <v>Good</v>
      </c>
    </row>
    <row r="8394" spans="2:34">
      <c r="B8394" s="2">
        <f ca="1"/>
        <v>0.1693293037656376</v>
      </c>
      <c r="O8394" s="2">
        <f ca="1"/>
        <v>-0.28007550575402801</v>
      </c>
      <c r="X8394" s="2">
        <f ca="1"/>
        <v>37.386373126734917</v>
      </c>
      <c r="AG8394" s="2">
        <f ca="1"/>
        <v>0.58225863052024773</v>
      </c>
      <c r="AH8394" s="2" t="str">
        <f ca="1"/>
        <v>Bad</v>
      </c>
    </row>
    <row r="8395" spans="2:34">
      <c r="B8395" s="2">
        <f ca="1"/>
        <v>0.80301732428196582</v>
      </c>
      <c r="O8395" s="2">
        <f ca="1"/>
        <v>3.1113698757209155E-2</v>
      </c>
      <c r="X8395" s="2">
        <f ca="1"/>
        <v>35.247403655025323</v>
      </c>
      <c r="AG8395" s="2">
        <f ca="1"/>
        <v>0.15213053735355508</v>
      </c>
      <c r="AH8395" s="2" t="str">
        <f ca="1"/>
        <v>OK</v>
      </c>
    </row>
    <row r="8396" spans="2:34">
      <c r="B8396" s="2">
        <f ca="1"/>
        <v>1.9727091330572488E-3</v>
      </c>
      <c r="O8396" s="2">
        <f ca="1"/>
        <v>-2.1452104093458635</v>
      </c>
      <c r="X8396" s="2">
        <f ca="1"/>
        <v>65.884674166435644</v>
      </c>
      <c r="AG8396" s="2">
        <f ca="1"/>
        <v>0.84764924221326021</v>
      </c>
      <c r="AH8396" s="2" t="str">
        <f ca="1"/>
        <v>Bad</v>
      </c>
    </row>
    <row r="8397" spans="2:34">
      <c r="B8397" s="2">
        <f ca="1"/>
        <v>0.68200329525832193</v>
      </c>
      <c r="O8397" s="2">
        <f ca="1"/>
        <v>-1.4749797315470048</v>
      </c>
      <c r="X8397" s="2">
        <f ca="1"/>
        <v>52.19297253849853</v>
      </c>
      <c r="AG8397" s="2">
        <f ca="1"/>
        <v>0.61884851139964736</v>
      </c>
      <c r="AH8397" s="2" t="str">
        <f ca="1"/>
        <v>Bad</v>
      </c>
    </row>
    <row r="8398" spans="2:34">
      <c r="B8398" s="2">
        <f ca="1"/>
        <v>0.78657962757419919</v>
      </c>
      <c r="O8398" s="2">
        <f ca="1"/>
        <v>-1.286896059228575</v>
      </c>
      <c r="X8398" s="2">
        <f ca="1"/>
        <v>36.357283587896028</v>
      </c>
      <c r="AG8398" s="2">
        <f ca="1"/>
        <v>0.39874507155224581</v>
      </c>
      <c r="AH8398" s="2" t="str">
        <f ca="1"/>
        <v>OK</v>
      </c>
    </row>
    <row r="8399" spans="2:34">
      <c r="B8399" s="2">
        <f ca="1"/>
        <v>4.140725295968295E-2</v>
      </c>
      <c r="O8399" s="2">
        <f ca="1"/>
        <v>1.8892678207191895</v>
      </c>
      <c r="X8399" s="2">
        <f ca="1"/>
        <v>57.785021685229395</v>
      </c>
      <c r="AG8399" s="2">
        <f ca="1"/>
        <v>0.1409492420838625</v>
      </c>
      <c r="AH8399" s="2" t="str">
        <f ca="1"/>
        <v>OK</v>
      </c>
    </row>
    <row r="8400" spans="2:34">
      <c r="B8400" s="2">
        <f ca="1"/>
        <v>0.48178239151077906</v>
      </c>
      <c r="O8400" s="2">
        <f ca="1"/>
        <v>-1.2179012986096154</v>
      </c>
      <c r="X8400" s="2">
        <f ca="1"/>
        <v>31.84385325335283</v>
      </c>
      <c r="AG8400" s="2">
        <f ca="1"/>
        <v>0.42165541583130328</v>
      </c>
      <c r="AH8400" s="2" t="str">
        <f ca="1"/>
        <v>Bad</v>
      </c>
    </row>
    <row r="8401" spans="2:34">
      <c r="B8401" s="2">
        <f ca="1"/>
        <v>0.66285672824018493</v>
      </c>
      <c r="O8401" s="2">
        <f ca="1"/>
        <v>1.9106901129095246</v>
      </c>
      <c r="X8401" s="2">
        <f ca="1"/>
        <v>24.411602642531832</v>
      </c>
      <c r="AG8401" s="2">
        <f ca="1"/>
        <v>0.71443865538702411</v>
      </c>
      <c r="AH8401" s="2" t="str">
        <f ca="1"/>
        <v>Bad</v>
      </c>
    </row>
    <row r="8402" spans="2:34">
      <c r="B8402" s="2">
        <f ca="1"/>
        <v>0.92399520169043625</v>
      </c>
      <c r="O8402" s="2">
        <f ca="1"/>
        <v>-0.63035194740988665</v>
      </c>
      <c r="X8402" s="2">
        <f ca="1"/>
        <v>33.749698589911993</v>
      </c>
      <c r="AG8402" s="2">
        <f ca="1"/>
        <v>2.3388250170092606E-2</v>
      </c>
      <c r="AH8402" s="2" t="str">
        <f ca="1"/>
        <v>Good</v>
      </c>
    </row>
    <row r="8403" spans="2:34">
      <c r="B8403" s="2">
        <f ca="1"/>
        <v>5.9197041483921131E-2</v>
      </c>
      <c r="O8403" s="2">
        <f ca="1"/>
        <v>-0.47058273230001418</v>
      </c>
      <c r="X8403" s="2">
        <f ca="1"/>
        <v>36.450960320232568</v>
      </c>
      <c r="AG8403" s="2">
        <f ca="1"/>
        <v>0.67101964854219776</v>
      </c>
      <c r="AH8403" s="2" t="str">
        <f ca="1"/>
        <v>Bad</v>
      </c>
    </row>
    <row r="8404" spans="2:34">
      <c r="B8404" s="2">
        <f ca="1"/>
        <v>0.61581984956798408</v>
      </c>
      <c r="O8404" s="2">
        <f ca="1"/>
        <v>-1.6874730988447786</v>
      </c>
      <c r="X8404" s="2">
        <f ca="1"/>
        <v>65.155570028339284</v>
      </c>
      <c r="AG8404" s="2">
        <f ca="1"/>
        <v>0.49076352465071005</v>
      </c>
      <c r="AH8404" s="2" t="str">
        <f ca="1"/>
        <v>Bad</v>
      </c>
    </row>
    <row r="8405" spans="2:34">
      <c r="B8405" s="2">
        <f ca="1"/>
        <v>0.23906200343965023</v>
      </c>
      <c r="O8405" s="2">
        <f ca="1"/>
        <v>0.29237871400571253</v>
      </c>
      <c r="X8405" s="2">
        <f ca="1"/>
        <v>48.436335499142153</v>
      </c>
      <c r="AG8405" s="2">
        <f ca="1"/>
        <v>0.43964192552320092</v>
      </c>
      <c r="AH8405" s="2" t="str">
        <f ca="1"/>
        <v>Bad</v>
      </c>
    </row>
    <row r="8406" spans="2:34">
      <c r="B8406" s="2">
        <f ca="1"/>
        <v>0.60411815089835441</v>
      </c>
      <c r="O8406" s="2">
        <f ca="1"/>
        <v>-0.93475883706175789</v>
      </c>
      <c r="X8406" s="2">
        <f ca="1"/>
        <v>62.084584949263586</v>
      </c>
      <c r="AG8406" s="2">
        <f ca="1"/>
        <v>0.78084927352685884</v>
      </c>
      <c r="AH8406" s="2" t="str">
        <f ca="1"/>
        <v>Bad</v>
      </c>
    </row>
    <row r="8407" spans="2:34">
      <c r="B8407" s="2">
        <f ca="1"/>
        <v>0.84194071468448439</v>
      </c>
      <c r="O8407" s="2">
        <f ca="1"/>
        <v>1.1712168925723754</v>
      </c>
      <c r="X8407" s="2">
        <f ca="1"/>
        <v>46.862352579490619</v>
      </c>
      <c r="AG8407" s="2">
        <f ca="1"/>
        <v>0.8043081668373453</v>
      </c>
      <c r="AH8407" s="2" t="str">
        <f ca="1"/>
        <v>Bad</v>
      </c>
    </row>
    <row r="8408" spans="2:34">
      <c r="B8408" s="2">
        <f ca="1"/>
        <v>0.51823929255118206</v>
      </c>
      <c r="O8408" s="2">
        <f ca="1"/>
        <v>0.39499498662977145</v>
      </c>
      <c r="X8408" s="2">
        <f ca="1"/>
        <v>31.838921969289142</v>
      </c>
      <c r="AG8408" s="2">
        <f ca="1"/>
        <v>0.75517509045334874</v>
      </c>
      <c r="AH8408" s="2" t="str">
        <f ca="1"/>
        <v>Bad</v>
      </c>
    </row>
    <row r="8409" spans="2:34">
      <c r="B8409" s="2">
        <f ca="1"/>
        <v>0.96224177150618928</v>
      </c>
      <c r="O8409" s="2">
        <f ca="1"/>
        <v>-0.21678459311638848</v>
      </c>
      <c r="X8409" s="2">
        <f ca="1"/>
        <v>30.3585049016515</v>
      </c>
      <c r="AG8409" s="2">
        <f ca="1"/>
        <v>0.1632484761252464</v>
      </c>
      <c r="AH8409" s="2" t="str">
        <f ca="1"/>
        <v>OK</v>
      </c>
    </row>
    <row r="8410" spans="2:34">
      <c r="B8410" s="2">
        <f ca="1"/>
        <v>0.23888096112436408</v>
      </c>
      <c r="O8410" s="2">
        <f ca="1"/>
        <v>0.39005908126936317</v>
      </c>
      <c r="X8410" s="2">
        <f ca="1"/>
        <v>51.28151119822526</v>
      </c>
      <c r="AG8410" s="2">
        <f ca="1"/>
        <v>0.15011015850897591</v>
      </c>
      <c r="AH8410" s="2" t="str">
        <f ca="1"/>
        <v>OK</v>
      </c>
    </row>
    <row r="8411" spans="2:34">
      <c r="B8411" s="2">
        <f ca="1"/>
        <v>0.96924818641814525</v>
      </c>
      <c r="O8411" s="2">
        <f ca="1"/>
        <v>-0.18848877814332282</v>
      </c>
      <c r="X8411" s="2">
        <f ca="1"/>
        <v>34.536299959007145</v>
      </c>
      <c r="AG8411" s="2">
        <f ca="1"/>
        <v>0.99466836142608428</v>
      </c>
      <c r="AH8411" s="2" t="str">
        <f ca="1"/>
        <v>Bad</v>
      </c>
    </row>
    <row r="8412" spans="2:34">
      <c r="B8412" s="2">
        <f ca="1"/>
        <v>6.0581875233115978E-2</v>
      </c>
      <c r="O8412" s="2">
        <f ca="1"/>
        <v>-1.1924459714965319</v>
      </c>
      <c r="X8412" s="2">
        <f ca="1"/>
        <v>49.338371528495024</v>
      </c>
      <c r="AG8412" s="2">
        <f ca="1"/>
        <v>0.65308243222938556</v>
      </c>
      <c r="AH8412" s="2" t="str">
        <f ca="1"/>
        <v>Bad</v>
      </c>
    </row>
    <row r="8413" spans="2:34">
      <c r="B8413" s="2">
        <f ca="1"/>
        <v>0.89202393849780015</v>
      </c>
      <c r="O8413" s="2">
        <f ca="1"/>
        <v>6.692228023140484E-2</v>
      </c>
      <c r="X8413" s="2">
        <f ca="1"/>
        <v>56.766546085654362</v>
      </c>
      <c r="AG8413" s="2">
        <f ca="1"/>
        <v>0.30112551310934621</v>
      </c>
      <c r="AH8413" s="2" t="str">
        <f ca="1"/>
        <v>OK</v>
      </c>
    </row>
    <row r="8414" spans="2:34">
      <c r="B8414" s="2">
        <f ca="1"/>
        <v>0.19967970651790878</v>
      </c>
      <c r="O8414" s="2">
        <f ca="1"/>
        <v>-0.96788337448648409</v>
      </c>
      <c r="X8414" s="2">
        <f ca="1"/>
        <v>52.302265614104265</v>
      </c>
      <c r="AG8414" s="2">
        <f ca="1"/>
        <v>0.3290099259890813</v>
      </c>
      <c r="AH8414" s="2" t="str">
        <f ca="1"/>
        <v>OK</v>
      </c>
    </row>
    <row r="8415" spans="2:34">
      <c r="B8415" s="2">
        <f ca="1"/>
        <v>0.56713134411112209</v>
      </c>
      <c r="O8415" s="2">
        <f ca="1"/>
        <v>0.96166418524725117</v>
      </c>
      <c r="X8415" s="2">
        <f ca="1"/>
        <v>36.034970158417615</v>
      </c>
      <c r="AG8415" s="2">
        <f ca="1"/>
        <v>0.38669169991962216</v>
      </c>
      <c r="AH8415" s="2" t="str">
        <f ca="1"/>
        <v>OK</v>
      </c>
    </row>
    <row r="8416" spans="2:34">
      <c r="B8416" s="2">
        <f ca="1"/>
        <v>2.5250613234378161E-2</v>
      </c>
      <c r="O8416" s="2">
        <f ca="1"/>
        <v>1.1300794565169774</v>
      </c>
      <c r="X8416" s="2">
        <f ca="1"/>
        <v>50.900628283385288</v>
      </c>
      <c r="AG8416" s="2">
        <f ca="1"/>
        <v>0.1802522657376322</v>
      </c>
      <c r="AH8416" s="2" t="str">
        <f ca="1"/>
        <v>OK</v>
      </c>
    </row>
    <row r="8417" spans="2:34">
      <c r="B8417" s="2">
        <f ca="1"/>
        <v>0.62395242325054245</v>
      </c>
      <c r="O8417" s="2">
        <f ca="1"/>
        <v>1.3070596713614595</v>
      </c>
      <c r="X8417" s="2">
        <f ca="1"/>
        <v>39.181790047271384</v>
      </c>
      <c r="AG8417" s="2">
        <f ca="1"/>
        <v>0.44584043708529708</v>
      </c>
      <c r="AH8417" s="2" t="str">
        <f ca="1"/>
        <v>Bad</v>
      </c>
    </row>
    <row r="8418" spans="2:34">
      <c r="B8418" s="2">
        <f ca="1"/>
        <v>0.73858584930220017</v>
      </c>
      <c r="O8418" s="2">
        <f ca="1"/>
        <v>-0.67805303628383207</v>
      </c>
      <c r="X8418" s="2">
        <f ca="1"/>
        <v>45.384207760010483</v>
      </c>
      <c r="AG8418" s="2">
        <f ca="1"/>
        <v>0.64001874240503165</v>
      </c>
      <c r="AH8418" s="2" t="str">
        <f ca="1"/>
        <v>Bad</v>
      </c>
    </row>
    <row r="8419" spans="2:34">
      <c r="B8419" s="2">
        <f ca="1"/>
        <v>0.14399335600903673</v>
      </c>
      <c r="O8419" s="2">
        <f ca="1"/>
        <v>0.54397980088212816</v>
      </c>
      <c r="X8419" s="2">
        <f ca="1"/>
        <v>45.973012824554651</v>
      </c>
      <c r="AG8419" s="2">
        <f ca="1"/>
        <v>0.90250966369095131</v>
      </c>
      <c r="AH8419" s="2" t="str">
        <f ca="1"/>
        <v>Bad</v>
      </c>
    </row>
    <row r="8420" spans="2:34">
      <c r="B8420" s="2">
        <f ca="1"/>
        <v>0.67267786759044057</v>
      </c>
      <c r="O8420" s="2">
        <f ca="1"/>
        <v>0.94834455439060128</v>
      </c>
      <c r="X8420" s="2">
        <f ca="1"/>
        <v>56.066038836295824</v>
      </c>
      <c r="AG8420" s="2">
        <f ca="1"/>
        <v>0.69727279678690257</v>
      </c>
      <c r="AH8420" s="2" t="str">
        <f ca="1"/>
        <v>Bad</v>
      </c>
    </row>
    <row r="8421" spans="2:34">
      <c r="B8421" s="2">
        <f ca="1"/>
        <v>0.78961367816523675</v>
      </c>
      <c r="O8421" s="2">
        <f ca="1"/>
        <v>-1.2213403773200022</v>
      </c>
      <c r="X8421" s="2">
        <f ca="1"/>
        <v>46.762753646179569</v>
      </c>
      <c r="AG8421" s="2">
        <f ca="1"/>
        <v>0.41596399653405003</v>
      </c>
      <c r="AH8421" s="2" t="str">
        <f ca="1"/>
        <v>Bad</v>
      </c>
    </row>
    <row r="8422" spans="2:34">
      <c r="B8422" s="2">
        <f ca="1"/>
        <v>0.50572589041463245</v>
      </c>
      <c r="O8422" s="2">
        <f ca="1"/>
        <v>0.17531999701865195</v>
      </c>
      <c r="X8422" s="2">
        <f ca="1"/>
        <v>46.233532435741758</v>
      </c>
      <c r="AG8422" s="2">
        <f ca="1"/>
        <v>0.59659955600011871</v>
      </c>
      <c r="AH8422" s="2" t="str">
        <f ca="1"/>
        <v>Bad</v>
      </c>
    </row>
    <row r="8423" spans="2:34">
      <c r="B8423" s="2">
        <f ca="1"/>
        <v>0.14497321593102419</v>
      </c>
      <c r="O8423" s="2">
        <f ca="1"/>
        <v>0.51599155276403452</v>
      </c>
      <c r="X8423" s="2">
        <f ca="1"/>
        <v>29.84430049051532</v>
      </c>
      <c r="AG8423" s="2">
        <f ca="1"/>
        <v>0.84289469722126187</v>
      </c>
      <c r="AH8423" s="2" t="str">
        <f ca="1"/>
        <v>Bad</v>
      </c>
    </row>
    <row r="8424" spans="2:34">
      <c r="B8424" s="2">
        <f ca="1"/>
        <v>3.0276231796904751E-2</v>
      </c>
      <c r="O8424" s="2">
        <f ca="1"/>
        <v>0.34150896399469449</v>
      </c>
      <c r="X8424" s="2">
        <f ca="1"/>
        <v>80.430938727087508</v>
      </c>
      <c r="AG8424" s="2">
        <f ca="1"/>
        <v>0.66109809673447395</v>
      </c>
      <c r="AH8424" s="2" t="str">
        <f ca="1"/>
        <v>Bad</v>
      </c>
    </row>
    <row r="8425" spans="2:34">
      <c r="B8425" s="2">
        <f ca="1"/>
        <v>9.663420569722625E-2</v>
      </c>
      <c r="O8425" s="2">
        <f ca="1"/>
        <v>0.49145654194243965</v>
      </c>
      <c r="X8425" s="2">
        <f ca="1"/>
        <v>67.247043108988379</v>
      </c>
      <c r="AG8425" s="2">
        <f ca="1"/>
        <v>0.90477831475621895</v>
      </c>
      <c r="AH8425" s="2" t="str">
        <f ca="1"/>
        <v>Bad</v>
      </c>
    </row>
    <row r="8426" spans="2:34">
      <c r="B8426" s="2">
        <f ca="1"/>
        <v>2.8283368121234664E-2</v>
      </c>
      <c r="O8426" s="2">
        <f ca="1"/>
        <v>1.8288619032545581</v>
      </c>
      <c r="X8426" s="2">
        <f ca="1"/>
        <v>26.150907840539062</v>
      </c>
      <c r="AG8426" s="2">
        <f ca="1"/>
        <v>0.97237343252959296</v>
      </c>
      <c r="AH8426" s="2" t="str">
        <f ca="1"/>
        <v>Bad</v>
      </c>
    </row>
    <row r="8427" spans="2:34">
      <c r="B8427" s="2">
        <f ca="1"/>
        <v>0.86344705453183979</v>
      </c>
      <c r="O8427" s="2">
        <f ca="1"/>
        <v>1.2390267352075208</v>
      </c>
      <c r="X8427" s="2">
        <f ca="1"/>
        <v>57.441589075430421</v>
      </c>
      <c r="AG8427" s="2">
        <f ca="1"/>
        <v>0.35298291180327035</v>
      </c>
      <c r="AH8427" s="2" t="str">
        <f ca="1"/>
        <v>OK</v>
      </c>
    </row>
    <row r="8428" spans="2:34">
      <c r="B8428" s="2">
        <f ca="1"/>
        <v>0.59016730192460476</v>
      </c>
      <c r="O8428" s="2">
        <f ca="1"/>
        <v>-0.75914411125299674</v>
      </c>
      <c r="X8428" s="2">
        <f ca="1"/>
        <v>59.991825709231065</v>
      </c>
      <c r="AG8428" s="2">
        <f ca="1"/>
        <v>0.32280718603127467</v>
      </c>
      <c r="AH8428" s="2" t="str">
        <f ca="1"/>
        <v>OK</v>
      </c>
    </row>
    <row r="8429" spans="2:34">
      <c r="B8429" s="2">
        <f ca="1"/>
        <v>0.8581270424581946</v>
      </c>
      <c r="O8429" s="2">
        <f ca="1"/>
        <v>0.37041060714718266</v>
      </c>
      <c r="X8429" s="2">
        <f ca="1"/>
        <v>36.877213782023539</v>
      </c>
      <c r="AG8429" s="2">
        <f ca="1"/>
        <v>0.11454776011750623</v>
      </c>
      <c r="AH8429" s="2" t="str">
        <f ca="1"/>
        <v>OK</v>
      </c>
    </row>
    <row r="8430" spans="2:34">
      <c r="B8430" s="2">
        <f ca="1"/>
        <v>4.6701458506170912E-2</v>
      </c>
      <c r="O8430" s="2">
        <f ca="1"/>
        <v>1.1168748128505013</v>
      </c>
      <c r="X8430" s="2">
        <f ca="1"/>
        <v>57.126664949788299</v>
      </c>
      <c r="AG8430" s="2">
        <f ca="1"/>
        <v>0.40012593792905404</v>
      </c>
      <c r="AH8430" s="2" t="str">
        <f ca="1"/>
        <v>Bad</v>
      </c>
    </row>
    <row r="8431" spans="2:34">
      <c r="B8431" s="2">
        <f ca="1"/>
        <v>0.20361393709988285</v>
      </c>
      <c r="O8431" s="2">
        <f ca="1"/>
        <v>-0.28392068844151525</v>
      </c>
      <c r="X8431" s="2">
        <f ca="1"/>
        <v>33.813226885067358</v>
      </c>
      <c r="AG8431" s="2">
        <f ca="1"/>
        <v>0.22439908087503402</v>
      </c>
      <c r="AH8431" s="2" t="str">
        <f ca="1"/>
        <v>OK</v>
      </c>
    </row>
    <row r="8432" spans="2:34">
      <c r="B8432" s="2">
        <f ca="1"/>
        <v>0.53020702716673718</v>
      </c>
      <c r="O8432" s="2">
        <f ca="1"/>
        <v>1.1706114479171139</v>
      </c>
      <c r="X8432" s="2">
        <f ca="1"/>
        <v>36.858507622244538</v>
      </c>
      <c r="AG8432" s="2">
        <f ca="1"/>
        <v>1.0731944283795203E-2</v>
      </c>
      <c r="AH8432" s="2" t="str">
        <f ca="1"/>
        <v>Good</v>
      </c>
    </row>
    <row r="8433" spans="2:34">
      <c r="B8433" s="2">
        <f ca="1"/>
        <v>0.75862569390615175</v>
      </c>
      <c r="O8433" s="2">
        <f ca="1"/>
        <v>-0.87654883489133439</v>
      </c>
      <c r="X8433" s="2">
        <f ca="1"/>
        <v>36.090871538084798</v>
      </c>
      <c r="AG8433" s="2">
        <f ca="1"/>
        <v>0.29148874744591802</v>
      </c>
      <c r="AH8433" s="2" t="str">
        <f ca="1"/>
        <v>OK</v>
      </c>
    </row>
    <row r="8434" spans="2:34">
      <c r="B8434" s="2">
        <f ca="1"/>
        <v>1.8602364745000877E-2</v>
      </c>
      <c r="O8434" s="2">
        <f ca="1"/>
        <v>-0.56207501370574364</v>
      </c>
      <c r="X8434" s="2">
        <f ca="1"/>
        <v>67.334392481427358</v>
      </c>
      <c r="AG8434" s="2">
        <f ca="1"/>
        <v>8.6323460777513183E-3</v>
      </c>
      <c r="AH8434" s="2" t="str">
        <f ca="1"/>
        <v>Good</v>
      </c>
    </row>
    <row r="8435" spans="2:34">
      <c r="B8435" s="2">
        <f ca="1"/>
        <v>0.1621141481798829</v>
      </c>
      <c r="O8435" s="2">
        <f ca="1"/>
        <v>0.25020246706127075</v>
      </c>
      <c r="X8435" s="2">
        <f ca="1"/>
        <v>64.587771418556017</v>
      </c>
      <c r="AG8435" s="2">
        <f ca="1"/>
        <v>0.88991566176567161</v>
      </c>
      <c r="AH8435" s="2" t="str">
        <f ca="1"/>
        <v>Bad</v>
      </c>
    </row>
    <row r="8436" spans="2:34">
      <c r="B8436" s="2">
        <f ca="1"/>
        <v>0.40368392913747142</v>
      </c>
      <c r="O8436" s="2">
        <f ca="1"/>
        <v>0.57712460792159903</v>
      </c>
      <c r="X8436" s="2">
        <f ca="1"/>
        <v>82.970564634837572</v>
      </c>
      <c r="AG8436" s="2">
        <f ca="1"/>
        <v>0.55862018502779565</v>
      </c>
      <c r="AH8436" s="2" t="str">
        <f ca="1"/>
        <v>Bad</v>
      </c>
    </row>
    <row r="8437" spans="2:34">
      <c r="B8437" s="2">
        <f ca="1"/>
        <v>0.23617503296657416</v>
      </c>
      <c r="O8437" s="2">
        <f ca="1"/>
        <v>0.13688475655607782</v>
      </c>
      <c r="X8437" s="2">
        <f ca="1"/>
        <v>60.121942275337162</v>
      </c>
      <c r="AG8437" s="2">
        <f ca="1"/>
        <v>0.84113191405939358</v>
      </c>
      <c r="AH8437" s="2" t="str">
        <f ca="1"/>
        <v>Bad</v>
      </c>
    </row>
    <row r="8438" spans="2:34">
      <c r="B8438" s="2">
        <f ca="1"/>
        <v>0.85666190683364829</v>
      </c>
      <c r="O8438" s="2">
        <f ca="1"/>
        <v>1.2797649675162777</v>
      </c>
      <c r="X8438" s="2">
        <f ca="1"/>
        <v>31.773676791690782</v>
      </c>
      <c r="AG8438" s="2">
        <f ca="1"/>
        <v>0.5410719967961235</v>
      </c>
      <c r="AH8438" s="2" t="str">
        <f ca="1"/>
        <v>Bad</v>
      </c>
    </row>
    <row r="8439" spans="2:34">
      <c r="B8439" s="2">
        <f ca="1"/>
        <v>0.24985482592864505</v>
      </c>
      <c r="O8439" s="2">
        <f ca="1"/>
        <v>1.3909135564314186</v>
      </c>
      <c r="X8439" s="2">
        <f ca="1"/>
        <v>60.726698962429012</v>
      </c>
      <c r="AG8439" s="2">
        <f ca="1"/>
        <v>0.11816873806250627</v>
      </c>
      <c r="AH8439" s="2" t="str">
        <f ca="1"/>
        <v>OK</v>
      </c>
    </row>
    <row r="8440" spans="2:34">
      <c r="B8440" s="2">
        <f ca="1"/>
        <v>0.382494489627901</v>
      </c>
      <c r="O8440" s="2">
        <f ca="1"/>
        <v>0.5197108206775447</v>
      </c>
      <c r="X8440" s="2">
        <f ca="1"/>
        <v>52.646571058376892</v>
      </c>
      <c r="AG8440" s="2">
        <f ca="1"/>
        <v>0.97156861785844684</v>
      </c>
      <c r="AH8440" s="2" t="str">
        <f ca="1"/>
        <v>Bad</v>
      </c>
    </row>
    <row r="8441" spans="2:34">
      <c r="B8441" s="2">
        <f ca="1"/>
        <v>9.3379007350282262E-2</v>
      </c>
      <c r="O8441" s="2">
        <f ca="1"/>
        <v>0.31918081684708427</v>
      </c>
      <c r="X8441" s="2">
        <f ca="1"/>
        <v>58.671514996340889</v>
      </c>
      <c r="AG8441" s="2">
        <f ca="1"/>
        <v>0.90547428715760025</v>
      </c>
      <c r="AH8441" s="2" t="str">
        <f ca="1"/>
        <v>Bad</v>
      </c>
    </row>
    <row r="8442" spans="2:34">
      <c r="B8442" s="2">
        <f ca="1"/>
        <v>0.52547622401065608</v>
      </c>
      <c r="O8442" s="2">
        <f ca="1"/>
        <v>0.65777161770945147</v>
      </c>
      <c r="X8442" s="2">
        <f ca="1"/>
        <v>42.938158803899256</v>
      </c>
      <c r="AG8442" s="2">
        <f ca="1"/>
        <v>0.37565729200571618</v>
      </c>
      <c r="AH8442" s="2" t="str">
        <f ca="1"/>
        <v>OK</v>
      </c>
    </row>
    <row r="8443" spans="2:34">
      <c r="B8443" s="2">
        <f ca="1"/>
        <v>9.2135335622155257E-2</v>
      </c>
      <c r="O8443" s="2">
        <f ca="1"/>
        <v>1.1389123931491529</v>
      </c>
      <c r="X8443" s="2">
        <f ca="1"/>
        <v>50.34874334545173</v>
      </c>
      <c r="AG8443" s="2">
        <f ca="1"/>
        <v>0.67921063072182086</v>
      </c>
      <c r="AH8443" s="2" t="str">
        <f ca="1"/>
        <v>Bad</v>
      </c>
    </row>
    <row r="8444" spans="2:34">
      <c r="B8444" s="2">
        <f ca="1"/>
        <v>0.94062979168610394</v>
      </c>
      <c r="O8444" s="2">
        <f ca="1"/>
        <v>-1.1231877535097126</v>
      </c>
      <c r="X8444" s="2">
        <f ca="1"/>
        <v>70.449406978926859</v>
      </c>
      <c r="AG8444" s="2">
        <f ca="1"/>
        <v>5.6954822460436594E-2</v>
      </c>
      <c r="AH8444" s="2" t="str">
        <f ca="1"/>
        <v>OK</v>
      </c>
    </row>
    <row r="8445" spans="2:34">
      <c r="B8445" s="2">
        <f ca="1"/>
        <v>0.71023268175155629</v>
      </c>
      <c r="O8445" s="2">
        <f ca="1"/>
        <v>2.5156676908877911</v>
      </c>
      <c r="X8445" s="2">
        <f ca="1"/>
        <v>39.864333745080891</v>
      </c>
      <c r="AG8445" s="2">
        <f ca="1"/>
        <v>0.49123623167135011</v>
      </c>
      <c r="AH8445" s="2" t="str">
        <f ca="1"/>
        <v>Bad</v>
      </c>
    </row>
    <row r="8446" spans="2:34">
      <c r="B8446" s="2">
        <f ca="1"/>
        <v>0.76959925980936128</v>
      </c>
      <c r="O8446" s="2">
        <f ca="1"/>
        <v>-9.4944112695827865E-2</v>
      </c>
      <c r="X8446" s="2">
        <f ca="1"/>
        <v>58.957606759675286</v>
      </c>
      <c r="AG8446" s="2">
        <f ca="1"/>
        <v>0.75080415337614004</v>
      </c>
      <c r="AH8446" s="2" t="str">
        <f ca="1"/>
        <v>Bad</v>
      </c>
    </row>
    <row r="8447" spans="2:34">
      <c r="B8447" s="2">
        <f ca="1"/>
        <v>0.7049963167708504</v>
      </c>
      <c r="O8447" s="2">
        <f ca="1"/>
        <v>0.29635696824806862</v>
      </c>
      <c r="X8447" s="2">
        <f ca="1"/>
        <v>46.210700583086194</v>
      </c>
      <c r="AG8447" s="2">
        <f ca="1"/>
        <v>0.86249896052613595</v>
      </c>
      <c r="AH8447" s="2" t="str">
        <f ca="1"/>
        <v>Bad</v>
      </c>
    </row>
    <row r="8448" spans="2:34">
      <c r="B8448" s="2">
        <f ca="1"/>
        <v>0.91861329150796367</v>
      </c>
      <c r="O8448" s="2">
        <f ca="1"/>
        <v>-1.5369492938370419</v>
      </c>
      <c r="X8448" s="2">
        <f ca="1"/>
        <v>56.379786101319652</v>
      </c>
      <c r="AG8448" s="2">
        <f ca="1"/>
        <v>0.81694403084558687</v>
      </c>
      <c r="AH8448" s="2" t="str">
        <f ca="1"/>
        <v>Bad</v>
      </c>
    </row>
    <row r="8449" spans="2:34">
      <c r="B8449" s="2">
        <f ca="1"/>
        <v>0.35793059473754618</v>
      </c>
      <c r="O8449" s="2">
        <f ca="1"/>
        <v>-0.50114087722163103</v>
      </c>
      <c r="X8449" s="2">
        <f ca="1"/>
        <v>68.33445397683532</v>
      </c>
      <c r="AG8449" s="2">
        <f ca="1"/>
        <v>0.5908738417861259</v>
      </c>
      <c r="AH8449" s="2" t="str">
        <f ca="1"/>
        <v>Bad</v>
      </c>
    </row>
    <row r="8450" spans="2:34">
      <c r="B8450" s="2">
        <f ca="1"/>
        <v>0.99797344373287666</v>
      </c>
      <c r="O8450" s="2">
        <f ca="1"/>
        <v>-1.4559455426616559</v>
      </c>
      <c r="X8450" s="2">
        <f ca="1"/>
        <v>38.967044184935027</v>
      </c>
      <c r="AG8450" s="2">
        <f ca="1"/>
        <v>0.66388040434495688</v>
      </c>
      <c r="AH8450" s="2" t="str">
        <f ca="1"/>
        <v>Bad</v>
      </c>
    </row>
    <row r="8451" spans="2:34">
      <c r="B8451" s="2">
        <f ca="1"/>
        <v>7.932037021708882E-2</v>
      </c>
      <c r="O8451" s="2">
        <f ca="1"/>
        <v>1.3274861339167192</v>
      </c>
      <c r="X8451" s="2">
        <f ca="1"/>
        <v>39.319194769070116</v>
      </c>
      <c r="AG8451" s="2">
        <f ca="1"/>
        <v>0.99055018850460019</v>
      </c>
      <c r="AH8451" s="2" t="str">
        <f ca="1"/>
        <v>Bad</v>
      </c>
    </row>
    <row r="8452" spans="2:34">
      <c r="B8452" s="2">
        <f ca="1"/>
        <v>0.11512580185652488</v>
      </c>
      <c r="O8452" s="2">
        <f ca="1"/>
        <v>-0.66286607644986995</v>
      </c>
      <c r="X8452" s="2">
        <f ca="1"/>
        <v>14.967962967754023</v>
      </c>
      <c r="AG8452" s="2">
        <f ca="1"/>
        <v>0.52114355840953186</v>
      </c>
      <c r="AH8452" s="2" t="str">
        <f ca="1"/>
        <v>Bad</v>
      </c>
    </row>
    <row r="8453" spans="2:34">
      <c r="B8453" s="2">
        <f ca="1"/>
        <v>8.0866675196876292E-2</v>
      </c>
      <c r="O8453" s="2">
        <f ca="1"/>
        <v>0.15303914390307843</v>
      </c>
      <c r="X8453" s="2">
        <f ca="1"/>
        <v>44.519978159534482</v>
      </c>
      <c r="AG8453" s="2">
        <f ca="1"/>
        <v>0.30557600501997428</v>
      </c>
      <c r="AH8453" s="2" t="str">
        <f ca="1"/>
        <v>OK</v>
      </c>
    </row>
    <row r="8454" spans="2:34">
      <c r="B8454" s="2">
        <f ca="1"/>
        <v>0.50132182663052283</v>
      </c>
      <c r="O8454" s="2">
        <f ca="1"/>
        <v>-0.12901956616846491</v>
      </c>
      <c r="X8454" s="2">
        <f ca="1"/>
        <v>23.25973677241619</v>
      </c>
      <c r="AG8454" s="2">
        <f ca="1"/>
        <v>0.74075026924117737</v>
      </c>
      <c r="AH8454" s="2" t="str">
        <f ca="1"/>
        <v>Bad</v>
      </c>
    </row>
    <row r="8455" spans="2:34">
      <c r="B8455" s="2">
        <f ca="1"/>
        <v>0.92813899639225372</v>
      </c>
      <c r="O8455" s="2">
        <f ca="1"/>
        <v>-1.9912342751914249</v>
      </c>
      <c r="X8455" s="2">
        <f ca="1"/>
        <v>50.136263071204141</v>
      </c>
      <c r="AG8455" s="2">
        <f ca="1"/>
        <v>2.4795470481110859E-2</v>
      </c>
      <c r="AH8455" s="2" t="str">
        <f ca="1"/>
        <v>Good</v>
      </c>
    </row>
    <row r="8456" spans="2:34">
      <c r="B8456" s="2">
        <f ca="1"/>
        <v>0.51353296829547146</v>
      </c>
      <c r="O8456" s="2">
        <f ca="1"/>
        <v>0.61918087964058366</v>
      </c>
      <c r="X8456" s="2">
        <f ca="1"/>
        <v>64.6312472896158</v>
      </c>
      <c r="AG8456" s="2">
        <f ca="1"/>
        <v>0.77068424279385273</v>
      </c>
      <c r="AH8456" s="2" t="str">
        <f ca="1"/>
        <v>Bad</v>
      </c>
    </row>
    <row r="8457" spans="2:34">
      <c r="B8457" s="2">
        <f ca="1"/>
        <v>0.226213261149663</v>
      </c>
      <c r="O8457" s="2">
        <f ca="1"/>
        <v>-0.18621962919852955</v>
      </c>
      <c r="X8457" s="2">
        <f ca="1"/>
        <v>77.085247521832315</v>
      </c>
      <c r="AG8457" s="2">
        <f ca="1"/>
        <v>0.59617743294996761</v>
      </c>
      <c r="AH8457" s="2" t="str">
        <f ca="1"/>
        <v>Bad</v>
      </c>
    </row>
    <row r="8458" spans="2:34">
      <c r="B8458" s="2">
        <f ca="1"/>
        <v>0.30876232096417922</v>
      </c>
      <c r="O8458" s="2">
        <f ca="1"/>
        <v>0.15546950054014691</v>
      </c>
      <c r="X8458" s="2">
        <f ca="1"/>
        <v>29.639778650683436</v>
      </c>
      <c r="AG8458" s="2">
        <f ca="1"/>
        <v>0.3680642538301262</v>
      </c>
      <c r="AH8458" s="2" t="str">
        <f ca="1"/>
        <v>OK</v>
      </c>
    </row>
    <row r="8459" spans="2:34">
      <c r="B8459" s="2">
        <f ca="1"/>
        <v>0.55356096393896692</v>
      </c>
      <c r="O8459" s="2">
        <f ca="1"/>
        <v>0.17350310772363986</v>
      </c>
      <c r="X8459" s="2">
        <f ca="1"/>
        <v>46.748688588267655</v>
      </c>
      <c r="AG8459" s="2">
        <f ca="1"/>
        <v>4.7465938091184157E-2</v>
      </c>
      <c r="AH8459" s="2" t="str">
        <f ca="1"/>
        <v>Good</v>
      </c>
    </row>
    <row r="8460" spans="2:34">
      <c r="B8460" s="2">
        <f ca="1"/>
        <v>0.34869910277360106</v>
      </c>
      <c r="O8460" s="2">
        <f ca="1"/>
        <v>0.97502924304122285</v>
      </c>
      <c r="X8460" s="2">
        <f ca="1"/>
        <v>43.88670089501224</v>
      </c>
      <c r="AG8460" s="2">
        <f ca="1"/>
        <v>0.89734160493808623</v>
      </c>
      <c r="AH8460" s="2" t="str">
        <f ca="1"/>
        <v>Bad</v>
      </c>
    </row>
    <row r="8461" spans="2:34">
      <c r="B8461" s="2">
        <f ca="1"/>
        <v>0.91036143975845141</v>
      </c>
      <c r="O8461" s="2">
        <f ca="1"/>
        <v>1.8920881662022861</v>
      </c>
      <c r="X8461" s="2">
        <f ca="1"/>
        <v>47.615331590152451</v>
      </c>
      <c r="AG8461" s="2">
        <f ca="1"/>
        <v>0.59479889560816601</v>
      </c>
      <c r="AH8461" s="2" t="str">
        <f ca="1"/>
        <v>Bad</v>
      </c>
    </row>
    <row r="8462" spans="2:34">
      <c r="B8462" s="2">
        <f ca="1"/>
        <v>0.10621633143042808</v>
      </c>
      <c r="O8462" s="2">
        <f ca="1"/>
        <v>-0.99095339327864429</v>
      </c>
      <c r="X8462" s="2">
        <f ca="1"/>
        <v>49.487153321535864</v>
      </c>
      <c r="AG8462" s="2">
        <f ca="1"/>
        <v>0.2562951826878852</v>
      </c>
      <c r="AH8462" s="2" t="str">
        <f ca="1"/>
        <v>OK</v>
      </c>
    </row>
    <row r="8463" spans="2:34">
      <c r="B8463" s="2">
        <f ca="1"/>
        <v>0.74938268298290267</v>
      </c>
      <c r="O8463" s="2">
        <f ca="1"/>
        <v>-0.57019243448583368</v>
      </c>
      <c r="X8463" s="2">
        <f ca="1"/>
        <v>49.240139539952217</v>
      </c>
      <c r="AG8463" s="2">
        <f ca="1"/>
        <v>0.75881921177798706</v>
      </c>
      <c r="AH8463" s="2" t="str">
        <f ca="1"/>
        <v>Bad</v>
      </c>
    </row>
    <row r="8464" spans="2:34">
      <c r="B8464" s="2">
        <f ca="1"/>
        <v>0.53756290036135246</v>
      </c>
      <c r="O8464" s="2">
        <f ca="1"/>
        <v>0.88991339054085306</v>
      </c>
      <c r="X8464" s="2">
        <f ca="1"/>
        <v>27.246745267404275</v>
      </c>
      <c r="AG8464" s="2">
        <f ca="1"/>
        <v>0.94910050041701854</v>
      </c>
      <c r="AH8464" s="2" t="str">
        <f ca="1"/>
        <v>Bad</v>
      </c>
    </row>
    <row r="8465" spans="2:34">
      <c r="B8465" s="2">
        <f ca="1"/>
        <v>0.40278804104122568</v>
      </c>
      <c r="O8465" s="2">
        <f ca="1"/>
        <v>0.83603507625065054</v>
      </c>
      <c r="X8465" s="2">
        <f ca="1"/>
        <v>64.789329152516913</v>
      </c>
      <c r="AG8465" s="2">
        <f ca="1"/>
        <v>0.52934130715840033</v>
      </c>
      <c r="AH8465" s="2" t="str">
        <f ca="1"/>
        <v>Bad</v>
      </c>
    </row>
    <row r="8466" spans="2:34">
      <c r="B8466" s="2">
        <f ca="1"/>
        <v>0.90783353821710833</v>
      </c>
      <c r="O8466" s="2">
        <f ca="1"/>
        <v>0.21955093067090106</v>
      </c>
      <c r="X8466" s="2">
        <f ca="1"/>
        <v>64.523547257670288</v>
      </c>
      <c r="AG8466" s="2">
        <f ca="1"/>
        <v>0.92364724569549495</v>
      </c>
      <c r="AH8466" s="2" t="str">
        <f ca="1"/>
        <v>Bad</v>
      </c>
    </row>
    <row r="8467" spans="2:34">
      <c r="B8467" s="2">
        <f ca="1"/>
        <v>0.56107915227265281</v>
      </c>
      <c r="O8467" s="2">
        <f ca="1"/>
        <v>-1.0973613762147536</v>
      </c>
      <c r="X8467" s="2">
        <f ca="1"/>
        <v>50.012692846115655</v>
      </c>
      <c r="AG8467" s="2">
        <f ca="1"/>
        <v>0.92966536336043415</v>
      </c>
      <c r="AH8467" s="2" t="str">
        <f ca="1"/>
        <v>Bad</v>
      </c>
    </row>
    <row r="8468" spans="2:34">
      <c r="B8468" s="2">
        <f ca="1"/>
        <v>0.77979870901231396</v>
      </c>
      <c r="O8468" s="2">
        <f ca="1"/>
        <v>-0.20343095830897867</v>
      </c>
      <c r="X8468" s="2">
        <f ca="1"/>
        <v>45.758149227825285</v>
      </c>
      <c r="AG8468" s="2">
        <f ca="1"/>
        <v>0.83305819655491486</v>
      </c>
      <c r="AH8468" s="2" t="str">
        <f ca="1"/>
        <v>Bad</v>
      </c>
    </row>
    <row r="8469" spans="2:34">
      <c r="B8469" s="2">
        <f ca="1"/>
        <v>0.2261722041413663</v>
      </c>
      <c r="O8469" s="2">
        <f ca="1"/>
        <v>0.44511244100098318</v>
      </c>
      <c r="X8469" s="2">
        <f ca="1"/>
        <v>20.205805342774646</v>
      </c>
      <c r="AG8469" s="2">
        <f ca="1"/>
        <v>0.49535614134219408</v>
      </c>
      <c r="AH8469" s="2" t="str">
        <f ca="1"/>
        <v>Bad</v>
      </c>
    </row>
    <row r="8470" spans="2:34">
      <c r="B8470" s="2">
        <f ca="1"/>
        <v>0.40431623784186854</v>
      </c>
      <c r="O8470" s="2">
        <f ca="1"/>
        <v>0.57006884365039634</v>
      </c>
      <c r="X8470" s="2">
        <f ca="1"/>
        <v>35.703680094679953</v>
      </c>
      <c r="AG8470" s="2">
        <f ca="1"/>
        <v>0.12344888885605076</v>
      </c>
      <c r="AH8470" s="2" t="str">
        <f ca="1"/>
        <v>OK</v>
      </c>
    </row>
    <row r="8471" spans="2:34">
      <c r="B8471" s="2">
        <f ca="1"/>
        <v>0.26079409152741717</v>
      </c>
      <c r="O8471" s="2">
        <f ca="1"/>
        <v>-0.46754117223348196</v>
      </c>
      <c r="X8471" s="2">
        <f ca="1"/>
        <v>54.266067458331705</v>
      </c>
      <c r="AG8471" s="2">
        <f ca="1"/>
        <v>0.21661032468943486</v>
      </c>
      <c r="AH8471" s="2" t="str">
        <f ca="1"/>
        <v>OK</v>
      </c>
    </row>
    <row r="8472" spans="2:34">
      <c r="B8472" s="2">
        <f ca="1"/>
        <v>0.12609258697375458</v>
      </c>
      <c r="O8472" s="2">
        <f ca="1"/>
        <v>-1.07478268101375</v>
      </c>
      <c r="X8472" s="2">
        <f ca="1"/>
        <v>20.95336924018309</v>
      </c>
      <c r="AG8472" s="2">
        <f ca="1"/>
        <v>0.73980460893810451</v>
      </c>
      <c r="AH8472" s="2" t="str">
        <f ca="1"/>
        <v>Bad</v>
      </c>
    </row>
    <row r="8473" spans="2:34">
      <c r="B8473" s="2">
        <f ca="1"/>
        <v>3.4675792582369303E-2</v>
      </c>
      <c r="O8473" s="2">
        <f ca="1"/>
        <v>6.0255710241277863E-2</v>
      </c>
      <c r="X8473" s="2">
        <f ca="1"/>
        <v>43.172781809819291</v>
      </c>
      <c r="AG8473" s="2">
        <f ca="1"/>
        <v>0.60684053784702674</v>
      </c>
      <c r="AH8473" s="2" t="str">
        <f ca="1"/>
        <v>Bad</v>
      </c>
    </row>
    <row r="8474" spans="2:34">
      <c r="B8474" s="2">
        <f ca="1"/>
        <v>7.9285432055633986E-2</v>
      </c>
      <c r="O8474" s="2">
        <f ca="1"/>
        <v>1.1284369314848146</v>
      </c>
      <c r="X8474" s="2">
        <f ca="1"/>
        <v>69.007074351114355</v>
      </c>
      <c r="AG8474" s="2">
        <f ca="1"/>
        <v>0.5825063332827638</v>
      </c>
      <c r="AH8474" s="2" t="str">
        <f ca="1"/>
        <v>Bad</v>
      </c>
    </row>
    <row r="8475" spans="2:34">
      <c r="B8475" s="2">
        <f ca="1"/>
        <v>0.72383938888117205</v>
      </c>
      <c r="O8475" s="2">
        <f ca="1"/>
        <v>-0.69151549170179138</v>
      </c>
      <c r="X8475" s="2">
        <f ca="1"/>
        <v>30.474490218313637</v>
      </c>
      <c r="AG8475" s="2">
        <f ca="1"/>
        <v>0.85542280871893128</v>
      </c>
      <c r="AH8475" s="2" t="str">
        <f ca="1"/>
        <v>Bad</v>
      </c>
    </row>
    <row r="8476" spans="2:34">
      <c r="B8476" s="2">
        <f ca="1"/>
        <v>0.18602696060124901</v>
      </c>
      <c r="O8476" s="2">
        <f ca="1"/>
        <v>-2.436814018886281</v>
      </c>
      <c r="X8476" s="2">
        <f ca="1"/>
        <v>32.603217782178589</v>
      </c>
      <c r="AG8476" s="2">
        <f ca="1"/>
        <v>0.7588345348476897</v>
      </c>
      <c r="AH8476" s="2" t="str">
        <f ca="1"/>
        <v>Bad</v>
      </c>
    </row>
    <row r="8477" spans="2:34">
      <c r="B8477" s="2">
        <f ca="1"/>
        <v>0.76973863622610206</v>
      </c>
      <c r="O8477" s="2">
        <f ca="1"/>
        <v>-1.0726435579005043</v>
      </c>
      <c r="X8477" s="2">
        <f ca="1"/>
        <v>56.158168506646511</v>
      </c>
      <c r="AG8477" s="2">
        <f ca="1"/>
        <v>4.9502502467898557E-2</v>
      </c>
      <c r="AH8477" s="2" t="str">
        <f ca="1"/>
        <v>Good</v>
      </c>
    </row>
    <row r="8478" spans="2:34">
      <c r="B8478" s="2">
        <f ca="1"/>
        <v>0.98250296194076836</v>
      </c>
      <c r="O8478" s="2">
        <f ca="1"/>
        <v>1.1246202533034571</v>
      </c>
      <c r="X8478" s="2">
        <f ca="1"/>
        <v>67.693655494202162</v>
      </c>
      <c r="AG8478" s="2">
        <f ca="1"/>
        <v>0.58081836515807694</v>
      </c>
      <c r="AH8478" s="2" t="str">
        <f ca="1"/>
        <v>Bad</v>
      </c>
    </row>
    <row r="8479" spans="2:34">
      <c r="B8479" s="2">
        <f ca="1"/>
        <v>0.3623173303692151</v>
      </c>
      <c r="O8479" s="2">
        <f ca="1"/>
        <v>-0.77246976793900768</v>
      </c>
      <c r="X8479" s="2">
        <f ca="1"/>
        <v>47.10269344035801</v>
      </c>
      <c r="AG8479" s="2">
        <f ca="1"/>
        <v>0.98308836718801662</v>
      </c>
      <c r="AH8479" s="2" t="str">
        <f ca="1"/>
        <v>Bad</v>
      </c>
    </row>
    <row r="8480" spans="2:34">
      <c r="B8480" s="2">
        <f ca="1"/>
        <v>0.32866026802621451</v>
      </c>
      <c r="O8480" s="2">
        <f ca="1"/>
        <v>-0.1329041443395062</v>
      </c>
      <c r="X8480" s="2">
        <f ca="1"/>
        <v>27.35329691936666</v>
      </c>
      <c r="AG8480" s="2">
        <f ca="1"/>
        <v>0.86748612094416178</v>
      </c>
      <c r="AH8480" s="2" t="str">
        <f ca="1"/>
        <v>Bad</v>
      </c>
    </row>
    <row r="8481" spans="2:34">
      <c r="B8481" s="2">
        <f ca="1"/>
        <v>0.77655328142289437</v>
      </c>
      <c r="O8481" s="2">
        <f ca="1"/>
        <v>0.94141348588883877</v>
      </c>
      <c r="X8481" s="2">
        <f ca="1"/>
        <v>58.483585224448632</v>
      </c>
      <c r="AG8481" s="2">
        <f ca="1"/>
        <v>0.5899516278532666</v>
      </c>
      <c r="AH8481" s="2" t="str">
        <f ca="1"/>
        <v>Bad</v>
      </c>
    </row>
    <row r="8482" spans="2:34">
      <c r="B8482" s="2">
        <f ca="1"/>
        <v>0.35093814419332503</v>
      </c>
      <c r="O8482" s="2">
        <f ca="1"/>
        <v>0.25283186227923005</v>
      </c>
      <c r="X8482" s="2">
        <f ca="1"/>
        <v>51.660144919019196</v>
      </c>
      <c r="AG8482" s="2">
        <f ca="1"/>
        <v>0.11470792218233439</v>
      </c>
      <c r="AH8482" s="2" t="str">
        <f ca="1"/>
        <v>OK</v>
      </c>
    </row>
    <row r="8483" spans="2:34">
      <c r="B8483" s="2">
        <f ca="1"/>
        <v>0.27115599372439281</v>
      </c>
      <c r="O8483" s="2">
        <f ca="1"/>
        <v>0.35468667407124377</v>
      </c>
      <c r="X8483" s="2">
        <f ca="1"/>
        <v>52.810659938219231</v>
      </c>
      <c r="AG8483" s="2">
        <f ca="1"/>
        <v>0.52483435325793226</v>
      </c>
      <c r="AH8483" s="2" t="str">
        <f ca="1"/>
        <v>Bad</v>
      </c>
    </row>
    <row r="8484" spans="2:34">
      <c r="B8484" s="2">
        <f ca="1"/>
        <v>0.75478005737472476</v>
      </c>
      <c r="O8484" s="2">
        <f ca="1"/>
        <v>-5.1653840968099989E-2</v>
      </c>
      <c r="X8484" s="2">
        <f ca="1"/>
        <v>83.069967285906898</v>
      </c>
      <c r="AG8484" s="2">
        <f ca="1"/>
        <v>0.99830406066797162</v>
      </c>
      <c r="AH8484" s="2" t="str">
        <f ca="1"/>
        <v>Bad</v>
      </c>
    </row>
    <row r="8485" spans="2:34">
      <c r="B8485" s="2">
        <f ca="1"/>
        <v>8.4672070353547291E-2</v>
      </c>
      <c r="O8485" s="2">
        <f ca="1"/>
        <v>1.1008387620549007</v>
      </c>
      <c r="X8485" s="2">
        <f ca="1"/>
        <v>63.871872027029937</v>
      </c>
      <c r="AG8485" s="2">
        <f ca="1"/>
        <v>0.45334334119004294</v>
      </c>
      <c r="AH8485" s="2" t="str">
        <f ca="1"/>
        <v>Bad</v>
      </c>
    </row>
    <row r="8486" spans="2:34">
      <c r="B8486" s="2">
        <f ca="1"/>
        <v>0.21063303781559517</v>
      </c>
      <c r="O8486" s="2">
        <f ca="1"/>
        <v>-1.0042420759788591</v>
      </c>
      <c r="X8486" s="2">
        <f ca="1"/>
        <v>59.430920221056773</v>
      </c>
      <c r="AG8486" s="2">
        <f ca="1"/>
        <v>0.49977530721124763</v>
      </c>
      <c r="AH8486" s="2" t="str">
        <f ca="1"/>
        <v>Bad</v>
      </c>
    </row>
    <row r="8487" spans="2:34">
      <c r="B8487" s="2">
        <f ca="1"/>
        <v>0.13227287602374704</v>
      </c>
      <c r="O8487" s="2">
        <f ca="1"/>
        <v>3.5314540142996551E-2</v>
      </c>
      <c r="X8487" s="2">
        <f ca="1"/>
        <v>52.901924481729338</v>
      </c>
      <c r="AG8487" s="2">
        <f ca="1"/>
        <v>0.21917278243664673</v>
      </c>
      <c r="AH8487" s="2" t="str">
        <f ca="1"/>
        <v>OK</v>
      </c>
    </row>
    <row r="8488" spans="2:34">
      <c r="B8488" s="2">
        <f ca="1"/>
        <v>0.83502767976369019</v>
      </c>
      <c r="O8488" s="2">
        <f ca="1"/>
        <v>-0.40255633566227389</v>
      </c>
      <c r="X8488" s="2">
        <f ca="1"/>
        <v>67.065137826379271</v>
      </c>
      <c r="AG8488" s="2">
        <f ca="1"/>
        <v>0.22828108763677402</v>
      </c>
      <c r="AH8488" s="2" t="str">
        <f ca="1"/>
        <v>OK</v>
      </c>
    </row>
    <row r="8489" spans="2:34">
      <c r="B8489" s="2">
        <f ca="1"/>
        <v>6.6201215883016973E-2</v>
      </c>
      <c r="O8489" s="2">
        <f ca="1"/>
        <v>0.51777392690001167</v>
      </c>
      <c r="X8489" s="2">
        <f ca="1"/>
        <v>43.829536059782086</v>
      </c>
      <c r="AG8489" s="2">
        <f ca="1"/>
        <v>0.5211402202277382</v>
      </c>
      <c r="AH8489" s="2" t="str">
        <f ca="1"/>
        <v>Bad</v>
      </c>
    </row>
    <row r="8490" spans="2:34">
      <c r="B8490" s="2">
        <f ca="1"/>
        <v>0.66451193573515521</v>
      </c>
      <c r="O8490" s="2">
        <f ca="1"/>
        <v>0.71479305048726505</v>
      </c>
      <c r="X8490" s="2">
        <f ca="1"/>
        <v>32.090316458266045</v>
      </c>
      <c r="AG8490" s="2">
        <f ca="1"/>
        <v>0.39741350749872306</v>
      </c>
      <c r="AH8490" s="2" t="str">
        <f ca="1"/>
        <v>OK</v>
      </c>
    </row>
    <row r="8491" spans="2:34">
      <c r="B8491" s="2">
        <f ca="1"/>
        <v>0.50350004453271002</v>
      </c>
      <c r="O8491" s="2">
        <f ca="1"/>
        <v>-1.1975098836988364E-2</v>
      </c>
      <c r="X8491" s="2">
        <f ca="1"/>
        <v>53.867115394483335</v>
      </c>
      <c r="AG8491" s="2">
        <f ca="1"/>
        <v>0.78608783384593695</v>
      </c>
      <c r="AH8491" s="2" t="str">
        <f ca="1"/>
        <v>Bad</v>
      </c>
    </row>
    <row r="8492" spans="2:34">
      <c r="B8492" s="2">
        <f ca="1"/>
        <v>0.41729071300260845</v>
      </c>
      <c r="O8492" s="2">
        <f ca="1"/>
        <v>1.169648610851324</v>
      </c>
      <c r="X8492" s="2">
        <f ca="1"/>
        <v>44.465737442956332</v>
      </c>
      <c r="AG8492" s="2">
        <f ca="1"/>
        <v>0.4596606744998688</v>
      </c>
      <c r="AH8492" s="2" t="str">
        <f ca="1"/>
        <v>Bad</v>
      </c>
    </row>
    <row r="8493" spans="2:34">
      <c r="B8493" s="2">
        <f ca="1"/>
        <v>0.75065683417374496</v>
      </c>
      <c r="O8493" s="2">
        <f ca="1"/>
        <v>1.1666800554933718</v>
      </c>
      <c r="X8493" s="2">
        <f ca="1"/>
        <v>34.133176685248387</v>
      </c>
      <c r="AG8493" s="2">
        <f ca="1"/>
        <v>0.48860230832635132</v>
      </c>
      <c r="AH8493" s="2" t="str">
        <f ca="1"/>
        <v>Bad</v>
      </c>
    </row>
    <row r="8494" spans="2:34">
      <c r="B8494" s="2">
        <f ca="1"/>
        <v>0.10059939544795227</v>
      </c>
      <c r="O8494" s="2">
        <f ca="1"/>
        <v>-0.78916257315426697</v>
      </c>
      <c r="X8494" s="2">
        <f ca="1"/>
        <v>54.554482957194082</v>
      </c>
      <c r="AG8494" s="2">
        <f ca="1"/>
        <v>3.7605930520965281E-3</v>
      </c>
      <c r="AH8494" s="2" t="str">
        <f ca="1"/>
        <v>Good</v>
      </c>
    </row>
    <row r="8495" spans="2:34">
      <c r="B8495" s="2">
        <f ca="1"/>
        <v>0.72524072001737161</v>
      </c>
      <c r="O8495" s="2">
        <f ca="1"/>
        <v>1.6393510540626302</v>
      </c>
      <c r="X8495" s="2">
        <f ca="1"/>
        <v>56.975930632460987</v>
      </c>
      <c r="AG8495" s="2">
        <f ca="1"/>
        <v>0.56083633499892871</v>
      </c>
      <c r="AH8495" s="2" t="str">
        <f ca="1"/>
        <v>Bad</v>
      </c>
    </row>
    <row r="8496" spans="2:34">
      <c r="B8496" s="2">
        <f ca="1"/>
        <v>0.62538858515408124</v>
      </c>
      <c r="O8496" s="2">
        <f ca="1"/>
        <v>-1.2785363864181443</v>
      </c>
      <c r="X8496" s="2">
        <f ca="1"/>
        <v>47.587214407387194</v>
      </c>
      <c r="AG8496" s="2">
        <f ca="1"/>
        <v>0.44955884414626923</v>
      </c>
      <c r="AH8496" s="2" t="str">
        <f ca="1"/>
        <v>Bad</v>
      </c>
    </row>
    <row r="8497" spans="2:34">
      <c r="B8497" s="2">
        <f ca="1"/>
        <v>0.30295605583082752</v>
      </c>
      <c r="O8497" s="2">
        <f ca="1"/>
        <v>-1.4434346843089336</v>
      </c>
      <c r="X8497" s="2">
        <f ca="1"/>
        <v>62.788758271886934</v>
      </c>
      <c r="AG8497" s="2">
        <f ca="1"/>
        <v>0.16368811517028026</v>
      </c>
      <c r="AH8497" s="2" t="str">
        <f ca="1"/>
        <v>OK</v>
      </c>
    </row>
    <row r="8498" spans="2:34">
      <c r="B8498" s="2">
        <f ca="1"/>
        <v>0.26704886712286191</v>
      </c>
      <c r="O8498" s="2">
        <f ca="1"/>
        <v>0.16287541534708544</v>
      </c>
      <c r="X8498" s="2">
        <f ca="1"/>
        <v>31.403950924348841</v>
      </c>
      <c r="AG8498" s="2">
        <f ca="1"/>
        <v>0.44567638177153257</v>
      </c>
      <c r="AH8498" s="2" t="str">
        <f ca="1"/>
        <v>Bad</v>
      </c>
    </row>
    <row r="8499" spans="2:34">
      <c r="B8499" s="2">
        <f ca="1"/>
        <v>5.4625022138347079E-2</v>
      </c>
      <c r="O8499" s="2">
        <f ca="1"/>
        <v>1.2199459343967742</v>
      </c>
      <c r="X8499" s="2">
        <f ca="1"/>
        <v>27.349402373516103</v>
      </c>
      <c r="AG8499" s="2">
        <f ca="1"/>
        <v>0.13086416089098729</v>
      </c>
      <c r="AH8499" s="2" t="str">
        <f ca="1"/>
        <v>OK</v>
      </c>
    </row>
    <row r="8500" spans="2:34">
      <c r="B8500" s="2">
        <f ca="1"/>
        <v>0.43648218904403424</v>
      </c>
      <c r="O8500" s="2">
        <f ca="1"/>
        <v>1.4070040464314799</v>
      </c>
      <c r="X8500" s="2">
        <f ca="1"/>
        <v>28.423993014818262</v>
      </c>
      <c r="AG8500" s="2">
        <f ca="1"/>
        <v>0.72731534747870041</v>
      </c>
      <c r="AH8500" s="2" t="str">
        <f ca="1"/>
        <v>Bad</v>
      </c>
    </row>
    <row r="8501" spans="2:34">
      <c r="B8501" s="2">
        <f ca="1"/>
        <v>9.5258748035548901E-2</v>
      </c>
      <c r="O8501" s="2">
        <f ca="1"/>
        <v>0.35602429815532088</v>
      </c>
      <c r="X8501" s="2">
        <f ca="1"/>
        <v>52.177657245920386</v>
      </c>
      <c r="AG8501" s="2">
        <f ca="1"/>
        <v>0.22728880260443263</v>
      </c>
      <c r="AH8501" s="2" t="str">
        <f ca="1"/>
        <v>OK</v>
      </c>
    </row>
    <row r="8502" spans="2:34">
      <c r="B8502" s="2">
        <f ca="1"/>
        <v>0.70042011654226632</v>
      </c>
      <c r="O8502" s="2">
        <f ca="1"/>
        <v>0.49636124381084895</v>
      </c>
      <c r="X8502" s="2">
        <f ca="1"/>
        <v>35.638465045219604</v>
      </c>
      <c r="AG8502" s="2">
        <f ca="1"/>
        <v>0.5396051328483511</v>
      </c>
      <c r="AH8502" s="2" t="str">
        <f ca="1"/>
        <v>Bad</v>
      </c>
    </row>
    <row r="8503" spans="2:34">
      <c r="B8503" s="2">
        <f ca="1"/>
        <v>6.5807887273426235E-2</v>
      </c>
      <c r="O8503" s="2">
        <f ca="1"/>
        <v>0.58732689341313193</v>
      </c>
      <c r="X8503" s="2">
        <f ca="1"/>
        <v>61.800044461069646</v>
      </c>
      <c r="AG8503" s="2">
        <f ca="1"/>
        <v>0.14834958750716853</v>
      </c>
      <c r="AH8503" s="2" t="str">
        <f ca="1"/>
        <v>OK</v>
      </c>
    </row>
    <row r="8504" spans="2:34">
      <c r="B8504" s="2">
        <f ca="1"/>
        <v>0.1685984203807529</v>
      </c>
      <c r="O8504" s="2">
        <f ca="1"/>
        <v>1.0341276280650424</v>
      </c>
      <c r="X8504" s="2">
        <f ca="1"/>
        <v>54.857038586195124</v>
      </c>
      <c r="AG8504" s="2">
        <f ca="1"/>
        <v>0.98253824832699954</v>
      </c>
      <c r="AH8504" s="2" t="str">
        <f ca="1"/>
        <v>Bad</v>
      </c>
    </row>
    <row r="8505" spans="2:34">
      <c r="B8505" s="2">
        <f ca="1"/>
        <v>0.13458972576511541</v>
      </c>
      <c r="O8505" s="2">
        <f ca="1"/>
        <v>0.2375585289694371</v>
      </c>
      <c r="X8505" s="2">
        <f ca="1"/>
        <v>36.751352199942289</v>
      </c>
      <c r="AG8505" s="2">
        <f ca="1"/>
        <v>0.2045071141025232</v>
      </c>
      <c r="AH8505" s="2" t="str">
        <f ca="1"/>
        <v>OK</v>
      </c>
    </row>
    <row r="8506" spans="2:34">
      <c r="B8506" s="2">
        <f ca="1"/>
        <v>0.20929469518579746</v>
      </c>
      <c r="O8506" s="2">
        <f ca="1"/>
        <v>1.0469785735574439</v>
      </c>
      <c r="X8506" s="2">
        <f ca="1"/>
        <v>44.258806273153127</v>
      </c>
      <c r="AG8506" s="2">
        <f ca="1"/>
        <v>0.25868803735712453</v>
      </c>
      <c r="AH8506" s="2" t="str">
        <f ca="1"/>
        <v>OK</v>
      </c>
    </row>
    <row r="8507" spans="2:34">
      <c r="B8507" s="2">
        <f ca="1"/>
        <v>7.0455330864435561E-2</v>
      </c>
      <c r="O8507" s="2">
        <f ca="1"/>
        <v>-0.30049192482667536</v>
      </c>
      <c r="X8507" s="2">
        <f ca="1"/>
        <v>35.699166282002651</v>
      </c>
      <c r="AG8507" s="2">
        <f ca="1"/>
        <v>0.88216307112106707</v>
      </c>
      <c r="AH8507" s="2" t="str">
        <f ca="1"/>
        <v>Bad</v>
      </c>
    </row>
    <row r="8508" spans="2:34">
      <c r="B8508" s="2">
        <f ca="1"/>
        <v>0.2002285934514465</v>
      </c>
      <c r="O8508" s="2">
        <f ca="1"/>
        <v>4.4775503392508478E-2</v>
      </c>
      <c r="X8508" s="2">
        <f ca="1"/>
        <v>65.331927579476101</v>
      </c>
      <c r="AG8508" s="2">
        <f ca="1"/>
        <v>0.29448026959630269</v>
      </c>
      <c r="AH8508" s="2" t="str">
        <f ca="1"/>
        <v>OK</v>
      </c>
    </row>
    <row r="8509" spans="2:34">
      <c r="B8509" s="2">
        <f ca="1"/>
        <v>0.3137043718878556</v>
      </c>
      <c r="O8509" s="2">
        <f ca="1"/>
        <v>1.701506163303625</v>
      </c>
      <c r="X8509" s="2">
        <f ca="1"/>
        <v>56.137932392281172</v>
      </c>
      <c r="AG8509" s="2">
        <f ca="1"/>
        <v>0.91125627775940687</v>
      </c>
      <c r="AH8509" s="2" t="str">
        <f ca="1"/>
        <v>Bad</v>
      </c>
    </row>
    <row r="8510" spans="2:34">
      <c r="B8510" s="2">
        <f ca="1"/>
        <v>0.53169176670122043</v>
      </c>
      <c r="O8510" s="2">
        <f ca="1"/>
        <v>0.43905092365742376</v>
      </c>
      <c r="X8510" s="2">
        <f ca="1"/>
        <v>31.2417101202361</v>
      </c>
      <c r="AG8510" s="2">
        <f ca="1"/>
        <v>0.47379582469487436</v>
      </c>
      <c r="AH8510" s="2" t="str">
        <f ca="1"/>
        <v>Bad</v>
      </c>
    </row>
    <row r="8511" spans="2:34">
      <c r="B8511" s="2">
        <f ca="1"/>
        <v>0.99553076826458886</v>
      </c>
      <c r="O8511" s="2">
        <f ca="1"/>
        <v>-1.0807477073009739</v>
      </c>
      <c r="X8511" s="2">
        <f ca="1"/>
        <v>35.360202520709173</v>
      </c>
      <c r="AG8511" s="2">
        <f ca="1"/>
        <v>9.6221427017940009E-2</v>
      </c>
      <c r="AH8511" s="2" t="str">
        <f ca="1"/>
        <v>OK</v>
      </c>
    </row>
    <row r="8512" spans="2:34">
      <c r="B8512" s="2">
        <f ca="1"/>
        <v>0.57759361333080106</v>
      </c>
      <c r="O8512" s="2">
        <f ca="1"/>
        <v>0.98506568655391291</v>
      </c>
      <c r="X8512" s="2">
        <f ca="1"/>
        <v>41.682364003100886</v>
      </c>
      <c r="AG8512" s="2">
        <f ca="1"/>
        <v>4.5083018465151614E-2</v>
      </c>
      <c r="AH8512" s="2" t="str">
        <f ca="1"/>
        <v>Good</v>
      </c>
    </row>
    <row r="8513" spans="2:34">
      <c r="B8513" s="2">
        <f ca="1"/>
        <v>0.57795917708126643</v>
      </c>
      <c r="O8513" s="2">
        <f ca="1"/>
        <v>0.2405681657366591</v>
      </c>
      <c r="X8513" s="2">
        <f ca="1"/>
        <v>42.344141639492307</v>
      </c>
      <c r="AG8513" s="2">
        <f ca="1"/>
        <v>0.40270418225204252</v>
      </c>
      <c r="AH8513" s="2" t="str">
        <f ca="1"/>
        <v>Bad</v>
      </c>
    </row>
    <row r="8514" spans="2:34">
      <c r="B8514" s="2">
        <f ca="1"/>
        <v>0.86986628895393636</v>
      </c>
      <c r="O8514" s="2">
        <f ca="1"/>
        <v>-0.56665332566878712</v>
      </c>
      <c r="X8514" s="2">
        <f ca="1"/>
        <v>87.404182117177299</v>
      </c>
      <c r="AG8514" s="2">
        <f ca="1"/>
        <v>0.52026729959538276</v>
      </c>
      <c r="AH8514" s="2" t="str">
        <f ca="1"/>
        <v>Bad</v>
      </c>
    </row>
    <row r="8515" spans="2:34">
      <c r="B8515" s="2">
        <f ca="1"/>
        <v>4.8087533872895216E-2</v>
      </c>
      <c r="O8515" s="2">
        <f ca="1"/>
        <v>-3.2715397697994648E-2</v>
      </c>
      <c r="X8515" s="2">
        <f ca="1"/>
        <v>63.271481777767477</v>
      </c>
      <c r="AG8515" s="2">
        <f ca="1"/>
        <v>0.91782690382141019</v>
      </c>
      <c r="AH8515" s="2" t="str">
        <f ca="1"/>
        <v>Bad</v>
      </c>
    </row>
    <row r="8516" spans="2:34">
      <c r="B8516" s="2">
        <f ca="1"/>
        <v>0.41171504504793432</v>
      </c>
      <c r="O8516" s="2">
        <f ca="1"/>
        <v>0.30000211400142129</v>
      </c>
      <c r="X8516" s="2">
        <f ca="1"/>
        <v>41.607223155169002</v>
      </c>
      <c r="AG8516" s="2">
        <f ca="1"/>
        <v>0.60513629776443767</v>
      </c>
      <c r="AH8516" s="2" t="str">
        <f ca="1"/>
        <v>Bad</v>
      </c>
    </row>
    <row r="8517" spans="2:34">
      <c r="B8517" s="2">
        <f ca="1"/>
        <v>0.92051426670221725</v>
      </c>
      <c r="O8517" s="2">
        <f ca="1"/>
        <v>-0.80706022624961526</v>
      </c>
      <c r="X8517" s="2">
        <f ca="1"/>
        <v>43.995924017426063</v>
      </c>
      <c r="AG8517" s="2">
        <f ca="1"/>
        <v>0.52110794244364644</v>
      </c>
      <c r="AH8517" s="2" t="str">
        <f ca="1"/>
        <v>Bad</v>
      </c>
    </row>
    <row r="8518" spans="2:34">
      <c r="B8518" s="2">
        <f ca="1"/>
        <v>0.72338765421706985</v>
      </c>
      <c r="O8518" s="2">
        <f ca="1"/>
        <v>1.2402039581326114</v>
      </c>
      <c r="X8518" s="2">
        <f ca="1"/>
        <v>61.56599217677627</v>
      </c>
      <c r="AG8518" s="2">
        <f ca="1"/>
        <v>0.43823233904226533</v>
      </c>
      <c r="AH8518" s="2" t="str">
        <f ca="1"/>
        <v>Bad</v>
      </c>
    </row>
    <row r="8519" spans="2:34">
      <c r="B8519" s="2">
        <f ca="1"/>
        <v>0.61323525388969924</v>
      </c>
      <c r="O8519" s="2">
        <f ca="1"/>
        <v>0.34957832548294526</v>
      </c>
      <c r="X8519" s="2">
        <f ca="1"/>
        <v>29.632479508594276</v>
      </c>
      <c r="AG8519" s="2">
        <f ca="1"/>
        <v>0.91522637845322441</v>
      </c>
      <c r="AH8519" s="2" t="str">
        <f ca="1"/>
        <v>Bad</v>
      </c>
    </row>
    <row r="8520" spans="2:34">
      <c r="B8520" s="2">
        <f ca="1"/>
        <v>0.81809858548506398</v>
      </c>
      <c r="O8520" s="2">
        <f ca="1"/>
        <v>0.11162970564086573</v>
      </c>
      <c r="X8520" s="2">
        <f ca="1"/>
        <v>63.940338565084588</v>
      </c>
      <c r="AG8520" s="2">
        <f ca="1"/>
        <v>0.29540291018159004</v>
      </c>
      <c r="AH8520" s="2" t="str">
        <f ca="1"/>
        <v>OK</v>
      </c>
    </row>
    <row r="8521" spans="2:34">
      <c r="B8521" s="2">
        <f ca="1"/>
        <v>0.70568516934973169</v>
      </c>
      <c r="O8521" s="2">
        <f ca="1"/>
        <v>-1.0329397793482982</v>
      </c>
      <c r="X8521" s="2">
        <f ca="1"/>
        <v>60.935219703891768</v>
      </c>
      <c r="AG8521" s="2">
        <f ca="1"/>
        <v>0.64188631952028685</v>
      </c>
      <c r="AH8521" s="2" t="str">
        <f ca="1"/>
        <v>Bad</v>
      </c>
    </row>
    <row r="8522" spans="2:34">
      <c r="B8522" s="2">
        <f ca="1"/>
        <v>1.7458503251906787E-2</v>
      </c>
      <c r="O8522" s="2">
        <f ca="1"/>
        <v>-0.81749419569375525</v>
      </c>
      <c r="X8522" s="2">
        <f ca="1"/>
        <v>50.54087977031331</v>
      </c>
      <c r="AG8522" s="2">
        <f ca="1"/>
        <v>0.56182059069931212</v>
      </c>
      <c r="AH8522" s="2" t="str">
        <f ca="1"/>
        <v>Bad</v>
      </c>
    </row>
    <row r="8523" spans="2:34">
      <c r="B8523" s="2">
        <f ca="1"/>
        <v>0.17047559711058691</v>
      </c>
      <c r="O8523" s="2">
        <f ca="1"/>
        <v>9.4850050634980601E-2</v>
      </c>
      <c r="X8523" s="2">
        <f ca="1"/>
        <v>50.61595559577448</v>
      </c>
      <c r="AG8523" s="2">
        <f ca="1"/>
        <v>0.70952308095171701</v>
      </c>
      <c r="AH8523" s="2" t="str">
        <f ca="1"/>
        <v>Bad</v>
      </c>
    </row>
    <row r="8524" spans="2:34">
      <c r="B8524" s="2">
        <f ca="1"/>
        <v>0.70167026857110448</v>
      </c>
      <c r="O8524" s="2">
        <f ca="1"/>
        <v>-0.12694089792478319</v>
      </c>
      <c r="X8524" s="2">
        <f ca="1"/>
        <v>42.514482697536437</v>
      </c>
      <c r="AG8524" s="2">
        <f ca="1"/>
        <v>0.89190994022526771</v>
      </c>
      <c r="AH8524" s="2" t="str">
        <f ca="1"/>
        <v>Bad</v>
      </c>
    </row>
    <row r="8525" spans="2:34">
      <c r="B8525" s="2">
        <f ca="1"/>
        <v>0.82185460386320597</v>
      </c>
      <c r="O8525" s="2">
        <f ca="1"/>
        <v>0.34321344420135275</v>
      </c>
      <c r="X8525" s="2">
        <f ca="1"/>
        <v>93.399050644604031</v>
      </c>
      <c r="AG8525" s="2">
        <f ca="1"/>
        <v>0.27103711848761414</v>
      </c>
      <c r="AH8525" s="2" t="str">
        <f ca="1"/>
        <v>OK</v>
      </c>
    </row>
    <row r="8526" spans="2:34">
      <c r="B8526" s="2">
        <f ca="1"/>
        <v>0.38777506385511473</v>
      </c>
      <c r="O8526" s="2">
        <f ca="1"/>
        <v>-0.99235463083876929</v>
      </c>
      <c r="X8526" s="2">
        <f ca="1"/>
        <v>36.032808920872398</v>
      </c>
      <c r="AG8526" s="2">
        <f ca="1"/>
        <v>0.77537428999527847</v>
      </c>
      <c r="AH8526" s="2" t="str">
        <f ca="1"/>
        <v>Bad</v>
      </c>
    </row>
    <row r="8527" spans="2:34">
      <c r="B8527" s="2">
        <f ca="1"/>
        <v>0.16077259209836514</v>
      </c>
      <c r="O8527" s="2">
        <f ca="1"/>
        <v>0.44204927396301585</v>
      </c>
      <c r="X8527" s="2">
        <f ca="1"/>
        <v>41.911473308152054</v>
      </c>
      <c r="AG8527" s="2">
        <f ca="1"/>
        <v>0.57168478652192145</v>
      </c>
      <c r="AH8527" s="2" t="str">
        <f ca="1"/>
        <v>Bad</v>
      </c>
    </row>
    <row r="8528" spans="2:34">
      <c r="B8528" s="2">
        <f ca="1"/>
        <v>0.40882390261581736</v>
      </c>
      <c r="O8528" s="2">
        <f ca="1"/>
        <v>0.32446371352923292</v>
      </c>
      <c r="X8528" s="2">
        <f ca="1"/>
        <v>36.188549431023965</v>
      </c>
      <c r="AG8528" s="2">
        <f ca="1"/>
        <v>0.27563367294717334</v>
      </c>
      <c r="AH8528" s="2" t="str">
        <f ca="1"/>
        <v>OK</v>
      </c>
    </row>
    <row r="8529" spans="2:34">
      <c r="B8529" s="2">
        <f ca="1"/>
        <v>0.69829231051955332</v>
      </c>
      <c r="O8529" s="2">
        <f ca="1"/>
        <v>0.62451161293637214</v>
      </c>
      <c r="X8529" s="2">
        <f ca="1"/>
        <v>55.873356249628785</v>
      </c>
      <c r="AG8529" s="2">
        <f ca="1"/>
        <v>0.66529790097492092</v>
      </c>
      <c r="AH8529" s="2" t="str">
        <f ca="1"/>
        <v>Bad</v>
      </c>
    </row>
    <row r="8530" spans="2:34">
      <c r="B8530" s="2">
        <f ca="1"/>
        <v>0.9119768292281436</v>
      </c>
      <c r="O8530" s="2">
        <f ca="1"/>
        <v>0.43979620728667185</v>
      </c>
      <c r="X8530" s="2">
        <f ca="1"/>
        <v>32.602980344066594</v>
      </c>
      <c r="AG8530" s="2">
        <f ca="1"/>
        <v>0.70416346613155167</v>
      </c>
      <c r="AH8530" s="2" t="str">
        <f ca="1"/>
        <v>Bad</v>
      </c>
    </row>
    <row r="8531" spans="2:34">
      <c r="B8531" s="2">
        <f ca="1"/>
        <v>0.28785088077055843</v>
      </c>
      <c r="O8531" s="2">
        <f ca="1"/>
        <v>0.54042512642695151</v>
      </c>
      <c r="X8531" s="2">
        <f ca="1"/>
        <v>58.614762691852825</v>
      </c>
      <c r="AG8531" s="2">
        <f ca="1"/>
        <v>0.31790170652969363</v>
      </c>
      <c r="AH8531" s="2" t="str">
        <f ca="1"/>
        <v>OK</v>
      </c>
    </row>
    <row r="8532" spans="2:34">
      <c r="B8532" s="2">
        <f ca="1"/>
        <v>0.41073488655592416</v>
      </c>
      <c r="O8532" s="2">
        <f ca="1"/>
        <v>-0.54794503505393433</v>
      </c>
      <c r="X8532" s="2">
        <f ca="1"/>
        <v>39.044759676044258</v>
      </c>
      <c r="AG8532" s="2">
        <f ca="1"/>
        <v>0.62373414705039032</v>
      </c>
      <c r="AH8532" s="2" t="str">
        <f ca="1"/>
        <v>Bad</v>
      </c>
    </row>
    <row r="8533" spans="2:34">
      <c r="B8533" s="2">
        <f ca="1"/>
        <v>0.3861928945341091</v>
      </c>
      <c r="O8533" s="2">
        <f ca="1"/>
        <v>-0.16876795978243969</v>
      </c>
      <c r="X8533" s="2">
        <f ca="1"/>
        <v>30.202161620668647</v>
      </c>
      <c r="AG8533" s="2">
        <f ca="1"/>
        <v>0.8221058915262065</v>
      </c>
      <c r="AH8533" s="2" t="str">
        <f ca="1"/>
        <v>Bad</v>
      </c>
    </row>
    <row r="8534" spans="2:34">
      <c r="B8534" s="2">
        <f ca="1"/>
        <v>0.81142336298656281</v>
      </c>
      <c r="O8534" s="2">
        <f ca="1"/>
        <v>-2.8355127946168474E-2</v>
      </c>
      <c r="X8534" s="2">
        <f ca="1"/>
        <v>32.969483546052636</v>
      </c>
      <c r="AG8534" s="2">
        <f ca="1"/>
        <v>0.80773764184746555</v>
      </c>
      <c r="AH8534" s="2" t="str">
        <f ca="1"/>
        <v>Bad</v>
      </c>
    </row>
    <row r="8535" spans="2:34">
      <c r="B8535" s="2">
        <f ca="1"/>
        <v>0.52916947493235345</v>
      </c>
      <c r="O8535" s="2">
        <f ca="1"/>
        <v>0.45234070451107494</v>
      </c>
      <c r="X8535" s="2">
        <f ca="1"/>
        <v>51.435209877185414</v>
      </c>
      <c r="AG8535" s="2">
        <f ca="1"/>
        <v>0.2328298719853692</v>
      </c>
      <c r="AH8535" s="2" t="str">
        <f ca="1"/>
        <v>OK</v>
      </c>
    </row>
    <row r="8536" spans="2:34">
      <c r="B8536" s="2">
        <f ca="1"/>
        <v>0.20574164054963928</v>
      </c>
      <c r="O8536" s="2">
        <f ca="1"/>
        <v>0.62974387058403458</v>
      </c>
      <c r="X8536" s="2">
        <f ca="1"/>
        <v>54.0710401483949</v>
      </c>
      <c r="AG8536" s="2">
        <f ca="1"/>
        <v>0.33195020416257748</v>
      </c>
      <c r="AH8536" s="2" t="str">
        <f ca="1"/>
        <v>OK</v>
      </c>
    </row>
    <row r="8537" spans="2:34">
      <c r="B8537" s="2">
        <f ca="1"/>
        <v>0.63938062474370017</v>
      </c>
      <c r="O8537" s="2">
        <f ca="1"/>
        <v>0.78165785717480407</v>
      </c>
      <c r="X8537" s="2">
        <f ca="1"/>
        <v>27.003251837214073</v>
      </c>
      <c r="AG8537" s="2">
        <f ca="1"/>
        <v>0.74739879178314927</v>
      </c>
      <c r="AH8537" s="2" t="str">
        <f ca="1"/>
        <v>Bad</v>
      </c>
    </row>
    <row r="8538" spans="2:34">
      <c r="B8538" s="2">
        <f ca="1"/>
        <v>0.80600182515971808</v>
      </c>
      <c r="O8538" s="2">
        <f ca="1"/>
        <v>0.65804686591429606</v>
      </c>
      <c r="X8538" s="2">
        <f ca="1"/>
        <v>62.809973699971344</v>
      </c>
      <c r="AG8538" s="2">
        <f ca="1"/>
        <v>0.69805068303592654</v>
      </c>
      <c r="AH8538" s="2" t="str">
        <f ca="1"/>
        <v>Bad</v>
      </c>
    </row>
    <row r="8539" spans="2:34">
      <c r="B8539" s="2">
        <f ca="1"/>
        <v>0.34415543786211034</v>
      </c>
      <c r="O8539" s="2">
        <f ca="1"/>
        <v>0.79534710144327991</v>
      </c>
      <c r="X8539" s="2">
        <f ca="1"/>
        <v>50.877127647251903</v>
      </c>
      <c r="AG8539" s="2">
        <f ca="1"/>
        <v>0.57029881063384247</v>
      </c>
      <c r="AH8539" s="2" t="str">
        <f ca="1"/>
        <v>Bad</v>
      </c>
    </row>
    <row r="8540" spans="2:34">
      <c r="B8540" s="2">
        <f ca="1"/>
        <v>0.37081839576572562</v>
      </c>
      <c r="O8540" s="2">
        <f ca="1"/>
        <v>-0.33719705884696621</v>
      </c>
      <c r="X8540" s="2">
        <f ca="1"/>
        <v>74.876841193716473</v>
      </c>
      <c r="AG8540" s="2">
        <f ca="1"/>
        <v>0.79672654187673331</v>
      </c>
      <c r="AH8540" s="2" t="str">
        <f ca="1"/>
        <v>Bad</v>
      </c>
    </row>
    <row r="8541" spans="2:34">
      <c r="B8541" s="2">
        <f ca="1"/>
        <v>0.21394642829489352</v>
      </c>
      <c r="O8541" s="2">
        <f ca="1"/>
        <v>-2.2430075074523512</v>
      </c>
      <c r="X8541" s="2">
        <f ca="1"/>
        <v>62.907136282767652</v>
      </c>
      <c r="AG8541" s="2">
        <f ca="1"/>
        <v>0.1045800186187813</v>
      </c>
      <c r="AH8541" s="2" t="str">
        <f ca="1"/>
        <v>OK</v>
      </c>
    </row>
    <row r="8542" spans="2:34">
      <c r="B8542" s="2">
        <f ca="1"/>
        <v>0.1168168347187053</v>
      </c>
      <c r="O8542" s="2">
        <f ca="1"/>
        <v>-1.0035943102805975</v>
      </c>
      <c r="X8542" s="2">
        <f ca="1"/>
        <v>66.479289308800674</v>
      </c>
      <c r="AG8542" s="2">
        <f ca="1"/>
        <v>0.29337048649853203</v>
      </c>
      <c r="AH8542" s="2" t="str">
        <f ca="1"/>
        <v>OK</v>
      </c>
    </row>
    <row r="8543" spans="2:34">
      <c r="B8543" s="2">
        <f ca="1"/>
        <v>0.43403398110980618</v>
      </c>
      <c r="O8543" s="2">
        <f ca="1"/>
        <v>0.83663640319232835</v>
      </c>
      <c r="X8543" s="2">
        <f ca="1"/>
        <v>46.481106656871717</v>
      </c>
      <c r="AG8543" s="2">
        <f ca="1"/>
        <v>0.56164179676818238</v>
      </c>
      <c r="AH8543" s="2" t="str">
        <f ca="1"/>
        <v>Bad</v>
      </c>
    </row>
    <row r="8544" spans="2:34">
      <c r="B8544" s="2">
        <f ca="1"/>
        <v>0.51010099450906798</v>
      </c>
      <c r="O8544" s="2">
        <f ca="1"/>
        <v>-0.85672969406829569</v>
      </c>
      <c r="X8544" s="2">
        <f ca="1"/>
        <v>38.308117863290676</v>
      </c>
      <c r="AG8544" s="2">
        <f ca="1"/>
        <v>0.5004688447320409</v>
      </c>
      <c r="AH8544" s="2" t="str">
        <f ca="1"/>
        <v>Bad</v>
      </c>
    </row>
    <row r="8545" spans="2:34">
      <c r="B8545" s="2">
        <f ca="1"/>
        <v>5.8412171794167245E-2</v>
      </c>
      <c r="O8545" s="2">
        <f ca="1"/>
        <v>2.0761778300994194</v>
      </c>
      <c r="X8545" s="2">
        <f ca="1"/>
        <v>70.002133931131496</v>
      </c>
      <c r="AG8545" s="2">
        <f ca="1"/>
        <v>0.12134523186005985</v>
      </c>
      <c r="AH8545" s="2" t="str">
        <f ca="1"/>
        <v>OK</v>
      </c>
    </row>
    <row r="8546" spans="2:34">
      <c r="B8546" s="2">
        <f ca="1"/>
        <v>6.626501764517867E-2</v>
      </c>
      <c r="O8546" s="2">
        <f ca="1"/>
        <v>0.18810324666145151</v>
      </c>
      <c r="X8546" s="2">
        <f ca="1"/>
        <v>59.562906243905445</v>
      </c>
      <c r="AG8546" s="2">
        <f ca="1"/>
        <v>0.58557061014034284</v>
      </c>
      <c r="AH8546" s="2" t="str">
        <f ca="1"/>
        <v>Bad</v>
      </c>
    </row>
    <row r="8547" spans="2:34">
      <c r="B8547" s="2">
        <f ca="1"/>
        <v>0.4692750126763745</v>
      </c>
      <c r="O8547" s="2">
        <f ca="1"/>
        <v>0.53408712227514121</v>
      </c>
      <c r="X8547" s="2">
        <f ca="1"/>
        <v>26.277043301435743</v>
      </c>
      <c r="AG8547" s="2">
        <f ca="1"/>
        <v>0.66634247876614316</v>
      </c>
      <c r="AH8547" s="2" t="str">
        <f ca="1"/>
        <v>Bad</v>
      </c>
    </row>
    <row r="8548" spans="2:34">
      <c r="B8548" s="2">
        <f ca="1"/>
        <v>0.97892968997961538</v>
      </c>
      <c r="O8548" s="2">
        <f ca="1"/>
        <v>0.64596660093694236</v>
      </c>
      <c r="X8548" s="2">
        <f ca="1"/>
        <v>34.984283697973531</v>
      </c>
      <c r="AG8548" s="2">
        <f ca="1"/>
        <v>0.9393817050175246</v>
      </c>
      <c r="AH8548" s="2" t="str">
        <f ca="1"/>
        <v>Bad</v>
      </c>
    </row>
    <row r="8549" spans="2:34">
      <c r="B8549" s="2">
        <f ca="1"/>
        <v>0.45052644195723612</v>
      </c>
      <c r="O8549" s="2">
        <f ca="1"/>
        <v>0.61580062844092842</v>
      </c>
      <c r="X8549" s="2">
        <f ca="1"/>
        <v>52.613417931108401</v>
      </c>
      <c r="AG8549" s="2">
        <f ca="1"/>
        <v>0.95756379416985804</v>
      </c>
      <c r="AH8549" s="2" t="str">
        <f ca="1"/>
        <v>Bad</v>
      </c>
    </row>
    <row r="8550" spans="2:34">
      <c r="B8550" s="2">
        <f ca="1"/>
        <v>0.12238081772952647</v>
      </c>
      <c r="O8550" s="2">
        <f ca="1"/>
        <v>-1.9396520371659365</v>
      </c>
      <c r="X8550" s="2">
        <f ca="1"/>
        <v>68.311769003464107</v>
      </c>
      <c r="AG8550" s="2">
        <f ca="1"/>
        <v>0.92565502719423387</v>
      </c>
      <c r="AH8550" s="2" t="str">
        <f ca="1"/>
        <v>Bad</v>
      </c>
    </row>
    <row r="8551" spans="2:34">
      <c r="B8551" s="2">
        <f ca="1"/>
        <v>0.5552342852606611</v>
      </c>
      <c r="O8551" s="2">
        <f ca="1"/>
        <v>-0.37350154088693571</v>
      </c>
      <c r="X8551" s="2">
        <f ca="1"/>
        <v>41.657126792477314</v>
      </c>
      <c r="AG8551" s="2">
        <f ca="1"/>
        <v>0.41906778180409954</v>
      </c>
      <c r="AH8551" s="2" t="str">
        <f ca="1"/>
        <v>Bad</v>
      </c>
    </row>
    <row r="8552" spans="2:34">
      <c r="B8552" s="2">
        <f ca="1"/>
        <v>0.31443746177591581</v>
      </c>
      <c r="O8552" s="2">
        <f ca="1"/>
        <v>-0.27489290238726094</v>
      </c>
      <c r="X8552" s="2">
        <f ca="1"/>
        <v>19.400230489215438</v>
      </c>
      <c r="AG8552" s="2">
        <f ca="1"/>
        <v>0.91842342176100389</v>
      </c>
      <c r="AH8552" s="2" t="str">
        <f ca="1"/>
        <v>Bad</v>
      </c>
    </row>
    <row r="8553" spans="2:34">
      <c r="B8553" s="2">
        <f ca="1"/>
        <v>0.61188733292217257</v>
      </c>
      <c r="O8553" s="2">
        <f ca="1"/>
        <v>0.86224674367532117</v>
      </c>
      <c r="X8553" s="2">
        <f ca="1"/>
        <v>43.326003741284879</v>
      </c>
      <c r="AG8553" s="2">
        <f ca="1"/>
        <v>0.37448281686947982</v>
      </c>
      <c r="AH8553" s="2" t="str">
        <f ca="1"/>
        <v>OK</v>
      </c>
    </row>
    <row r="8554" spans="2:34">
      <c r="B8554" s="2">
        <f ca="1"/>
        <v>0.17271537167598505</v>
      </c>
      <c r="O8554" s="2">
        <f ca="1"/>
        <v>-0.96929673928741611</v>
      </c>
      <c r="X8554" s="2">
        <f ca="1"/>
        <v>34.109982714085575</v>
      </c>
      <c r="AG8554" s="2">
        <f ca="1"/>
        <v>0.36969131286300261</v>
      </c>
      <c r="AH8554" s="2" t="str">
        <f ca="1"/>
        <v>OK</v>
      </c>
    </row>
    <row r="8555" spans="2:34">
      <c r="B8555" s="2">
        <f ca="1"/>
        <v>0.27049658345247418</v>
      </c>
      <c r="O8555" s="2">
        <f ca="1"/>
        <v>0.34209701209306714</v>
      </c>
      <c r="X8555" s="2">
        <f ca="1"/>
        <v>38.282991403107886</v>
      </c>
      <c r="AG8555" s="2">
        <f ca="1"/>
        <v>0.76219123243330311</v>
      </c>
      <c r="AH8555" s="2" t="str">
        <f ca="1"/>
        <v>Bad</v>
      </c>
    </row>
    <row r="8556" spans="2:34">
      <c r="B8556" s="2">
        <f ca="1"/>
        <v>0.48785201623740315</v>
      </c>
      <c r="O8556" s="2">
        <f ca="1"/>
        <v>-7.2621869437566378E-2</v>
      </c>
      <c r="X8556" s="2">
        <f ca="1"/>
        <v>86.731377247417285</v>
      </c>
      <c r="AG8556" s="2">
        <f ca="1"/>
        <v>0.42434662875284723</v>
      </c>
      <c r="AH8556" s="2" t="str">
        <f ca="1"/>
        <v>Bad</v>
      </c>
    </row>
    <row r="8557" spans="2:34">
      <c r="B8557" s="2">
        <f ca="1"/>
        <v>0.10741800081306341</v>
      </c>
      <c r="O8557" s="2">
        <f ca="1"/>
        <v>0.39667140978795112</v>
      </c>
      <c r="X8557" s="2">
        <f ca="1"/>
        <v>46.807395018363877</v>
      </c>
      <c r="AG8557" s="2">
        <f ca="1"/>
        <v>0.94279175473343924</v>
      </c>
      <c r="AH8557" s="2" t="str">
        <f ca="1"/>
        <v>Bad</v>
      </c>
    </row>
    <row r="8558" spans="2:34">
      <c r="B8558" s="2">
        <f ca="1"/>
        <v>0.85576784999825861</v>
      </c>
      <c r="O8558" s="2">
        <f ca="1"/>
        <v>0.41725164593013309</v>
      </c>
      <c r="X8558" s="2">
        <f ca="1"/>
        <v>81.349152527597568</v>
      </c>
      <c r="AG8558" s="2">
        <f ca="1"/>
        <v>0.53120107086847623</v>
      </c>
      <c r="AH8558" s="2" t="str">
        <f ca="1"/>
        <v>Bad</v>
      </c>
    </row>
    <row r="8559" spans="2:34">
      <c r="B8559" s="2">
        <f ca="1"/>
        <v>0.29778160120648423</v>
      </c>
      <c r="O8559" s="2">
        <f ca="1"/>
        <v>0.58973940487847898</v>
      </c>
      <c r="X8559" s="2">
        <f ca="1"/>
        <v>34.237873625857745</v>
      </c>
      <c r="AG8559" s="2">
        <f ca="1"/>
        <v>0.93832529908841766</v>
      </c>
      <c r="AH8559" s="2" t="str">
        <f ca="1"/>
        <v>Bad</v>
      </c>
    </row>
    <row r="8560" spans="2:34">
      <c r="B8560" s="2">
        <f ca="1"/>
        <v>0.78278208494637802</v>
      </c>
      <c r="O8560" s="2">
        <f ca="1"/>
        <v>0.36186031750178083</v>
      </c>
      <c r="X8560" s="2">
        <f ca="1"/>
        <v>27.978553222406049</v>
      </c>
      <c r="AG8560" s="2">
        <f ca="1"/>
        <v>0.63685638099841135</v>
      </c>
      <c r="AH8560" s="2" t="str">
        <f ca="1"/>
        <v>Bad</v>
      </c>
    </row>
    <row r="8561" spans="2:34">
      <c r="B8561" s="2">
        <f ca="1"/>
        <v>0.90962364581998667</v>
      </c>
      <c r="O8561" s="2">
        <f ca="1"/>
        <v>-0.65846834456493819</v>
      </c>
      <c r="X8561" s="2">
        <f ca="1"/>
        <v>55.713921691812651</v>
      </c>
      <c r="AG8561" s="2">
        <f ca="1"/>
        <v>0.27185419444527636</v>
      </c>
      <c r="AH8561" s="2" t="str">
        <f ca="1"/>
        <v>OK</v>
      </c>
    </row>
    <row r="8562" spans="2:34">
      <c r="B8562" s="2">
        <f ca="1"/>
        <v>0.61685199542934233</v>
      </c>
      <c r="O8562" s="2">
        <f ca="1"/>
        <v>1.2057999170822937</v>
      </c>
      <c r="X8562" s="2">
        <f ca="1"/>
        <v>39.04707815859193</v>
      </c>
      <c r="AG8562" s="2">
        <f ca="1"/>
        <v>0.14851132125910604</v>
      </c>
      <c r="AH8562" s="2" t="str">
        <f ca="1"/>
        <v>OK</v>
      </c>
    </row>
    <row r="8563" spans="2:34">
      <c r="B8563" s="2">
        <f ca="1"/>
        <v>0.55750937480054708</v>
      </c>
      <c r="O8563" s="2">
        <f ca="1"/>
        <v>-0.30633794062388719</v>
      </c>
      <c r="X8563" s="2">
        <f ca="1"/>
        <v>55.62236241372436</v>
      </c>
      <c r="AG8563" s="2">
        <f ca="1"/>
        <v>0.83530352414389775</v>
      </c>
      <c r="AH8563" s="2" t="str">
        <f ca="1"/>
        <v>Bad</v>
      </c>
    </row>
    <row r="8564" spans="2:34">
      <c r="B8564" s="2">
        <f ca="1"/>
        <v>0.10865914120975528</v>
      </c>
      <c r="O8564" s="2">
        <f ca="1"/>
        <v>-0.35460265229771099</v>
      </c>
      <c r="X8564" s="2">
        <f ca="1"/>
        <v>71.107846726300309</v>
      </c>
      <c r="AG8564" s="2">
        <f ca="1"/>
        <v>0.1404075503503257</v>
      </c>
      <c r="AH8564" s="2" t="str">
        <f ca="1"/>
        <v>OK</v>
      </c>
    </row>
    <row r="8565" spans="2:34">
      <c r="B8565" s="2">
        <f ca="1"/>
        <v>0.82810800496874815</v>
      </c>
      <c r="O8565" s="2">
        <f ca="1"/>
        <v>0.28221186855060898</v>
      </c>
      <c r="X8565" s="2">
        <f ca="1"/>
        <v>56.209090705278875</v>
      </c>
      <c r="AG8565" s="2">
        <f ca="1"/>
        <v>6.4614278154626614E-3</v>
      </c>
      <c r="AH8565" s="2" t="str">
        <f ca="1"/>
        <v>Good</v>
      </c>
    </row>
    <row r="8566" spans="2:34">
      <c r="B8566" s="2">
        <f ca="1"/>
        <v>4.421297331666052E-2</v>
      </c>
      <c r="O8566" s="2">
        <f ca="1"/>
        <v>-0.85624376952037196</v>
      </c>
      <c r="X8566" s="2">
        <f ca="1"/>
        <v>52.744523517069354</v>
      </c>
      <c r="AG8566" s="2">
        <f ca="1"/>
        <v>0.33241852250168469</v>
      </c>
      <c r="AH8566" s="2" t="str">
        <f ca="1"/>
        <v>OK</v>
      </c>
    </row>
    <row r="8567" spans="2:34">
      <c r="B8567" s="2">
        <f ca="1"/>
        <v>0.43319156012749649</v>
      </c>
      <c r="O8567" s="2">
        <f ca="1"/>
        <v>-1.4289865910480637</v>
      </c>
      <c r="X8567" s="2">
        <f ca="1"/>
        <v>39.46934930896213</v>
      </c>
      <c r="AG8567" s="2">
        <f ca="1"/>
        <v>0.41261762825036308</v>
      </c>
      <c r="AH8567" s="2" t="str">
        <f ca="1"/>
        <v>Bad</v>
      </c>
    </row>
    <row r="8568" spans="2:34">
      <c r="B8568" s="2">
        <f ca="1"/>
        <v>0.60084924314413568</v>
      </c>
      <c r="O8568" s="2">
        <f ca="1"/>
        <v>-0.35853721223740037</v>
      </c>
      <c r="X8568" s="2">
        <f ca="1"/>
        <v>40.396234674350531</v>
      </c>
      <c r="AG8568" s="2">
        <f ca="1"/>
        <v>0.18279831370829114</v>
      </c>
      <c r="AH8568" s="2" t="str">
        <f ca="1"/>
        <v>OK</v>
      </c>
    </row>
    <row r="8569" spans="2:34">
      <c r="B8569" s="2">
        <f ca="1"/>
        <v>0.18012496012859258</v>
      </c>
      <c r="O8569" s="2">
        <f ca="1"/>
        <v>-1.4838171959091764</v>
      </c>
      <c r="X8569" s="2">
        <f ca="1"/>
        <v>74.958111157953283</v>
      </c>
      <c r="AG8569" s="2">
        <f ca="1"/>
        <v>2.6021947023030068E-2</v>
      </c>
      <c r="AH8569" s="2" t="str">
        <f ca="1"/>
        <v>Good</v>
      </c>
    </row>
    <row r="8570" spans="2:34">
      <c r="B8570" s="2">
        <f ca="1"/>
        <v>0.36399121471287277</v>
      </c>
      <c r="O8570" s="2">
        <f ca="1"/>
        <v>-3.2205240146084016E-2</v>
      </c>
      <c r="X8570" s="2">
        <f ca="1"/>
        <v>27.98367195480656</v>
      </c>
      <c r="AG8570" s="2">
        <f ca="1"/>
        <v>0.82537499959168725</v>
      </c>
      <c r="AH8570" s="2" t="str">
        <f ca="1"/>
        <v>Bad</v>
      </c>
    </row>
    <row r="8571" spans="2:34">
      <c r="B8571" s="2">
        <f ca="1"/>
        <v>0.66770407425071299</v>
      </c>
      <c r="O8571" s="2">
        <f ca="1"/>
        <v>-1.5302186214613036</v>
      </c>
      <c r="X8571" s="2">
        <f ca="1"/>
        <v>28.632448523808879</v>
      </c>
      <c r="AG8571" s="2">
        <f ca="1"/>
        <v>0.10691570802883388</v>
      </c>
      <c r="AH8571" s="2" t="str">
        <f ca="1"/>
        <v>OK</v>
      </c>
    </row>
    <row r="8572" spans="2:34">
      <c r="B8572" s="2">
        <f ca="1"/>
        <v>0.59595716022551848</v>
      </c>
      <c r="O8572" s="2">
        <f ca="1"/>
        <v>-0.46830727026440389</v>
      </c>
      <c r="X8572" s="2">
        <f ca="1"/>
        <v>32.916868435991653</v>
      </c>
      <c r="AG8572" s="2">
        <f ca="1"/>
        <v>0.15234692861905108</v>
      </c>
      <c r="AH8572" s="2" t="str">
        <f ca="1"/>
        <v>OK</v>
      </c>
    </row>
    <row r="8573" spans="2:34">
      <c r="B8573" s="2">
        <f ca="1"/>
        <v>0.38388658964192413</v>
      </c>
      <c r="O8573" s="2">
        <f ca="1"/>
        <v>0.77338235363480545</v>
      </c>
      <c r="X8573" s="2">
        <f ca="1"/>
        <v>36.449860820605764</v>
      </c>
      <c r="AG8573" s="2">
        <f ca="1"/>
        <v>0.98610805487573994</v>
      </c>
      <c r="AH8573" s="2" t="str">
        <f ca="1"/>
        <v>Bad</v>
      </c>
    </row>
    <row r="8574" spans="2:34">
      <c r="B8574" s="2">
        <f ca="1"/>
        <v>0.73415804863424805</v>
      </c>
      <c r="O8574" s="2">
        <f ca="1"/>
        <v>-0.63124707615845277</v>
      </c>
      <c r="X8574" s="2">
        <f ca="1"/>
        <v>35.684889344857218</v>
      </c>
      <c r="AG8574" s="2">
        <f ca="1"/>
        <v>0.62305334784016608</v>
      </c>
      <c r="AH8574" s="2" t="str">
        <f ca="1"/>
        <v>Bad</v>
      </c>
    </row>
    <row r="8575" spans="2:34">
      <c r="B8575" s="2">
        <f ca="1"/>
        <v>0.79948944117206566</v>
      </c>
      <c r="O8575" s="2">
        <f ca="1"/>
        <v>1.141910485608264</v>
      </c>
      <c r="X8575" s="2">
        <f ca="1"/>
        <v>46.336405848017876</v>
      </c>
      <c r="AG8575" s="2">
        <f ca="1"/>
        <v>0.44698517006125615</v>
      </c>
      <c r="AH8575" s="2" t="str">
        <f ca="1"/>
        <v>Bad</v>
      </c>
    </row>
    <row r="8576" spans="2:34">
      <c r="B8576" s="2">
        <f ca="1"/>
        <v>0.1098241855533888</v>
      </c>
      <c r="O8576" s="2">
        <f ca="1"/>
        <v>0.65292973337990068</v>
      </c>
      <c r="X8576" s="2">
        <f ca="1"/>
        <v>39.623341468119023</v>
      </c>
      <c r="AG8576" s="2">
        <f ca="1"/>
        <v>0.17978623829697371</v>
      </c>
      <c r="AH8576" s="2" t="str">
        <f ca="1"/>
        <v>OK</v>
      </c>
    </row>
    <row r="8577" spans="2:34">
      <c r="B8577" s="2">
        <f ca="1"/>
        <v>0.41935957472466989</v>
      </c>
      <c r="O8577" s="2">
        <f ca="1"/>
        <v>-6.1699608235735318E-3</v>
      </c>
      <c r="X8577" s="2">
        <f ca="1"/>
        <v>35.214612051013546</v>
      </c>
      <c r="AG8577" s="2">
        <f ca="1"/>
        <v>0.53063292906590109</v>
      </c>
      <c r="AH8577" s="2" t="str">
        <f ca="1"/>
        <v>Bad</v>
      </c>
    </row>
    <row r="8578" spans="2:34">
      <c r="B8578" s="2">
        <f ca="1"/>
        <v>0.93805133140959573</v>
      </c>
      <c r="O8578" s="2">
        <f ca="1"/>
        <v>-9.3348077452782507E-2</v>
      </c>
      <c r="X8578" s="2">
        <f ca="1"/>
        <v>48.419460478552317</v>
      </c>
      <c r="AG8578" s="2">
        <f ca="1"/>
        <v>0.59487216255605579</v>
      </c>
      <c r="AH8578" s="2" t="str">
        <f ca="1"/>
        <v>Bad</v>
      </c>
    </row>
    <row r="8579" spans="2:34">
      <c r="B8579" s="2">
        <f ca="1"/>
        <v>0.29872205062396562</v>
      </c>
      <c r="O8579" s="2">
        <f ca="1"/>
        <v>-0.28322318233242738</v>
      </c>
      <c r="X8579" s="2">
        <f ca="1"/>
        <v>38.698729788765654</v>
      </c>
      <c r="AG8579" s="2">
        <f ca="1"/>
        <v>0.16673857811353354</v>
      </c>
      <c r="AH8579" s="2" t="str">
        <f ca="1"/>
        <v>OK</v>
      </c>
    </row>
    <row r="8580" spans="2:34">
      <c r="B8580" s="2">
        <f ca="1"/>
        <v>0.98481009193181501</v>
      </c>
      <c r="O8580" s="2">
        <f ca="1"/>
        <v>-1.4063311785602475</v>
      </c>
      <c r="X8580" s="2">
        <f ca="1"/>
        <v>63.087031950305416</v>
      </c>
      <c r="AG8580" s="2">
        <f ca="1"/>
        <v>0.52554518931010885</v>
      </c>
      <c r="AH8580" s="2" t="str">
        <f ca="1"/>
        <v>Bad</v>
      </c>
    </row>
    <row r="8581" spans="2:34">
      <c r="B8581" s="2">
        <f ca="1"/>
        <v>0.64785391073043441</v>
      </c>
      <c r="O8581" s="2">
        <f ca="1"/>
        <v>0.28338946370215112</v>
      </c>
      <c r="X8581" s="2">
        <f ca="1"/>
        <v>42.976493044617847</v>
      </c>
      <c r="AG8581" s="2">
        <f ca="1"/>
        <v>0.1843652990411786</v>
      </c>
      <c r="AH8581" s="2" t="str">
        <f ca="1"/>
        <v>OK</v>
      </c>
    </row>
    <row r="8582" spans="2:34">
      <c r="B8582" s="2">
        <f ca="1"/>
        <v>0.11171350090614651</v>
      </c>
      <c r="O8582" s="2">
        <f ca="1"/>
        <v>-0.19746757333564624</v>
      </c>
      <c r="X8582" s="2">
        <f ca="1"/>
        <v>54.805982343876494</v>
      </c>
      <c r="AG8582" s="2">
        <f ca="1"/>
        <v>0.10533900171135335</v>
      </c>
      <c r="AH8582" s="2" t="str">
        <f ca="1"/>
        <v>OK</v>
      </c>
    </row>
    <row r="8583" spans="2:34">
      <c r="B8583" s="2">
        <f ca="1"/>
        <v>0.17451241971266174</v>
      </c>
      <c r="O8583" s="2">
        <f ca="1"/>
        <v>0.90248285550654783</v>
      </c>
      <c r="X8583" s="2">
        <f ca="1"/>
        <v>50.301808290396401</v>
      </c>
      <c r="AG8583" s="2">
        <f ca="1"/>
        <v>1.7438419786200754E-2</v>
      </c>
      <c r="AH8583" s="2" t="str">
        <f ca="1"/>
        <v>Good</v>
      </c>
    </row>
    <row r="8584" spans="2:34">
      <c r="B8584" s="2">
        <f ca="1"/>
        <v>0.59279486043078555</v>
      </c>
      <c r="O8584" s="2">
        <f ca="1"/>
        <v>-0.30335300787721531</v>
      </c>
      <c r="X8584" s="2">
        <f ca="1"/>
        <v>65.644579004711289</v>
      </c>
      <c r="AG8584" s="2">
        <f ca="1"/>
        <v>0.46179855599724839</v>
      </c>
      <c r="AH8584" s="2" t="str">
        <f ca="1"/>
        <v>Bad</v>
      </c>
    </row>
    <row r="8585" spans="2:34">
      <c r="B8585" s="2">
        <f ca="1"/>
        <v>0.23637625245084282</v>
      </c>
      <c r="O8585" s="2">
        <f ca="1"/>
        <v>-2.5944478565227858</v>
      </c>
      <c r="X8585" s="2">
        <f ca="1"/>
        <v>35.14795651131476</v>
      </c>
      <c r="AG8585" s="2">
        <f ca="1"/>
        <v>0.33739650475459393</v>
      </c>
      <c r="AH8585" s="2" t="str">
        <f ca="1"/>
        <v>OK</v>
      </c>
    </row>
    <row r="8586" spans="2:34">
      <c r="B8586" s="2">
        <f ca="1"/>
        <v>8.244568747847536E-2</v>
      </c>
      <c r="O8586" s="2">
        <f ca="1"/>
        <v>2.6629821686380999</v>
      </c>
      <c r="X8586" s="2">
        <f ca="1"/>
        <v>42.221405713206508</v>
      </c>
      <c r="AG8586" s="2">
        <f ca="1"/>
        <v>9.470314076391273E-2</v>
      </c>
      <c r="AH8586" s="2" t="str">
        <f ca="1"/>
        <v>OK</v>
      </c>
    </row>
    <row r="8587" spans="2:34">
      <c r="B8587" s="2">
        <f ca="1"/>
        <v>0.75181023301840555</v>
      </c>
      <c r="O8587" s="2">
        <f ca="1"/>
        <v>-4.7785739305978847E-3</v>
      </c>
      <c r="X8587" s="2">
        <f ca="1"/>
        <v>58.770113286391194</v>
      </c>
      <c r="AG8587" s="2">
        <f ca="1"/>
        <v>0.93796951549691521</v>
      </c>
      <c r="AH8587" s="2" t="str">
        <f ca="1"/>
        <v>Bad</v>
      </c>
    </row>
    <row r="8588" spans="2:34">
      <c r="B8588" s="2">
        <f ca="1"/>
        <v>0.76688867731929133</v>
      </c>
      <c r="O8588" s="2">
        <f ca="1"/>
        <v>-0.60761157785596775</v>
      </c>
      <c r="X8588" s="2">
        <f ca="1"/>
        <v>60.64945315511504</v>
      </c>
      <c r="AG8588" s="2">
        <f ca="1"/>
        <v>0.30348330998214856</v>
      </c>
      <c r="AH8588" s="2" t="str">
        <f ca="1"/>
        <v>OK</v>
      </c>
    </row>
    <row r="8589" spans="2:34">
      <c r="B8589" s="2">
        <f ca="1"/>
        <v>0.71977781003432439</v>
      </c>
      <c r="O8589" s="2">
        <f ca="1"/>
        <v>1.3304354022082514</v>
      </c>
      <c r="X8589" s="2">
        <f ca="1"/>
        <v>58.86568643758109</v>
      </c>
      <c r="AG8589" s="2">
        <f ca="1"/>
        <v>0.42325128083335795</v>
      </c>
      <c r="AH8589" s="2" t="str">
        <f ca="1"/>
        <v>Bad</v>
      </c>
    </row>
    <row r="8590" spans="2:34">
      <c r="B8590" s="2">
        <f ca="1"/>
        <v>0.65639089235540271</v>
      </c>
      <c r="O8590" s="2">
        <f ca="1"/>
        <v>0.2867828742830239</v>
      </c>
      <c r="X8590" s="2">
        <f ca="1"/>
        <v>53.467228951883669</v>
      </c>
      <c r="AG8590" s="2">
        <f ca="1"/>
        <v>0.54744351315902562</v>
      </c>
      <c r="AH8590" s="2" t="str">
        <f ca="1"/>
        <v>Bad</v>
      </c>
    </row>
    <row r="8591" spans="2:34">
      <c r="B8591" s="2">
        <f ca="1"/>
        <v>0.51329355597624393</v>
      </c>
      <c r="O8591" s="2">
        <f ca="1"/>
        <v>1.4347719111010744</v>
      </c>
      <c r="X8591" s="2">
        <f ca="1"/>
        <v>94.554285080326309</v>
      </c>
      <c r="AG8591" s="2">
        <f ca="1"/>
        <v>0.77559131124015468</v>
      </c>
      <c r="AH8591" s="2" t="str">
        <f ca="1"/>
        <v>Bad</v>
      </c>
    </row>
    <row r="8592" spans="2:34">
      <c r="B8592" s="2">
        <f ca="1"/>
        <v>0.2149318617545255</v>
      </c>
      <c r="O8592" s="2">
        <f ca="1"/>
        <v>-2.7145771213108016</v>
      </c>
      <c r="X8592" s="2">
        <f ca="1"/>
        <v>65.168091581965967</v>
      </c>
      <c r="AG8592" s="2">
        <f ca="1"/>
        <v>0.40364382022282963</v>
      </c>
      <c r="AH8592" s="2" t="str">
        <f ca="1"/>
        <v>Bad</v>
      </c>
    </row>
    <row r="8593" spans="2:34">
      <c r="B8593" s="2">
        <f ca="1"/>
        <v>0.62862663587900758</v>
      </c>
      <c r="O8593" s="2">
        <f ca="1"/>
        <v>0.33145800532330283</v>
      </c>
      <c r="X8593" s="2">
        <f ca="1"/>
        <v>42.618330727531351</v>
      </c>
      <c r="AG8593" s="2">
        <f ca="1"/>
        <v>0.43143744519844307</v>
      </c>
      <c r="AH8593" s="2" t="str">
        <f ca="1"/>
        <v>Bad</v>
      </c>
    </row>
    <row r="8594" spans="2:34">
      <c r="B8594" s="2">
        <f ca="1"/>
        <v>0.53439635483596093</v>
      </c>
      <c r="O8594" s="2">
        <f ca="1"/>
        <v>-0.90548950385270255</v>
      </c>
      <c r="X8594" s="2">
        <f ca="1"/>
        <v>58.630684482813074</v>
      </c>
      <c r="AG8594" s="2">
        <f ca="1"/>
        <v>0.50650850286777449</v>
      </c>
      <c r="AH8594" s="2" t="str">
        <f ca="1"/>
        <v>Bad</v>
      </c>
    </row>
    <row r="8595" spans="2:34">
      <c r="B8595" s="2">
        <f ca="1"/>
        <v>0.16925694934445423</v>
      </c>
      <c r="O8595" s="2">
        <f ca="1"/>
        <v>0.61314167728193569</v>
      </c>
      <c r="X8595" s="2">
        <f ca="1"/>
        <v>29.432578887023961</v>
      </c>
      <c r="AG8595" s="2">
        <f ca="1"/>
        <v>0.44577908012624556</v>
      </c>
      <c r="AH8595" s="2" t="str">
        <f ca="1"/>
        <v>Bad</v>
      </c>
    </row>
    <row r="8596" spans="2:34">
      <c r="B8596" s="2">
        <f ca="1"/>
        <v>0.65216259855486203</v>
      </c>
      <c r="O8596" s="2">
        <f ca="1"/>
        <v>-0.44842387098973102</v>
      </c>
      <c r="X8596" s="2">
        <f ca="1"/>
        <v>51.856110823881146</v>
      </c>
      <c r="AG8596" s="2">
        <f ca="1"/>
        <v>0.27190739591205482</v>
      </c>
      <c r="AH8596" s="2" t="str">
        <f ca="1"/>
        <v>OK</v>
      </c>
    </row>
    <row r="8597" spans="2:34">
      <c r="B8597" s="2">
        <f ca="1"/>
        <v>0.19538391438025315</v>
      </c>
      <c r="O8597" s="2">
        <f ca="1"/>
        <v>1.128769550184032</v>
      </c>
      <c r="X8597" s="2">
        <f ca="1"/>
        <v>37.343090435791417</v>
      </c>
      <c r="AG8597" s="2">
        <f ca="1"/>
        <v>0.49304326591925096</v>
      </c>
      <c r="AH8597" s="2" t="str">
        <f ca="1"/>
        <v>Bad</v>
      </c>
    </row>
    <row r="8598" spans="2:34">
      <c r="B8598" s="2">
        <f ca="1"/>
        <v>0.10166587579892528</v>
      </c>
      <c r="O8598" s="2">
        <f ca="1"/>
        <v>0.76419088744261432</v>
      </c>
      <c r="X8598" s="2">
        <f ca="1"/>
        <v>65.469022969264557</v>
      </c>
      <c r="AG8598" s="2">
        <f ca="1"/>
        <v>0.36754345207567263</v>
      </c>
      <c r="AH8598" s="2" t="str">
        <f ca="1"/>
        <v>OK</v>
      </c>
    </row>
    <row r="8599" spans="2:34">
      <c r="B8599" s="2">
        <f ca="1"/>
        <v>0.37504792736434367</v>
      </c>
      <c r="O8599" s="2">
        <f ca="1"/>
        <v>-0.25273325562505833</v>
      </c>
      <c r="X8599" s="2">
        <f ca="1"/>
        <v>51.854889794834904</v>
      </c>
      <c r="AG8599" s="2">
        <f ca="1"/>
        <v>0.18866691014915449</v>
      </c>
      <c r="AH8599" s="2" t="str">
        <f ca="1"/>
        <v>OK</v>
      </c>
    </row>
    <row r="8600" spans="2:34">
      <c r="B8600" s="2">
        <f ca="1"/>
        <v>0.90159619110545686</v>
      </c>
      <c r="O8600" s="2">
        <f ca="1"/>
        <v>-0.53658520639434681</v>
      </c>
      <c r="X8600" s="2">
        <f ca="1"/>
        <v>45.688039471487627</v>
      </c>
      <c r="AG8600" s="2">
        <f ca="1"/>
        <v>0.2244896530087177</v>
      </c>
      <c r="AH8600" s="2" t="str">
        <f ca="1"/>
        <v>OK</v>
      </c>
    </row>
    <row r="8601" spans="2:34">
      <c r="B8601" s="2">
        <f ca="1"/>
        <v>0.72999127876925174</v>
      </c>
      <c r="O8601" s="2">
        <f ca="1"/>
        <v>-0.93240400133649304</v>
      </c>
      <c r="X8601" s="2">
        <f ca="1"/>
        <v>63.944271444528731</v>
      </c>
      <c r="AG8601" s="2">
        <f ca="1"/>
        <v>0.55370838886288376</v>
      </c>
      <c r="AH8601" s="2" t="str">
        <f ca="1"/>
        <v>Bad</v>
      </c>
    </row>
    <row r="8602" spans="2:34">
      <c r="B8602" s="2">
        <f ca="1"/>
        <v>0.10561257637640775</v>
      </c>
      <c r="O8602" s="2">
        <f ca="1"/>
        <v>-2.2745124232033036</v>
      </c>
      <c r="X8602" s="2">
        <f ca="1"/>
        <v>38.348908643425993</v>
      </c>
      <c r="AG8602" s="2">
        <f ca="1"/>
        <v>0.43254182700861854</v>
      </c>
      <c r="AH8602" s="2" t="str">
        <f ca="1"/>
        <v>Bad</v>
      </c>
    </row>
    <row r="8603" spans="2:34">
      <c r="B8603" s="2">
        <f ca="1"/>
        <v>0.28961893436477726</v>
      </c>
      <c r="O8603" s="2">
        <f ca="1"/>
        <v>-1.7409608922819599</v>
      </c>
      <c r="X8603" s="2">
        <f ca="1"/>
        <v>50.870116922000854</v>
      </c>
      <c r="AG8603" s="2">
        <f ca="1"/>
        <v>0.38012546973061645</v>
      </c>
      <c r="AH8603" s="2" t="str">
        <f ca="1"/>
        <v>OK</v>
      </c>
    </row>
    <row r="8604" spans="2:34">
      <c r="B8604" s="2">
        <f ca="1"/>
        <v>0.25881229246810422</v>
      </c>
      <c r="O8604" s="2">
        <f ca="1"/>
        <v>-0.4864711394295102</v>
      </c>
      <c r="X8604" s="2">
        <f ca="1"/>
        <v>75.497391460877907</v>
      </c>
      <c r="AG8604" s="2">
        <f ca="1"/>
        <v>0.15055251532752445</v>
      </c>
      <c r="AH8604" s="2" t="str">
        <f ca="1"/>
        <v>OK</v>
      </c>
    </row>
    <row r="8605" spans="2:34">
      <c r="B8605" s="2">
        <f ca="1"/>
        <v>0.28213322814446329</v>
      </c>
      <c r="O8605" s="2">
        <f ca="1"/>
        <v>0.46029342771200227</v>
      </c>
      <c r="X8605" s="2">
        <f ca="1"/>
        <v>34.233337647093286</v>
      </c>
      <c r="AG8605" s="2">
        <f ca="1"/>
        <v>7.2819320566091639E-2</v>
      </c>
      <c r="AH8605" s="2" t="str">
        <f ca="1"/>
        <v>OK</v>
      </c>
    </row>
    <row r="8606" spans="2:34">
      <c r="B8606" s="2">
        <f ca="1"/>
        <v>0.9922571640602309</v>
      </c>
      <c r="O8606" s="2">
        <f ca="1"/>
        <v>1.5008334253027231</v>
      </c>
      <c r="X8606" s="2">
        <f ca="1"/>
        <v>46.643535865917052</v>
      </c>
      <c r="AG8606" s="2">
        <f ca="1"/>
        <v>0.6506940822334546</v>
      </c>
      <c r="AH8606" s="2" t="str">
        <f ca="1"/>
        <v>Bad</v>
      </c>
    </row>
    <row r="8607" spans="2:34">
      <c r="B8607" s="2">
        <f ca="1"/>
        <v>0.5652822694952564</v>
      </c>
      <c r="O8607" s="2">
        <f ca="1"/>
        <v>0.63878877559661118</v>
      </c>
      <c r="X8607" s="2">
        <f ca="1"/>
        <v>57.009137050063849</v>
      </c>
      <c r="AG8607" s="2">
        <f ca="1"/>
        <v>0.45110180711122383</v>
      </c>
      <c r="AH8607" s="2" t="str">
        <f ca="1"/>
        <v>Bad</v>
      </c>
    </row>
    <row r="8608" spans="2:34">
      <c r="B8608" s="2">
        <f ca="1"/>
        <v>0.44125610307138308</v>
      </c>
      <c r="O8608" s="2">
        <f ca="1"/>
        <v>-0.25932961393587195</v>
      </c>
      <c r="X8608" s="2">
        <f ca="1"/>
        <v>50.183064474187631</v>
      </c>
      <c r="AG8608" s="2">
        <f ca="1"/>
        <v>0.39669342557125087</v>
      </c>
      <c r="AH8608" s="2" t="str">
        <f ca="1"/>
        <v>OK</v>
      </c>
    </row>
    <row r="8609" spans="2:34">
      <c r="B8609" s="2">
        <f ca="1"/>
        <v>0.78808421528591532</v>
      </c>
      <c r="O8609" s="2">
        <f ca="1"/>
        <v>1.6293471746844621</v>
      </c>
      <c r="X8609" s="2">
        <f ca="1"/>
        <v>49.612387028247937</v>
      </c>
      <c r="AG8609" s="2">
        <f ca="1"/>
        <v>0.56608902797935645</v>
      </c>
      <c r="AH8609" s="2" t="str">
        <f ca="1"/>
        <v>Bad</v>
      </c>
    </row>
    <row r="8610" spans="2:34">
      <c r="B8610" s="2">
        <f ca="1"/>
        <v>0.65795186825601593</v>
      </c>
      <c r="O8610" s="2">
        <f ca="1"/>
        <v>0.10469175566727509</v>
      </c>
      <c r="X8610" s="2">
        <f ca="1"/>
        <v>46.172773033177151</v>
      </c>
      <c r="AG8610" s="2">
        <f ca="1"/>
        <v>0.36898234942622898</v>
      </c>
      <c r="AH8610" s="2" t="str">
        <f ca="1"/>
        <v>OK</v>
      </c>
    </row>
    <row r="8611" spans="2:34">
      <c r="B8611" s="2">
        <f ca="1"/>
        <v>0.98713554765412881</v>
      </c>
      <c r="O8611" s="2">
        <f ca="1"/>
        <v>0.95056501992933096</v>
      </c>
      <c r="X8611" s="2">
        <f ca="1"/>
        <v>41.601956899847814</v>
      </c>
      <c r="AG8611" s="2">
        <f ca="1"/>
        <v>0.24537410684244731</v>
      </c>
      <c r="AH8611" s="2" t="str">
        <f ca="1"/>
        <v>OK</v>
      </c>
    </row>
    <row r="8612" spans="2:34">
      <c r="B8612" s="2">
        <f ca="1"/>
        <v>0.75455110449182117</v>
      </c>
      <c r="O8612" s="2">
        <f ca="1"/>
        <v>-9.7277183983553853E-2</v>
      </c>
      <c r="X8612" s="2">
        <f ca="1"/>
        <v>16.422098184379365</v>
      </c>
      <c r="AG8612" s="2">
        <f ca="1"/>
        <v>0.52264325748600071</v>
      </c>
      <c r="AH8612" s="2" t="str">
        <f ca="1"/>
        <v>Bad</v>
      </c>
    </row>
    <row r="8613" spans="2:34">
      <c r="B8613" s="2">
        <f ca="1"/>
        <v>0.12144673116950133</v>
      </c>
      <c r="O8613" s="2">
        <f ca="1"/>
        <v>-0.9664933431930407</v>
      </c>
      <c r="X8613" s="2">
        <f ca="1"/>
        <v>51.266056665032764</v>
      </c>
      <c r="AG8613" s="2">
        <f ca="1"/>
        <v>0.83433125903832428</v>
      </c>
      <c r="AH8613" s="2" t="str">
        <f ca="1"/>
        <v>Bad</v>
      </c>
    </row>
    <row r="8614" spans="2:34">
      <c r="B8614" s="2">
        <f ca="1"/>
        <v>0.25511165974565708</v>
      </c>
      <c r="O8614" s="2">
        <f ca="1"/>
        <v>0.16456186300461781</v>
      </c>
      <c r="X8614" s="2">
        <f ca="1"/>
        <v>48.726357768607123</v>
      </c>
      <c r="AG8614" s="2">
        <f ca="1"/>
        <v>0.49975205681812529</v>
      </c>
      <c r="AH8614" s="2" t="str">
        <f ca="1"/>
        <v>Bad</v>
      </c>
    </row>
    <row r="8615" spans="2:34">
      <c r="B8615" s="2">
        <f ca="1"/>
        <v>0.33164650305453747</v>
      </c>
      <c r="O8615" s="2">
        <f ca="1"/>
        <v>0.92839392654489683</v>
      </c>
      <c r="X8615" s="2">
        <f ca="1"/>
        <v>74.083018951450043</v>
      </c>
      <c r="AG8615" s="2">
        <f ca="1"/>
        <v>0.83548229866902712</v>
      </c>
      <c r="AH8615" s="2" t="str">
        <f ca="1"/>
        <v>Bad</v>
      </c>
    </row>
    <row r="8616" spans="2:34">
      <c r="B8616" s="2">
        <f ca="1"/>
        <v>0.92407174451834817</v>
      </c>
      <c r="O8616" s="2">
        <f ca="1"/>
        <v>-1.5688948485144463</v>
      </c>
      <c r="X8616" s="2">
        <f ca="1"/>
        <v>47.083799567644292</v>
      </c>
      <c r="AG8616" s="2">
        <f ca="1"/>
        <v>7.1991531736207204E-2</v>
      </c>
      <c r="AH8616" s="2" t="str">
        <f ca="1"/>
        <v>OK</v>
      </c>
    </row>
    <row r="8617" spans="2:34">
      <c r="B8617" s="2">
        <f ca="1"/>
        <v>0.81888982155160184</v>
      </c>
      <c r="O8617" s="2">
        <f ca="1"/>
        <v>0.35503060402631881</v>
      </c>
      <c r="X8617" s="2">
        <f ca="1"/>
        <v>47.266551913993943</v>
      </c>
      <c r="AG8617" s="2">
        <f ca="1"/>
        <v>0.69091472667236142</v>
      </c>
      <c r="AH8617" s="2" t="str">
        <f ca="1"/>
        <v>Bad</v>
      </c>
    </row>
    <row r="8618" spans="2:34">
      <c r="B8618" s="2">
        <f ca="1"/>
        <v>9.431569813664531E-2</v>
      </c>
      <c r="O8618" s="2">
        <f ca="1"/>
        <v>-0.15724280986092837</v>
      </c>
      <c r="X8618" s="2">
        <f ca="1"/>
        <v>56.520798299429565</v>
      </c>
      <c r="AG8618" s="2">
        <f ca="1"/>
        <v>7.0152958945537192E-2</v>
      </c>
      <c r="AH8618" s="2" t="str">
        <f ca="1"/>
        <v>OK</v>
      </c>
    </row>
    <row r="8619" spans="2:34">
      <c r="B8619" s="2">
        <f ca="1"/>
        <v>0.30176800093365608</v>
      </c>
      <c r="O8619" s="2">
        <f ca="1"/>
        <v>6.1564278819049599E-2</v>
      </c>
      <c r="X8619" s="2">
        <f ca="1"/>
        <v>53.262777303957016</v>
      </c>
      <c r="AG8619" s="2">
        <f ca="1"/>
        <v>0.11429868631469553</v>
      </c>
      <c r="AH8619" s="2" t="str">
        <f ca="1"/>
        <v>OK</v>
      </c>
    </row>
    <row r="8620" spans="2:34">
      <c r="B8620" s="2">
        <f ca="1"/>
        <v>0.89940489018131364</v>
      </c>
      <c r="O8620" s="2">
        <f ca="1"/>
        <v>8.9347577458645425E-2</v>
      </c>
      <c r="X8620" s="2">
        <f ca="1"/>
        <v>77.66582812258244</v>
      </c>
      <c r="AG8620" s="2">
        <f ca="1"/>
        <v>0.73652969184892103</v>
      </c>
      <c r="AH8620" s="2" t="str">
        <f ca="1"/>
        <v>Bad</v>
      </c>
    </row>
    <row r="8621" spans="2:34">
      <c r="B8621" s="2">
        <f ca="1"/>
        <v>0.88487743653190987</v>
      </c>
      <c r="O8621" s="2">
        <f ca="1"/>
        <v>-0.66374194873861336</v>
      </c>
      <c r="X8621" s="2">
        <f ca="1"/>
        <v>55.898504959506177</v>
      </c>
      <c r="AG8621" s="2">
        <f ca="1"/>
        <v>0.39495521430426495</v>
      </c>
      <c r="AH8621" s="2" t="str">
        <f ca="1"/>
        <v>OK</v>
      </c>
    </row>
    <row r="8622" spans="2:34">
      <c r="B8622" s="2">
        <f ca="1"/>
        <v>0.58848995441612839</v>
      </c>
      <c r="O8622" s="2">
        <f ca="1"/>
        <v>3.0506959788280698E-2</v>
      </c>
      <c r="X8622" s="2">
        <f ca="1"/>
        <v>41.332193772940357</v>
      </c>
      <c r="AG8622" s="2">
        <f ca="1"/>
        <v>0.15148031905232129</v>
      </c>
      <c r="AH8622" s="2" t="str">
        <f ca="1"/>
        <v>OK</v>
      </c>
    </row>
    <row r="8623" spans="2:34">
      <c r="B8623" s="2">
        <f ca="1"/>
        <v>0.32250546891310239</v>
      </c>
      <c r="O8623" s="2">
        <f ca="1"/>
        <v>8.0781498131067733E-2</v>
      </c>
      <c r="X8623" s="2">
        <f ca="1"/>
        <v>38.850101282832917</v>
      </c>
      <c r="AG8623" s="2">
        <f ca="1"/>
        <v>7.0269699031580535E-2</v>
      </c>
      <c r="AH8623" s="2" t="str">
        <f ca="1"/>
        <v>OK</v>
      </c>
    </row>
    <row r="8624" spans="2:34">
      <c r="B8624" s="2">
        <f ca="1"/>
        <v>0.24057210570429599</v>
      </c>
      <c r="O8624" s="2">
        <f ca="1"/>
        <v>-1.5836342652353212</v>
      </c>
      <c r="X8624" s="2">
        <f ca="1"/>
        <v>50.959811195395055</v>
      </c>
      <c r="AG8624" s="2">
        <f ca="1"/>
        <v>0.73147046093166157</v>
      </c>
      <c r="AH8624" s="2" t="str">
        <f ca="1"/>
        <v>Bad</v>
      </c>
    </row>
    <row r="8625" spans="2:34">
      <c r="B8625" s="2">
        <f ca="1"/>
        <v>0.33205845207521278</v>
      </c>
      <c r="O8625" s="2">
        <f ca="1"/>
        <v>0.45687480412564258</v>
      </c>
      <c r="X8625" s="2">
        <f ca="1"/>
        <v>53.322332027771282</v>
      </c>
      <c r="AG8625" s="2">
        <f ca="1"/>
        <v>0.8488660717644354</v>
      </c>
      <c r="AH8625" s="2" t="str">
        <f ca="1"/>
        <v>Bad</v>
      </c>
    </row>
    <row r="8626" spans="2:34">
      <c r="B8626" s="2">
        <f ca="1"/>
        <v>0.42557397147361664</v>
      </c>
      <c r="O8626" s="2">
        <f ca="1"/>
        <v>-1.393617920709751</v>
      </c>
      <c r="X8626" s="2">
        <f ca="1"/>
        <v>48.757645844290927</v>
      </c>
      <c r="AG8626" s="2">
        <f ca="1"/>
        <v>0.65331901438081474</v>
      </c>
      <c r="AH8626" s="2" t="str">
        <f ca="1"/>
        <v>Bad</v>
      </c>
    </row>
    <row r="8627" spans="2:34">
      <c r="B8627" s="2">
        <f ca="1"/>
        <v>0.99817592547873568</v>
      </c>
      <c r="O8627" s="2">
        <f ca="1"/>
        <v>0.68305370436252522</v>
      </c>
      <c r="X8627" s="2">
        <f ca="1"/>
        <v>52.861239222741894</v>
      </c>
      <c r="AG8627" s="2">
        <f ca="1"/>
        <v>0.58659779508726939</v>
      </c>
      <c r="AH8627" s="2" t="str">
        <f ca="1"/>
        <v>Bad</v>
      </c>
    </row>
    <row r="8628" spans="2:34">
      <c r="B8628" s="2">
        <f ca="1"/>
        <v>0.59516235116162219</v>
      </c>
      <c r="O8628" s="2">
        <f ca="1"/>
        <v>1.3926175237907825</v>
      </c>
      <c r="X8628" s="2">
        <f ca="1"/>
        <v>47.936091945963533</v>
      </c>
      <c r="AG8628" s="2">
        <f ca="1"/>
        <v>0.77316527826872661</v>
      </c>
      <c r="AH8628" s="2" t="str">
        <f ca="1"/>
        <v>Bad</v>
      </c>
    </row>
    <row r="8629" spans="2:34">
      <c r="B8629" s="2">
        <f ca="1"/>
        <v>0.17962898717920206</v>
      </c>
      <c r="O8629" s="2">
        <f ca="1"/>
        <v>1.3059608011362427</v>
      </c>
      <c r="X8629" s="2">
        <f ca="1"/>
        <v>59.337183932788385</v>
      </c>
      <c r="AG8629" s="2">
        <f ca="1"/>
        <v>0.80985741609762796</v>
      </c>
      <c r="AH8629" s="2" t="str">
        <f ca="1"/>
        <v>Bad</v>
      </c>
    </row>
    <row r="8630" spans="2:34">
      <c r="B8630" s="2">
        <f ca="1"/>
        <v>0.3296129228062068</v>
      </c>
      <c r="O8630" s="2">
        <f ca="1"/>
        <v>-0.43922530880807981</v>
      </c>
      <c r="X8630" s="2">
        <f ca="1"/>
        <v>23.954799691005171</v>
      </c>
      <c r="AG8630" s="2">
        <f ca="1"/>
        <v>3.1057769664570634E-2</v>
      </c>
      <c r="AH8630" s="2" t="str">
        <f ca="1"/>
        <v>Good</v>
      </c>
    </row>
    <row r="8631" spans="2:34">
      <c r="B8631" s="2">
        <f ca="1"/>
        <v>0.46878553076538654</v>
      </c>
      <c r="O8631" s="2">
        <f ca="1"/>
        <v>0.56760411977468395</v>
      </c>
      <c r="X8631" s="2">
        <f ca="1"/>
        <v>53.535209600468683</v>
      </c>
      <c r="AG8631" s="2">
        <f ca="1"/>
        <v>6.6435161488752614E-2</v>
      </c>
      <c r="AH8631" s="2" t="str">
        <f ca="1"/>
        <v>OK</v>
      </c>
    </row>
    <row r="8632" spans="2:34">
      <c r="B8632" s="2">
        <f ca="1"/>
        <v>0.44274581919545031</v>
      </c>
      <c r="O8632" s="2">
        <f ca="1"/>
        <v>-0.87643548201716592</v>
      </c>
      <c r="X8632" s="2">
        <f ca="1"/>
        <v>72.625393462110267</v>
      </c>
      <c r="AG8632" s="2">
        <f ca="1"/>
        <v>3.6437418682675249E-2</v>
      </c>
      <c r="AH8632" s="2" t="str">
        <f ca="1"/>
        <v>Good</v>
      </c>
    </row>
    <row r="8633" spans="2:34">
      <c r="B8633" s="2">
        <f ca="1"/>
        <v>0.48285463689832353</v>
      </c>
      <c r="O8633" s="2">
        <f ca="1"/>
        <v>-1.6505088670966062</v>
      </c>
      <c r="X8633" s="2">
        <f ca="1"/>
        <v>39.4113563593694</v>
      </c>
      <c r="AG8633" s="2">
        <f ca="1"/>
        <v>7.7639787090627355E-2</v>
      </c>
      <c r="AH8633" s="2" t="str">
        <f ca="1"/>
        <v>OK</v>
      </c>
    </row>
    <row r="8634" spans="2:34">
      <c r="B8634" s="2">
        <f ca="1"/>
        <v>7.4927419827991004E-2</v>
      </c>
      <c r="O8634" s="2">
        <f ca="1"/>
        <v>-0.30794412900983931</v>
      </c>
      <c r="X8634" s="2">
        <f ca="1"/>
        <v>49.932058926160884</v>
      </c>
      <c r="AG8634" s="2">
        <f ca="1"/>
        <v>0.81532476148796351</v>
      </c>
      <c r="AH8634" s="2" t="str">
        <f ca="1"/>
        <v>Bad</v>
      </c>
    </row>
    <row r="8635" spans="2:34">
      <c r="B8635" s="2">
        <f ca="1"/>
        <v>0.68886589586540636</v>
      </c>
      <c r="O8635" s="2">
        <f ca="1"/>
        <v>0.11852827622720492</v>
      </c>
      <c r="X8635" s="2">
        <f ca="1"/>
        <v>33.556504786298603</v>
      </c>
      <c r="AG8635" s="2">
        <f ca="1"/>
        <v>0.91326633100240362</v>
      </c>
      <c r="AH8635" s="2" t="str">
        <f ca="1"/>
        <v>Bad</v>
      </c>
    </row>
    <row r="8636" spans="2:34">
      <c r="B8636" s="2">
        <f ca="1"/>
        <v>0.2683307206031722</v>
      </c>
      <c r="O8636" s="2">
        <f ca="1"/>
        <v>-0.10939979222074846</v>
      </c>
      <c r="X8636" s="2">
        <f ca="1"/>
        <v>55.859984814465221</v>
      </c>
      <c r="AG8636" s="2">
        <f ca="1"/>
        <v>0.74253495824775628</v>
      </c>
      <c r="AH8636" s="2" t="str">
        <f ca="1"/>
        <v>Bad</v>
      </c>
    </row>
    <row r="8637" spans="2:34">
      <c r="B8637" s="2">
        <f ca="1"/>
        <v>0.46766018761451522</v>
      </c>
      <c r="O8637" s="2">
        <f ca="1"/>
        <v>1.7160442948530246</v>
      </c>
      <c r="X8637" s="2">
        <f ca="1"/>
        <v>41.452141806085095</v>
      </c>
      <c r="AG8637" s="2">
        <f ca="1"/>
        <v>0.3736087994140147</v>
      </c>
      <c r="AH8637" s="2" t="str">
        <f ca="1"/>
        <v>OK</v>
      </c>
    </row>
    <row r="8638" spans="2:34">
      <c r="B8638" s="2">
        <f ca="1"/>
        <v>0.20332405011994026</v>
      </c>
      <c r="O8638" s="2">
        <f ca="1"/>
        <v>-0.6937808094645177</v>
      </c>
      <c r="X8638" s="2">
        <f ca="1"/>
        <v>52.507942353224053</v>
      </c>
      <c r="AG8638" s="2">
        <f ca="1"/>
        <v>0.8729064772890287</v>
      </c>
      <c r="AH8638" s="2" t="str">
        <f ca="1"/>
        <v>Bad</v>
      </c>
    </row>
    <row r="8639" spans="2:34">
      <c r="B8639" s="2">
        <f ca="1"/>
        <v>0.28197816887700267</v>
      </c>
      <c r="O8639" s="2">
        <f ca="1"/>
        <v>0.40944937927160713</v>
      </c>
      <c r="X8639" s="2">
        <f ca="1"/>
        <v>56.526667046806466</v>
      </c>
      <c r="AG8639" s="2">
        <f ca="1"/>
        <v>0.67103836579679199</v>
      </c>
      <c r="AH8639" s="2" t="str">
        <f ca="1"/>
        <v>Bad</v>
      </c>
    </row>
    <row r="8640" spans="2:34">
      <c r="B8640" s="2">
        <f ca="1"/>
        <v>0.45740883693629009</v>
      </c>
      <c r="O8640" s="2">
        <f ca="1"/>
        <v>0.34311588466201376</v>
      </c>
      <c r="X8640" s="2">
        <f ca="1"/>
        <v>58.82946751387064</v>
      </c>
      <c r="AG8640" s="2">
        <f ca="1"/>
        <v>0.9304490479296168</v>
      </c>
      <c r="AH8640" s="2" t="str">
        <f ca="1"/>
        <v>Bad</v>
      </c>
    </row>
    <row r="8641" spans="2:34">
      <c r="B8641" s="2">
        <f ca="1"/>
        <v>0.62751852855420265</v>
      </c>
      <c r="O8641" s="2">
        <f ca="1"/>
        <v>-1.1156195799181459</v>
      </c>
      <c r="X8641" s="2">
        <f ca="1"/>
        <v>42.82021208206767</v>
      </c>
      <c r="AG8641" s="2">
        <f ca="1"/>
        <v>0.18606592245438769</v>
      </c>
      <c r="AH8641" s="2" t="str">
        <f ca="1"/>
        <v>OK</v>
      </c>
    </row>
    <row r="8642" spans="2:34">
      <c r="B8642" s="2">
        <f ca="1"/>
        <v>0.53542000120253652</v>
      </c>
      <c r="O8642" s="2">
        <f ca="1"/>
        <v>-0.44834197573727091</v>
      </c>
      <c r="X8642" s="2">
        <f ca="1"/>
        <v>60.023908167968692</v>
      </c>
      <c r="AG8642" s="2">
        <f ca="1"/>
        <v>4.8101306717083681E-2</v>
      </c>
      <c r="AH8642" s="2" t="str">
        <f ca="1"/>
        <v>Good</v>
      </c>
    </row>
    <row r="8643" spans="2:34">
      <c r="B8643" s="2">
        <f ca="1"/>
        <v>0.16451259703288956</v>
      </c>
      <c r="O8643" s="2">
        <f ca="1"/>
        <v>0.6200353320766222</v>
      </c>
      <c r="X8643" s="2">
        <f ca="1"/>
        <v>46.321254747491345</v>
      </c>
      <c r="AG8643" s="2">
        <f ca="1"/>
        <v>7.9342644092328385E-3</v>
      </c>
      <c r="AH8643" s="2" t="str">
        <f ca="1"/>
        <v>Good</v>
      </c>
    </row>
    <row r="8644" spans="2:34">
      <c r="B8644" s="2">
        <f ca="1"/>
        <v>0.11333999956864749</v>
      </c>
      <c r="O8644" s="2">
        <f ca="1"/>
        <v>-0.65642731531029075</v>
      </c>
      <c r="X8644" s="2">
        <f ca="1"/>
        <v>40.363772738526308</v>
      </c>
      <c r="AG8644" s="2">
        <f ca="1"/>
        <v>0.1568634473985111</v>
      </c>
      <c r="AH8644" s="2" t="str">
        <f ca="1"/>
        <v>OK</v>
      </c>
    </row>
    <row r="8645" spans="2:34">
      <c r="B8645" s="2">
        <f ca="1"/>
        <v>0.6413017496326523</v>
      </c>
      <c r="O8645" s="2">
        <f ca="1"/>
        <v>0.33479016695786584</v>
      </c>
      <c r="X8645" s="2">
        <f ca="1"/>
        <v>37.387992982841517</v>
      </c>
      <c r="AG8645" s="2">
        <f ca="1"/>
        <v>0.14567078957557178</v>
      </c>
      <c r="AH8645" s="2" t="str">
        <f ca="1"/>
        <v>OK</v>
      </c>
    </row>
    <row r="8646" spans="2:34">
      <c r="B8646" s="2">
        <f ca="1"/>
        <v>0.7867927918857418</v>
      </c>
      <c r="O8646" s="2">
        <f ca="1"/>
        <v>0.26095230607076941</v>
      </c>
      <c r="X8646" s="2">
        <f ca="1"/>
        <v>63.474313554613119</v>
      </c>
      <c r="AG8646" s="2">
        <f ca="1"/>
        <v>0.74709703802753435</v>
      </c>
      <c r="AH8646" s="2" t="str">
        <f ca="1"/>
        <v>Bad</v>
      </c>
    </row>
    <row r="8647" spans="2:34">
      <c r="B8647" s="2">
        <f ca="1"/>
        <v>0.55216226810225</v>
      </c>
      <c r="O8647" s="2">
        <f ca="1"/>
        <v>-1.1188331149543407</v>
      </c>
      <c r="X8647" s="2">
        <f ca="1"/>
        <v>31.707567473793286</v>
      </c>
      <c r="AG8647" s="2">
        <f ca="1"/>
        <v>0.24080506703840587</v>
      </c>
      <c r="AH8647" s="2" t="str">
        <f ca="1"/>
        <v>OK</v>
      </c>
    </row>
    <row r="8648" spans="2:34">
      <c r="B8648" s="2">
        <f ca="1"/>
        <v>0.61242079590740217</v>
      </c>
      <c r="O8648" s="2">
        <f ca="1"/>
        <v>-2.6351537938851342E-3</v>
      </c>
      <c r="X8648" s="2">
        <f ca="1"/>
        <v>40.484900798127718</v>
      </c>
      <c r="AG8648" s="2">
        <f ca="1"/>
        <v>0.81529987257800274</v>
      </c>
      <c r="AH8648" s="2" t="str">
        <f ca="1"/>
        <v>Bad</v>
      </c>
    </row>
    <row r="8649" spans="2:34">
      <c r="B8649" s="2">
        <f ca="1"/>
        <v>3.3798387326816171E-2</v>
      </c>
      <c r="O8649" s="2">
        <f ca="1"/>
        <v>-4.2131023339282555E-3</v>
      </c>
      <c r="X8649" s="2">
        <f ca="1"/>
        <v>38.688764032922158</v>
      </c>
      <c r="AG8649" s="2">
        <f ca="1"/>
        <v>3.8226235459277946E-2</v>
      </c>
      <c r="AH8649" s="2" t="str">
        <f ca="1"/>
        <v>Good</v>
      </c>
    </row>
    <row r="8650" spans="2:34">
      <c r="B8650" s="2">
        <f ca="1"/>
        <v>0.33988505096343724</v>
      </c>
      <c r="O8650" s="2">
        <f ca="1"/>
        <v>-8.780933392143489E-2</v>
      </c>
      <c r="X8650" s="2">
        <f ca="1"/>
        <v>83.515896972448829</v>
      </c>
      <c r="AG8650" s="2">
        <f ca="1"/>
        <v>0.38218648684611622</v>
      </c>
      <c r="AH8650" s="2" t="str">
        <f ca="1"/>
        <v>OK</v>
      </c>
    </row>
    <row r="8651" spans="2:34">
      <c r="B8651" s="2">
        <f ca="1"/>
        <v>0.21377798790621161</v>
      </c>
      <c r="O8651" s="2">
        <f ca="1"/>
        <v>0.44503233818872312</v>
      </c>
      <c r="X8651" s="2">
        <f ca="1"/>
        <v>40.67458234138207</v>
      </c>
      <c r="AG8651" s="2">
        <f ca="1"/>
        <v>0.61862165646394285</v>
      </c>
      <c r="AH8651" s="2" t="str">
        <f ca="1"/>
        <v>Bad</v>
      </c>
    </row>
    <row r="8652" spans="2:34">
      <c r="B8652" s="2">
        <f ca="1"/>
        <v>0.3802820342177673</v>
      </c>
      <c r="O8652" s="2">
        <f ca="1"/>
        <v>1.3312329088710335</v>
      </c>
      <c r="X8652" s="2">
        <f ca="1"/>
        <v>32.526238396919943</v>
      </c>
      <c r="AG8652" s="2">
        <f ca="1"/>
        <v>0.16910259429184826</v>
      </c>
      <c r="AH8652" s="2" t="str">
        <f ca="1"/>
        <v>OK</v>
      </c>
    </row>
    <row r="8653" spans="2:34">
      <c r="B8653" s="2">
        <f ca="1"/>
        <v>0.54359750745110613</v>
      </c>
      <c r="O8653" s="2">
        <f ca="1"/>
        <v>-1.6248527494198954</v>
      </c>
      <c r="X8653" s="2">
        <f ca="1"/>
        <v>38.457558749410971</v>
      </c>
      <c r="AG8653" s="2">
        <f ca="1"/>
        <v>0.85083265324181001</v>
      </c>
      <c r="AH8653" s="2" t="str">
        <f ca="1"/>
        <v>Bad</v>
      </c>
    </row>
    <row r="8654" spans="2:34">
      <c r="B8654" s="2">
        <f ca="1"/>
        <v>0.40081830601627821</v>
      </c>
      <c r="O8654" s="2">
        <f ca="1"/>
        <v>0.94522613126265298</v>
      </c>
      <c r="X8654" s="2">
        <f ca="1"/>
        <v>29.16513705860325</v>
      </c>
      <c r="AG8654" s="2">
        <f ca="1"/>
        <v>0.763954101227726</v>
      </c>
      <c r="AH8654" s="2" t="str">
        <f ca="1"/>
        <v>Bad</v>
      </c>
    </row>
    <row r="8655" spans="2:34">
      <c r="B8655" s="2">
        <f ca="1"/>
        <v>0.97077043415723585</v>
      </c>
      <c r="O8655" s="2">
        <f ca="1"/>
        <v>-0.47058031339668233</v>
      </c>
      <c r="X8655" s="2">
        <f ca="1"/>
        <v>20.463049152361343</v>
      </c>
      <c r="AG8655" s="2">
        <f ca="1"/>
        <v>0.85672921782752876</v>
      </c>
      <c r="AH8655" s="2" t="str">
        <f ca="1"/>
        <v>Bad</v>
      </c>
    </row>
    <row r="8656" spans="2:34">
      <c r="B8656" s="2">
        <f ca="1"/>
        <v>0.25362002296443675</v>
      </c>
      <c r="O8656" s="2">
        <f ca="1"/>
        <v>0.91632966072532351</v>
      </c>
      <c r="X8656" s="2">
        <f ca="1"/>
        <v>76.421041459364659</v>
      </c>
      <c r="AG8656" s="2">
        <f ca="1"/>
        <v>0.85781597446501356</v>
      </c>
      <c r="AH8656" s="2" t="str">
        <f ca="1"/>
        <v>Bad</v>
      </c>
    </row>
    <row r="8657" spans="2:34">
      <c r="B8657" s="2">
        <f ca="1"/>
        <v>0.21636811916658583</v>
      </c>
      <c r="O8657" s="2">
        <f ca="1"/>
        <v>0.78642748847793686</v>
      </c>
      <c r="X8657" s="2">
        <f ca="1"/>
        <v>44.960204244143057</v>
      </c>
      <c r="AG8657" s="2">
        <f ca="1"/>
        <v>0.71077603068413286</v>
      </c>
      <c r="AH8657" s="2" t="str">
        <f ca="1"/>
        <v>Bad</v>
      </c>
    </row>
    <row r="8658" spans="2:34">
      <c r="B8658" s="2">
        <f ca="1"/>
        <v>0.68726357337661681</v>
      </c>
      <c r="O8658" s="2">
        <f ca="1"/>
        <v>1.3420786245809966</v>
      </c>
      <c r="X8658" s="2">
        <f ca="1"/>
        <v>43.398714302447765</v>
      </c>
      <c r="AG8658" s="2">
        <f ca="1"/>
        <v>0.16567380511901275</v>
      </c>
      <c r="AH8658" s="2" t="str">
        <f ca="1"/>
        <v>OK</v>
      </c>
    </row>
    <row r="8659" spans="2:34">
      <c r="B8659" s="2">
        <f ca="1"/>
        <v>0.95706627160874413</v>
      </c>
      <c r="O8659" s="2">
        <f ca="1"/>
        <v>0.99227609291968966</v>
      </c>
      <c r="X8659" s="2">
        <f ca="1"/>
        <v>34.877763766174361</v>
      </c>
      <c r="AG8659" s="2">
        <f ca="1"/>
        <v>0.37595879302376778</v>
      </c>
      <c r="AH8659" s="2" t="str">
        <f ca="1"/>
        <v>OK</v>
      </c>
    </row>
    <row r="8660" spans="2:34">
      <c r="B8660" s="2">
        <f ca="1"/>
        <v>0.74681337652220448</v>
      </c>
      <c r="O8660" s="2">
        <f ca="1"/>
        <v>1.283911606031489</v>
      </c>
      <c r="X8660" s="2">
        <f ca="1"/>
        <v>48.399009867307868</v>
      </c>
      <c r="AG8660" s="2">
        <f ca="1"/>
        <v>0.78942346595024282</v>
      </c>
      <c r="AH8660" s="2" t="str">
        <f ca="1"/>
        <v>Bad</v>
      </c>
    </row>
    <row r="8661" spans="2:34">
      <c r="B8661" s="2">
        <f ca="1"/>
        <v>0.20824397233030068</v>
      </c>
      <c r="O8661" s="2">
        <f ca="1"/>
        <v>0.3623420291885886</v>
      </c>
      <c r="X8661" s="2">
        <f ca="1"/>
        <v>58.310164327703603</v>
      </c>
      <c r="AG8661" s="2">
        <f ca="1"/>
        <v>0.81374163750792761</v>
      </c>
      <c r="AH8661" s="2" t="str">
        <f ca="1"/>
        <v>Bad</v>
      </c>
    </row>
    <row r="8662" spans="2:34">
      <c r="B8662" s="2">
        <f ca="1"/>
        <v>0.91155073675915488</v>
      </c>
      <c r="O8662" s="2">
        <f ca="1"/>
        <v>-7.82939021632542E-2</v>
      </c>
      <c r="X8662" s="2">
        <f ca="1"/>
        <v>31.592367866048949</v>
      </c>
      <c r="AG8662" s="2">
        <f ca="1"/>
        <v>0.62917029046383988</v>
      </c>
      <c r="AH8662" s="2" t="str">
        <f ca="1"/>
        <v>Bad</v>
      </c>
    </row>
    <row r="8663" spans="2:34">
      <c r="B8663" s="2">
        <f ca="1"/>
        <v>0.80631148922469387</v>
      </c>
      <c r="O8663" s="2">
        <f ca="1"/>
        <v>-0.75312593929679339</v>
      </c>
      <c r="X8663" s="2">
        <f ca="1"/>
        <v>32.340374067231046</v>
      </c>
      <c r="AG8663" s="2">
        <f ca="1"/>
        <v>0.3730787183892339</v>
      </c>
      <c r="AH8663" s="2" t="str">
        <f ca="1"/>
        <v>OK</v>
      </c>
    </row>
    <row r="8664" spans="2:34">
      <c r="B8664" s="2">
        <f ca="1"/>
        <v>0.81900767730429247</v>
      </c>
      <c r="O8664" s="2">
        <f ca="1"/>
        <v>-1.9055332987280573</v>
      </c>
      <c r="X8664" s="2">
        <f ca="1"/>
        <v>56.287805480512162</v>
      </c>
      <c r="AG8664" s="2">
        <f ca="1"/>
        <v>0.89338214816916262</v>
      </c>
      <c r="AH8664" s="2" t="str">
        <f ca="1"/>
        <v>Bad</v>
      </c>
    </row>
    <row r="8665" spans="2:34">
      <c r="B8665" s="2">
        <f ca="1"/>
        <v>0.86284428386628331</v>
      </c>
      <c r="O8665" s="2">
        <f ca="1"/>
        <v>0.99046641595701268</v>
      </c>
      <c r="X8665" s="2">
        <f ca="1"/>
        <v>35.185023778853342</v>
      </c>
      <c r="AG8665" s="2">
        <f ca="1"/>
        <v>0.87348179044173446</v>
      </c>
      <c r="AH8665" s="2" t="str">
        <f ca="1"/>
        <v>Bad</v>
      </c>
    </row>
    <row r="8666" spans="2:34">
      <c r="B8666" s="2">
        <f ca="1"/>
        <v>0.70379923318998472</v>
      </c>
      <c r="O8666" s="2">
        <f ca="1"/>
        <v>-3.5342886538686634E-2</v>
      </c>
      <c r="X8666" s="2">
        <f ca="1"/>
        <v>62.860535220327456</v>
      </c>
      <c r="AG8666" s="2">
        <f ca="1"/>
        <v>0.36304188251988911</v>
      </c>
      <c r="AH8666" s="2" t="str">
        <f ca="1"/>
        <v>OK</v>
      </c>
    </row>
    <row r="8667" spans="2:34">
      <c r="B8667" s="2">
        <f ca="1"/>
        <v>5.6904795429029598E-2</v>
      </c>
      <c r="O8667" s="2">
        <f ca="1"/>
        <v>0.15560224228877115</v>
      </c>
      <c r="X8667" s="2">
        <f ca="1"/>
        <v>43.401363638578715</v>
      </c>
      <c r="AG8667" s="2">
        <f ca="1"/>
        <v>0.83196597113808046</v>
      </c>
      <c r="AH8667" s="2" t="str">
        <f ca="1"/>
        <v>Bad</v>
      </c>
    </row>
    <row r="8668" spans="2:34">
      <c r="B8668" s="2">
        <f ca="1"/>
        <v>7.6396911145413027E-2</v>
      </c>
      <c r="O8668" s="2">
        <f ca="1"/>
        <v>2.1915523826120586</v>
      </c>
      <c r="X8668" s="2">
        <f ca="1"/>
        <v>22.665154589597151</v>
      </c>
      <c r="AG8668" s="2">
        <f ca="1"/>
        <v>0.67750256140833653</v>
      </c>
      <c r="AH8668" s="2" t="str">
        <f ca="1"/>
        <v>Bad</v>
      </c>
    </row>
    <row r="8669" spans="2:34">
      <c r="B8669" s="2">
        <f ca="1"/>
        <v>0.85934494499607794</v>
      </c>
      <c r="O8669" s="2">
        <f ca="1"/>
        <v>-1.5191486740251916</v>
      </c>
      <c r="X8669" s="2">
        <f ca="1"/>
        <v>46.795745845182935</v>
      </c>
      <c r="AG8669" s="2">
        <f ca="1"/>
        <v>0.4513185269767841</v>
      </c>
      <c r="AH8669" s="2" t="str">
        <f ca="1"/>
        <v>Bad</v>
      </c>
    </row>
    <row r="8670" spans="2:34">
      <c r="B8670" s="2">
        <f ca="1"/>
        <v>0.8352468004485194</v>
      </c>
      <c r="O8670" s="2">
        <f ca="1"/>
        <v>1.1156938653449877</v>
      </c>
      <c r="X8670" s="2">
        <f ca="1"/>
        <v>51.482781885496244</v>
      </c>
      <c r="AG8670" s="2">
        <f ca="1"/>
        <v>0.63326397083658281</v>
      </c>
      <c r="AH8670" s="2" t="str">
        <f ca="1"/>
        <v>Bad</v>
      </c>
    </row>
    <row r="8671" spans="2:34">
      <c r="B8671" s="2">
        <f ca="1"/>
        <v>0.9370622548475116</v>
      </c>
      <c r="O8671" s="2">
        <f ca="1"/>
        <v>7.4065966032621652E-2</v>
      </c>
      <c r="X8671" s="2">
        <f ca="1"/>
        <v>35.907432995816848</v>
      </c>
      <c r="AG8671" s="2">
        <f ca="1"/>
        <v>0.51974879924484041</v>
      </c>
      <c r="AH8671" s="2" t="str">
        <f ca="1"/>
        <v>Bad</v>
      </c>
    </row>
    <row r="8672" spans="2:34">
      <c r="B8672" s="2">
        <f ca="1"/>
        <v>0.31043460130490952</v>
      </c>
      <c r="O8672" s="2">
        <f ca="1"/>
        <v>-0.5527725493336777</v>
      </c>
      <c r="X8672" s="2">
        <f ca="1"/>
        <v>33.722597708066949</v>
      </c>
      <c r="AG8672" s="2">
        <f ca="1"/>
        <v>7.2324430888167424E-2</v>
      </c>
      <c r="AH8672" s="2" t="str">
        <f ca="1"/>
        <v>OK</v>
      </c>
    </row>
    <row r="8673" spans="2:34">
      <c r="B8673" s="2">
        <f ca="1"/>
        <v>0.86916910508757073</v>
      </c>
      <c r="O8673" s="2">
        <f ca="1"/>
        <v>-0.95413216296207637</v>
      </c>
      <c r="X8673" s="2">
        <f ca="1"/>
        <v>57.104367358768641</v>
      </c>
      <c r="AG8673" s="2">
        <f ca="1"/>
        <v>0.10885527359913438</v>
      </c>
      <c r="AH8673" s="2" t="str">
        <f ca="1"/>
        <v>OK</v>
      </c>
    </row>
    <row r="8674" spans="2:34">
      <c r="B8674" s="2">
        <f ca="1"/>
        <v>0.51780093170671893</v>
      </c>
      <c r="O8674" s="2">
        <f ca="1"/>
        <v>0.41510423853624095</v>
      </c>
      <c r="X8674" s="2">
        <f ca="1"/>
        <v>54.224662861276222</v>
      </c>
      <c r="AG8674" s="2">
        <f ca="1"/>
        <v>0.22645785199080914</v>
      </c>
      <c r="AH8674" s="2" t="str">
        <f ca="1"/>
        <v>OK</v>
      </c>
    </row>
    <row r="8675" spans="2:34">
      <c r="B8675" s="2">
        <f ca="1"/>
        <v>0.77691669923828632</v>
      </c>
      <c r="O8675" s="2">
        <f ca="1"/>
        <v>-0.61206070971949789</v>
      </c>
      <c r="X8675" s="2">
        <f ca="1"/>
        <v>58.061084437452017</v>
      </c>
      <c r="AG8675" s="2">
        <f ca="1"/>
        <v>0.7525861855473468</v>
      </c>
      <c r="AH8675" s="2" t="str">
        <f ca="1"/>
        <v>Bad</v>
      </c>
    </row>
    <row r="8676" spans="2:34">
      <c r="B8676" s="2">
        <f ca="1"/>
        <v>0.39110706068356738</v>
      </c>
      <c r="O8676" s="2">
        <f ca="1"/>
        <v>0.11315856049051302</v>
      </c>
      <c r="X8676" s="2">
        <f ca="1"/>
        <v>80.461664853226878</v>
      </c>
      <c r="AG8676" s="2">
        <f ca="1"/>
        <v>0.23200036240594435</v>
      </c>
      <c r="AH8676" s="2" t="str">
        <f ca="1"/>
        <v>OK</v>
      </c>
    </row>
    <row r="8677" spans="2:34">
      <c r="B8677" s="2">
        <f ca="1"/>
        <v>0.59041073366509367</v>
      </c>
      <c r="O8677" s="2">
        <f ca="1"/>
        <v>-2.2476327658846591</v>
      </c>
      <c r="X8677" s="2">
        <f ca="1"/>
        <v>42.900041560254124</v>
      </c>
      <c r="AG8677" s="2">
        <f ca="1"/>
        <v>0.33894113791519143</v>
      </c>
      <c r="AH8677" s="2" t="str">
        <f ca="1"/>
        <v>OK</v>
      </c>
    </row>
    <row r="8678" spans="2:34">
      <c r="B8678" s="2">
        <f ca="1"/>
        <v>0.56616394862782826</v>
      </c>
      <c r="O8678" s="2">
        <f ca="1"/>
        <v>-1.0600497648537629E-2</v>
      </c>
      <c r="X8678" s="2">
        <f ca="1"/>
        <v>61.277762324915813</v>
      </c>
      <c r="AG8678" s="2">
        <f ca="1"/>
        <v>8.1274832539433906E-2</v>
      </c>
      <c r="AH8678" s="2" t="str">
        <f ca="1"/>
        <v>OK</v>
      </c>
    </row>
    <row r="8679" spans="2:34">
      <c r="B8679" s="2">
        <f ca="1"/>
        <v>0.14432845037990871</v>
      </c>
      <c r="O8679" s="2">
        <f ca="1"/>
        <v>-0.13687139525423048</v>
      </c>
      <c r="X8679" s="2">
        <f ca="1"/>
        <v>64.405075320879746</v>
      </c>
      <c r="AG8679" s="2">
        <f ca="1"/>
        <v>8.7026740041720396E-2</v>
      </c>
      <c r="AH8679" s="2" t="str">
        <f ca="1"/>
        <v>OK</v>
      </c>
    </row>
    <row r="8680" spans="2:34">
      <c r="B8680" s="2">
        <f ca="1"/>
        <v>0.17364313413789345</v>
      </c>
      <c r="O8680" s="2">
        <f ca="1"/>
        <v>-0.53591390636824177</v>
      </c>
      <c r="X8680" s="2">
        <f ca="1"/>
        <v>67.797053341246723</v>
      </c>
      <c r="AG8680" s="2">
        <f ca="1"/>
        <v>0.29359386221666628</v>
      </c>
      <c r="AH8680" s="2" t="str">
        <f ca="1"/>
        <v>OK</v>
      </c>
    </row>
    <row r="8681" spans="2:34">
      <c r="B8681" s="2">
        <f ca="1"/>
        <v>0.32445219768902467</v>
      </c>
      <c r="O8681" s="2">
        <f ca="1"/>
        <v>0.37043985611586133</v>
      </c>
      <c r="X8681" s="2">
        <f ca="1"/>
        <v>29.195512304405852</v>
      </c>
      <c r="AG8681" s="2">
        <f ca="1"/>
        <v>0.52713349682149002</v>
      </c>
      <c r="AH8681" s="2" t="str">
        <f ca="1"/>
        <v>Bad</v>
      </c>
    </row>
    <row r="8682" spans="2:34">
      <c r="B8682" s="2">
        <f ca="1"/>
        <v>0.46646137729050152</v>
      </c>
      <c r="O8682" s="2">
        <f ca="1"/>
        <v>0.65614041207502349</v>
      </c>
      <c r="X8682" s="2">
        <f ca="1"/>
        <v>37.674827681276312</v>
      </c>
      <c r="AG8682" s="2">
        <f ca="1"/>
        <v>0.79641828125575609</v>
      </c>
      <c r="AH8682" s="2" t="str">
        <f ca="1"/>
        <v>Bad</v>
      </c>
    </row>
    <row r="8683" spans="2:34">
      <c r="B8683" s="2">
        <f ca="1"/>
        <v>0.89286628239254529</v>
      </c>
      <c r="O8683" s="2">
        <f ca="1"/>
        <v>5.445188786939633E-2</v>
      </c>
      <c r="X8683" s="2">
        <f ca="1"/>
        <v>42.340402158989257</v>
      </c>
      <c r="AG8683" s="2">
        <f ca="1"/>
        <v>0.88905232097659659</v>
      </c>
      <c r="AH8683" s="2" t="str">
        <f ca="1"/>
        <v>Bad</v>
      </c>
    </row>
    <row r="8684" spans="2:34">
      <c r="B8684" s="2">
        <f ca="1"/>
        <v>0.55395001208683792</v>
      </c>
      <c r="O8684" s="2">
        <f ca="1"/>
        <v>0.5574074628143576</v>
      </c>
      <c r="X8684" s="2">
        <f ca="1"/>
        <v>27.879628057021396</v>
      </c>
      <c r="AG8684" s="2">
        <f ca="1"/>
        <v>0.54674383027640516</v>
      </c>
      <c r="AH8684" s="2" t="str">
        <f ca="1"/>
        <v>Bad</v>
      </c>
    </row>
    <row r="8685" spans="2:34">
      <c r="B8685" s="2">
        <f ca="1"/>
        <v>0.5545837767278623</v>
      </c>
      <c r="O8685" s="2">
        <f ca="1"/>
        <v>-0.13762370246965358</v>
      </c>
      <c r="X8685" s="2">
        <f ca="1"/>
        <v>36.358599709807528</v>
      </c>
      <c r="AG8685" s="2">
        <f ca="1"/>
        <v>0.84457360021720906</v>
      </c>
      <c r="AH8685" s="2" t="str">
        <f ca="1"/>
        <v>Bad</v>
      </c>
    </row>
    <row r="8686" spans="2:34">
      <c r="B8686" s="2">
        <f ca="1"/>
        <v>0.55602130210951284</v>
      </c>
      <c r="O8686" s="2">
        <f ca="1"/>
        <v>1.0502841963938427</v>
      </c>
      <c r="X8686" s="2">
        <f ca="1"/>
        <v>44.270406842453227</v>
      </c>
      <c r="AG8686" s="2">
        <f ca="1"/>
        <v>0.90990976291898629</v>
      </c>
      <c r="AH8686" s="2" t="str">
        <f ca="1"/>
        <v>Bad</v>
      </c>
    </row>
    <row r="8687" spans="2:34">
      <c r="B8687" s="2">
        <f ca="1"/>
        <v>0.2064429000925676</v>
      </c>
      <c r="O8687" s="2">
        <f ca="1"/>
        <v>-0.18335335817155476</v>
      </c>
      <c r="X8687" s="2">
        <f ca="1"/>
        <v>32.856485028885729</v>
      </c>
      <c r="AG8687" s="2">
        <f ca="1"/>
        <v>0.85491861234459843</v>
      </c>
      <c r="AH8687" s="2" t="str">
        <f ca="1"/>
        <v>Bad</v>
      </c>
    </row>
    <row r="8688" spans="2:34">
      <c r="B8688" s="2">
        <f ca="1"/>
        <v>0.86329118393429716</v>
      </c>
      <c r="O8688" s="2">
        <f ca="1"/>
        <v>1.20426558957758</v>
      </c>
      <c r="X8688" s="2">
        <f ca="1"/>
        <v>37.310448625035221</v>
      </c>
      <c r="AG8688" s="2">
        <f ca="1"/>
        <v>0.41329808068415308</v>
      </c>
      <c r="AH8688" s="2" t="str">
        <f ca="1"/>
        <v>Bad</v>
      </c>
    </row>
    <row r="8689" spans="2:34">
      <c r="B8689" s="2">
        <f ca="1"/>
        <v>1.3568730079205116E-2</v>
      </c>
      <c r="O8689" s="2">
        <f ca="1"/>
        <v>-1.9303178410993369</v>
      </c>
      <c r="X8689" s="2">
        <f ca="1"/>
        <v>44.123059852475578</v>
      </c>
      <c r="AG8689" s="2">
        <f ca="1"/>
        <v>0.41515031998926011</v>
      </c>
      <c r="AH8689" s="2" t="str">
        <f ca="1"/>
        <v>Bad</v>
      </c>
    </row>
    <row r="8690" spans="2:34">
      <c r="B8690" s="2">
        <f ca="1"/>
        <v>0.9954835549113723</v>
      </c>
      <c r="O8690" s="2">
        <f ca="1"/>
        <v>-1.2062310245187211</v>
      </c>
      <c r="X8690" s="2">
        <f ca="1"/>
        <v>52.81824061967923</v>
      </c>
      <c r="AG8690" s="2">
        <f ca="1"/>
        <v>0.50359319628907295</v>
      </c>
      <c r="AH8690" s="2" t="str">
        <f ca="1"/>
        <v>Bad</v>
      </c>
    </row>
    <row r="8691" spans="2:34">
      <c r="B8691" s="2">
        <f ca="1"/>
        <v>0.80476210687786098</v>
      </c>
      <c r="O8691" s="2">
        <f ca="1"/>
        <v>-1.0784794430014137</v>
      </c>
      <c r="X8691" s="2">
        <f ca="1"/>
        <v>58.209357514373266</v>
      </c>
      <c r="AG8691" s="2">
        <f ca="1"/>
        <v>0.53972347820563549</v>
      </c>
      <c r="AH8691" s="2" t="str">
        <f ca="1"/>
        <v>Bad</v>
      </c>
    </row>
    <row r="8692" spans="2:34">
      <c r="B8692" s="2">
        <f ca="1"/>
        <v>0.22523405327435064</v>
      </c>
      <c r="O8692" s="2">
        <f ca="1"/>
        <v>-0.94836187497233004</v>
      </c>
      <c r="X8692" s="2">
        <f ca="1"/>
        <v>36.596957436015778</v>
      </c>
      <c r="AG8692" s="2">
        <f ca="1"/>
        <v>0.34800874656809433</v>
      </c>
      <c r="AH8692" s="2" t="str">
        <f ca="1"/>
        <v>OK</v>
      </c>
    </row>
    <row r="8693" spans="2:34">
      <c r="B8693" s="2">
        <f ca="1"/>
        <v>0.19381860354608871</v>
      </c>
      <c r="O8693" s="2">
        <f ca="1"/>
        <v>0.68432228007118645</v>
      </c>
      <c r="X8693" s="2">
        <f ca="1"/>
        <v>38.420609886087178</v>
      </c>
      <c r="AG8693" s="2">
        <f ca="1"/>
        <v>8.7184836376504649E-2</v>
      </c>
      <c r="AH8693" s="2" t="str">
        <f ca="1"/>
        <v>OK</v>
      </c>
    </row>
    <row r="8694" spans="2:34">
      <c r="B8694" s="2">
        <f ca="1"/>
        <v>0.2792441809214703</v>
      </c>
      <c r="O8694" s="2">
        <f ca="1"/>
        <v>-1.0454478156285911</v>
      </c>
      <c r="X8694" s="2">
        <f ca="1"/>
        <v>44.931922013401106</v>
      </c>
      <c r="AG8694" s="2">
        <f ca="1"/>
        <v>0.57703171727570357</v>
      </c>
      <c r="AH8694" s="2" t="str">
        <f ca="1"/>
        <v>Bad</v>
      </c>
    </row>
    <row r="8695" spans="2:34">
      <c r="B8695" s="2">
        <f ca="1"/>
        <v>0.77095318674280833</v>
      </c>
      <c r="O8695" s="2">
        <f ca="1"/>
        <v>1.9431344720513659</v>
      </c>
      <c r="X8695" s="2">
        <f ca="1"/>
        <v>56.382018152022518</v>
      </c>
      <c r="AG8695" s="2">
        <f ca="1"/>
        <v>3.8750634413026397E-2</v>
      </c>
      <c r="AH8695" s="2" t="str">
        <f ca="1"/>
        <v>Good</v>
      </c>
    </row>
    <row r="8696" spans="2:34">
      <c r="B8696" s="2">
        <f ca="1"/>
        <v>0.7014770293926933</v>
      </c>
      <c r="O8696" s="2">
        <f ca="1"/>
        <v>0.54716434993835628</v>
      </c>
      <c r="X8696" s="2">
        <f ca="1"/>
        <v>49.158304704299894</v>
      </c>
      <c r="AG8696" s="2">
        <f ca="1"/>
        <v>0.41082876633666188</v>
      </c>
      <c r="AH8696" s="2" t="str">
        <f ca="1"/>
        <v>Bad</v>
      </c>
    </row>
    <row r="8697" spans="2:34">
      <c r="B8697" s="2">
        <f ca="1"/>
        <v>0.54274938472930012</v>
      </c>
      <c r="O8697" s="2">
        <f ca="1"/>
        <v>-0.1306133810711877</v>
      </c>
      <c r="X8697" s="2">
        <f ca="1"/>
        <v>42.869164019240486</v>
      </c>
      <c r="AG8697" s="2">
        <f ca="1"/>
        <v>0.36728279153170162</v>
      </c>
      <c r="AH8697" s="2" t="str">
        <f ca="1"/>
        <v>OK</v>
      </c>
    </row>
    <row r="8698" spans="2:34">
      <c r="B8698" s="2">
        <f ca="1"/>
        <v>0.11530766589995478</v>
      </c>
      <c r="O8698" s="2">
        <f ca="1"/>
        <v>-1.3873342380416434</v>
      </c>
      <c r="X8698" s="2">
        <f ca="1"/>
        <v>30.080101229756202</v>
      </c>
      <c r="AG8698" s="2">
        <f ca="1"/>
        <v>0.31389636544510946</v>
      </c>
      <c r="AH8698" s="2" t="str">
        <f ca="1"/>
        <v>OK</v>
      </c>
    </row>
    <row r="8699" spans="2:34">
      <c r="B8699" s="2">
        <f ca="1"/>
        <v>0.92244619617421675</v>
      </c>
      <c r="O8699" s="2">
        <f ca="1"/>
        <v>0.11869819604939003</v>
      </c>
      <c r="X8699" s="2">
        <f ca="1"/>
        <v>43.950655414507473</v>
      </c>
      <c r="AG8699" s="2">
        <f ca="1"/>
        <v>1.3933775239545643E-2</v>
      </c>
      <c r="AH8699" s="2" t="str">
        <f ca="1"/>
        <v>Good</v>
      </c>
    </row>
    <row r="8700" spans="2:34">
      <c r="B8700" s="2">
        <f ca="1"/>
        <v>0.84373469154384262</v>
      </c>
      <c r="O8700" s="2">
        <f ca="1"/>
        <v>0.70438493505754518</v>
      </c>
      <c r="X8700" s="2">
        <f ca="1"/>
        <v>30.145530001532983</v>
      </c>
      <c r="AG8700" s="2">
        <f ca="1"/>
        <v>0.5007720402067084</v>
      </c>
      <c r="AH8700" s="2" t="str">
        <f ca="1"/>
        <v>Bad</v>
      </c>
    </row>
    <row r="8701" spans="2:34">
      <c r="B8701" s="2">
        <f ca="1"/>
        <v>0.12158370122182838</v>
      </c>
      <c r="O8701" s="2">
        <f ca="1"/>
        <v>0.23389154375986912</v>
      </c>
      <c r="X8701" s="2">
        <f ca="1"/>
        <v>48.42660640525078</v>
      </c>
      <c r="AG8701" s="2">
        <f ca="1"/>
        <v>8.9431740596978671E-2</v>
      </c>
      <c r="AH8701" s="2" t="str">
        <f ca="1"/>
        <v>OK</v>
      </c>
    </row>
    <row r="8702" spans="2:34">
      <c r="B8702" s="2">
        <f ca="1"/>
        <v>0.31859737525783816</v>
      </c>
      <c r="O8702" s="2">
        <f ca="1"/>
        <v>0.26366696449951915</v>
      </c>
      <c r="X8702" s="2">
        <f ca="1"/>
        <v>57.102832783130644</v>
      </c>
      <c r="AG8702" s="2">
        <f ca="1"/>
        <v>3.8949401882116153E-2</v>
      </c>
      <c r="AH8702" s="2" t="str">
        <f ca="1"/>
        <v>Good</v>
      </c>
    </row>
    <row r="8703" spans="2:34">
      <c r="B8703" s="2">
        <f ca="1"/>
        <v>0.83620909920751751</v>
      </c>
      <c r="O8703" s="2">
        <f ca="1"/>
        <v>1.1808731183230763</v>
      </c>
      <c r="X8703" s="2">
        <f ca="1"/>
        <v>30.559679197323458</v>
      </c>
      <c r="AG8703" s="2">
        <f ca="1"/>
        <v>0.45922645636204096</v>
      </c>
      <c r="AH8703" s="2" t="str">
        <f ca="1"/>
        <v>Bad</v>
      </c>
    </row>
    <row r="8704" spans="2:34">
      <c r="B8704" s="2">
        <f ca="1"/>
        <v>0.28882791816432429</v>
      </c>
      <c r="O8704" s="2">
        <f ca="1"/>
        <v>-0.88703220807561811</v>
      </c>
      <c r="X8704" s="2">
        <f ca="1"/>
        <v>58.582883449474721</v>
      </c>
      <c r="AG8704" s="2">
        <f ca="1"/>
        <v>0.8682495956039622</v>
      </c>
      <c r="AH8704" s="2" t="str">
        <f ca="1"/>
        <v>Bad</v>
      </c>
    </row>
    <row r="8705" spans="2:34">
      <c r="B8705" s="2">
        <f ca="1"/>
        <v>0.65733623446382694</v>
      </c>
      <c r="O8705" s="2">
        <f ca="1"/>
        <v>-0.2838170598080566</v>
      </c>
      <c r="X8705" s="2">
        <f ca="1"/>
        <v>54.308517611461085</v>
      </c>
      <c r="AG8705" s="2">
        <f ca="1"/>
        <v>0.53212194785974121</v>
      </c>
      <c r="AH8705" s="2" t="str">
        <f ca="1"/>
        <v>Bad</v>
      </c>
    </row>
    <row r="8706" spans="2:34">
      <c r="B8706" s="2">
        <f ca="1"/>
        <v>0.12973581786803901</v>
      </c>
      <c r="O8706" s="2">
        <f ca="1"/>
        <v>-8.5077114730819151E-2</v>
      </c>
      <c r="X8706" s="2">
        <f ca="1"/>
        <v>57.882507397266636</v>
      </c>
      <c r="AG8706" s="2">
        <f ca="1"/>
        <v>0.16937505255104979</v>
      </c>
      <c r="AH8706" s="2" t="str">
        <f ca="1"/>
        <v>OK</v>
      </c>
    </row>
    <row r="8707" spans="2:34">
      <c r="B8707" s="2">
        <f ca="1"/>
        <v>0.90936730110475028</v>
      </c>
      <c r="O8707" s="2">
        <f ca="1"/>
        <v>-1.9671065794092994</v>
      </c>
      <c r="X8707" s="2">
        <f ca="1"/>
        <v>59.608741244057477</v>
      </c>
      <c r="AG8707" s="2">
        <f ca="1"/>
        <v>0.76519374757683045</v>
      </c>
      <c r="AH8707" s="2" t="str">
        <f ca="1"/>
        <v>Bad</v>
      </c>
    </row>
    <row r="8708" spans="2:34">
      <c r="B8708" s="2">
        <f ca="1"/>
        <v>0.90937757326801827</v>
      </c>
      <c r="O8708" s="2">
        <f ca="1"/>
        <v>1.4556550343294175</v>
      </c>
      <c r="X8708" s="2">
        <f ca="1"/>
        <v>46.714258247004267</v>
      </c>
      <c r="AG8708" s="2">
        <f ca="1"/>
        <v>0.69246801992589924</v>
      </c>
      <c r="AH8708" s="2" t="str">
        <f ca="1"/>
        <v>Bad</v>
      </c>
    </row>
    <row r="8709" spans="2:34">
      <c r="B8709" s="2">
        <f ca="1"/>
        <v>0.24301020578429644</v>
      </c>
      <c r="O8709" s="2">
        <f ca="1"/>
        <v>1.3676108124048731</v>
      </c>
      <c r="X8709" s="2">
        <f ca="1"/>
        <v>55.07792931079814</v>
      </c>
      <c r="AG8709" s="2">
        <f ca="1"/>
        <v>0.86391938332452756</v>
      </c>
      <c r="AH8709" s="2" t="str">
        <f ca="1"/>
        <v>Bad</v>
      </c>
    </row>
    <row r="8710" spans="2:34">
      <c r="B8710" s="2">
        <f ca="1"/>
        <v>0.52294665250737071</v>
      </c>
      <c r="O8710" s="2">
        <f ca="1"/>
        <v>-1.5060171987739537</v>
      </c>
      <c r="X8710" s="2">
        <f ca="1"/>
        <v>85.228543472100711</v>
      </c>
      <c r="AG8710" s="2">
        <f ca="1"/>
        <v>0.33711284087249416</v>
      </c>
      <c r="AH8710" s="2" t="str">
        <f ca="1"/>
        <v>OK</v>
      </c>
    </row>
    <row r="8711" spans="2:34">
      <c r="B8711" s="2">
        <f ca="1"/>
        <v>0.82600923388390557</v>
      </c>
      <c r="O8711" s="2">
        <f ca="1"/>
        <v>0.17886721036629535</v>
      </c>
      <c r="X8711" s="2">
        <f ca="1"/>
        <v>58.856815740010461</v>
      </c>
      <c r="AG8711" s="2">
        <f ca="1"/>
        <v>0.11110354444584392</v>
      </c>
      <c r="AH8711" s="2" t="str">
        <f ca="1"/>
        <v>OK</v>
      </c>
    </row>
    <row r="8712" spans="2:34">
      <c r="B8712" s="2">
        <f ca="1"/>
        <v>2.7337340748706751E-2</v>
      </c>
      <c r="O8712" s="2">
        <f ca="1"/>
        <v>1.5283644289219189</v>
      </c>
      <c r="X8712" s="2">
        <f ca="1"/>
        <v>47.782245252015549</v>
      </c>
      <c r="AG8712" s="2">
        <f ca="1"/>
        <v>0.69406945864437808</v>
      </c>
      <c r="AH8712" s="2" t="str">
        <f ca="1"/>
        <v>Bad</v>
      </c>
    </row>
    <row r="8713" spans="2:34">
      <c r="B8713" s="2">
        <f ca="1"/>
        <v>0.61047928014842334</v>
      </c>
      <c r="O8713" s="2">
        <f ca="1"/>
        <v>-1.4193715859467333</v>
      </c>
      <c r="X8713" s="2">
        <f ca="1"/>
        <v>83.927719840018241</v>
      </c>
      <c r="AG8713" s="2">
        <f ca="1"/>
        <v>2.9283919367773859E-2</v>
      </c>
      <c r="AH8713" s="2" t="str">
        <f ca="1"/>
        <v>Good</v>
      </c>
    </row>
    <row r="8714" spans="2:34">
      <c r="B8714" s="2">
        <f ca="1"/>
        <v>0.15834899695649951</v>
      </c>
      <c r="O8714" s="2">
        <f ca="1"/>
        <v>-0.14807209285480855</v>
      </c>
      <c r="X8714" s="2">
        <f ca="1"/>
        <v>28.693502732405772</v>
      </c>
      <c r="AG8714" s="2">
        <f ca="1"/>
        <v>0.52391665518404573</v>
      </c>
      <c r="AH8714" s="2" t="str">
        <f ca="1"/>
        <v>Bad</v>
      </c>
    </row>
    <row r="8715" spans="2:34">
      <c r="B8715" s="2">
        <f ca="1"/>
        <v>0.22533999524507808</v>
      </c>
      <c r="O8715" s="2">
        <f ca="1"/>
        <v>0.28489705959616191</v>
      </c>
      <c r="X8715" s="2">
        <f ca="1"/>
        <v>78.486748338964702</v>
      </c>
      <c r="AG8715" s="2">
        <f ca="1"/>
        <v>0.25015729186232316</v>
      </c>
      <c r="AH8715" s="2" t="str">
        <f ca="1"/>
        <v>OK</v>
      </c>
    </row>
    <row r="8716" spans="2:34">
      <c r="B8716" s="2">
        <f ca="1"/>
        <v>0.16707298923138958</v>
      </c>
      <c r="O8716" s="2">
        <f ca="1"/>
        <v>-0.18171732565638055</v>
      </c>
      <c r="X8716" s="2">
        <f ca="1"/>
        <v>51.516784621959701</v>
      </c>
      <c r="AG8716" s="2">
        <f ca="1"/>
        <v>0.5012561863053262</v>
      </c>
      <c r="AH8716" s="2" t="str">
        <f ca="1"/>
        <v>Bad</v>
      </c>
    </row>
    <row r="8717" spans="2:34">
      <c r="B8717" s="2">
        <f ca="1"/>
        <v>0.20785183122943351</v>
      </c>
      <c r="O8717" s="2">
        <f ca="1"/>
        <v>0.48175608267580666</v>
      </c>
      <c r="X8717" s="2">
        <f ca="1"/>
        <v>55.639321082606976</v>
      </c>
      <c r="AG8717" s="2">
        <f ca="1"/>
        <v>0.29513806803298737</v>
      </c>
      <c r="AH8717" s="2" t="str">
        <f ca="1"/>
        <v>OK</v>
      </c>
    </row>
    <row r="8718" spans="2:34">
      <c r="B8718" s="2">
        <f ca="1"/>
        <v>0.43409019031454532</v>
      </c>
      <c r="O8718" s="2">
        <f ca="1"/>
        <v>2.2737284654583201</v>
      </c>
      <c r="X8718" s="2">
        <f ca="1"/>
        <v>53.053928719985365</v>
      </c>
      <c r="AG8718" s="2">
        <f ca="1"/>
        <v>0.6061676849054507</v>
      </c>
      <c r="AH8718" s="2" t="str">
        <f ca="1"/>
        <v>Bad</v>
      </c>
    </row>
    <row r="8719" spans="2:34">
      <c r="B8719" s="2">
        <f ca="1"/>
        <v>0.38101405767791441</v>
      </c>
      <c r="O8719" s="2">
        <f ca="1"/>
        <v>0.37798842412211392</v>
      </c>
      <c r="X8719" s="2">
        <f ca="1"/>
        <v>40.30821091870245</v>
      </c>
      <c r="AG8719" s="2">
        <f ca="1"/>
        <v>0.44203207263352895</v>
      </c>
      <c r="AH8719" s="2" t="str">
        <f ca="1"/>
        <v>Bad</v>
      </c>
    </row>
    <row r="8720" spans="2:34">
      <c r="B8720" s="2">
        <f ca="1"/>
        <v>0.42319386019013527</v>
      </c>
      <c r="O8720" s="2">
        <f ca="1"/>
        <v>-6.9280501064605968E-2</v>
      </c>
      <c r="X8720" s="2">
        <f ca="1"/>
        <v>52.830227232531939</v>
      </c>
      <c r="AG8720" s="2">
        <f ca="1"/>
        <v>0.29497183643189118</v>
      </c>
      <c r="AH8720" s="2" t="str">
        <f ca="1"/>
        <v>OK</v>
      </c>
    </row>
    <row r="8721" spans="2:34">
      <c r="B8721" s="2">
        <f ca="1"/>
        <v>1.9545865142697183E-2</v>
      </c>
      <c r="O8721" s="2">
        <f ca="1"/>
        <v>-0.5874078029290889</v>
      </c>
      <c r="X8721" s="2">
        <f ca="1"/>
        <v>56.477714988673561</v>
      </c>
      <c r="AG8721" s="2">
        <f ca="1"/>
        <v>0.33990425410658287</v>
      </c>
      <c r="AH8721" s="2" t="str">
        <f ca="1"/>
        <v>OK</v>
      </c>
    </row>
    <row r="8722" spans="2:34">
      <c r="B8722" s="2">
        <f ca="1"/>
        <v>4.2429830299886451E-2</v>
      </c>
      <c r="O8722" s="2">
        <f ca="1"/>
        <v>5.1489241005363583E-2</v>
      </c>
      <c r="X8722" s="2">
        <f ca="1"/>
        <v>20.819273554583553</v>
      </c>
      <c r="AG8722" s="2">
        <f ca="1"/>
        <v>0.60875962442741893</v>
      </c>
      <c r="AH8722" s="2" t="str">
        <f ca="1"/>
        <v>Bad</v>
      </c>
    </row>
    <row r="8723" spans="2:34">
      <c r="B8723" s="2">
        <f ca="1"/>
        <v>0.30753392376938904</v>
      </c>
      <c r="O8723" s="2">
        <f ca="1"/>
        <v>-0.74598802743126358</v>
      </c>
      <c r="X8723" s="2">
        <f ca="1"/>
        <v>50.104682230574156</v>
      </c>
      <c r="AG8723" s="2">
        <f ca="1"/>
        <v>0.51348514027044523</v>
      </c>
      <c r="AH8723" s="2" t="str">
        <f ca="1"/>
        <v>Bad</v>
      </c>
    </row>
    <row r="8724" spans="2:34">
      <c r="B8724" s="2">
        <f ca="1"/>
        <v>0.16718197150274494</v>
      </c>
      <c r="O8724" s="2">
        <f ca="1"/>
        <v>1.5053757871013842</v>
      </c>
      <c r="X8724" s="2">
        <f ca="1"/>
        <v>71.313199393274175</v>
      </c>
      <c r="AG8724" s="2">
        <f ca="1"/>
        <v>0.78711325016427125</v>
      </c>
      <c r="AH8724" s="2" t="str">
        <f ca="1"/>
        <v>Bad</v>
      </c>
    </row>
    <row r="8725" spans="2:34">
      <c r="B8725" s="2">
        <f ca="1"/>
        <v>0.69607660450850428</v>
      </c>
      <c r="O8725" s="2">
        <f ca="1"/>
        <v>-2.5627649814819642</v>
      </c>
      <c r="X8725" s="2">
        <f ca="1"/>
        <v>56.243355980620692</v>
      </c>
      <c r="AG8725" s="2">
        <f ca="1"/>
        <v>0.37094922969170963</v>
      </c>
      <c r="AH8725" s="2" t="str">
        <f ca="1"/>
        <v>OK</v>
      </c>
    </row>
    <row r="8726" spans="2:34">
      <c r="B8726" s="2">
        <f ca="1"/>
        <v>0.76644134729274849</v>
      </c>
      <c r="O8726" s="2">
        <f ca="1"/>
        <v>0.4423491832763129</v>
      </c>
      <c r="X8726" s="2">
        <f ca="1"/>
        <v>26.832436719585978</v>
      </c>
      <c r="AG8726" s="2">
        <f ca="1"/>
        <v>0.85552165952984427</v>
      </c>
      <c r="AH8726" s="2" t="str">
        <f ca="1"/>
        <v>Bad</v>
      </c>
    </row>
    <row r="8727" spans="2:34">
      <c r="B8727" s="2">
        <f ca="1"/>
        <v>0.25721421887018803</v>
      </c>
      <c r="O8727" s="2">
        <f ca="1"/>
        <v>-0.10311099256901289</v>
      </c>
      <c r="X8727" s="2">
        <f ca="1"/>
        <v>71.883681427305703</v>
      </c>
      <c r="AG8727" s="2">
        <f ca="1"/>
        <v>0.93370761094775157</v>
      </c>
      <c r="AH8727" s="2" t="str">
        <f ca="1"/>
        <v>Bad</v>
      </c>
    </row>
    <row r="8728" spans="2:34">
      <c r="B8728" s="2">
        <f ca="1"/>
        <v>0.78405670297595842</v>
      </c>
      <c r="O8728" s="2">
        <f ca="1"/>
        <v>-0.6565480937764685</v>
      </c>
      <c r="X8728" s="2">
        <f ca="1"/>
        <v>44.36203892982833</v>
      </c>
      <c r="AG8728" s="2">
        <f ca="1"/>
        <v>0.57363044377674077</v>
      </c>
      <c r="AH8728" s="2" t="str">
        <f ca="1"/>
        <v>Bad</v>
      </c>
    </row>
    <row r="8729" spans="2:34">
      <c r="B8729" s="2">
        <f ca="1"/>
        <v>0.96051728099669287</v>
      </c>
      <c r="O8729" s="2">
        <f ca="1"/>
        <v>-0.84796254177583719</v>
      </c>
      <c r="X8729" s="2">
        <f ca="1"/>
        <v>36.455314291990078</v>
      </c>
      <c r="AG8729" s="2">
        <f ca="1"/>
        <v>0.9310527033252054</v>
      </c>
      <c r="AH8729" s="2" t="str">
        <f ca="1"/>
        <v>Bad</v>
      </c>
    </row>
    <row r="8730" spans="2:34">
      <c r="B8730" s="2">
        <f ca="1"/>
        <v>0.66219330633166096</v>
      </c>
      <c r="O8730" s="2">
        <f ca="1"/>
        <v>-7.3332446861975736E-2</v>
      </c>
      <c r="X8730" s="2">
        <f ca="1"/>
        <v>48.639102821997042</v>
      </c>
      <c r="AG8730" s="2">
        <f ca="1"/>
        <v>0.37184275129005995</v>
      </c>
      <c r="AH8730" s="2" t="str">
        <f ca="1"/>
        <v>OK</v>
      </c>
    </row>
    <row r="8731" spans="2:34">
      <c r="B8731" s="2">
        <f ca="1"/>
        <v>0.7560972445341223</v>
      </c>
      <c r="O8731" s="2">
        <f ca="1"/>
        <v>-0.55650431433803549</v>
      </c>
      <c r="X8731" s="2">
        <f ca="1"/>
        <v>46.339606617376809</v>
      </c>
      <c r="AG8731" s="2">
        <f ca="1"/>
        <v>0.47871957938755494</v>
      </c>
      <c r="AH8731" s="2" t="str">
        <f ca="1"/>
        <v>Bad</v>
      </c>
    </row>
    <row r="8732" spans="2:34">
      <c r="B8732" s="2">
        <f ca="1"/>
        <v>4.3041997151138656E-2</v>
      </c>
      <c r="O8732" s="2">
        <f ca="1"/>
        <v>0.20731713239219554</v>
      </c>
      <c r="X8732" s="2">
        <f ca="1"/>
        <v>52.800392463032004</v>
      </c>
      <c r="AG8732" s="2">
        <f ca="1"/>
        <v>0.33316463289801823</v>
      </c>
      <c r="AH8732" s="2" t="str">
        <f ca="1"/>
        <v>OK</v>
      </c>
    </row>
    <row r="8733" spans="2:34">
      <c r="B8733" s="2">
        <f ca="1"/>
        <v>0.83535723454488386</v>
      </c>
      <c r="O8733" s="2">
        <f ca="1"/>
        <v>1.7484633690413347</v>
      </c>
      <c r="X8733" s="2">
        <f ca="1"/>
        <v>86.075603685954206</v>
      </c>
      <c r="AG8733" s="2">
        <f ca="1"/>
        <v>0.62518152595392928</v>
      </c>
      <c r="AH8733" s="2" t="str">
        <f ca="1"/>
        <v>Bad</v>
      </c>
    </row>
    <row r="8734" spans="2:34">
      <c r="B8734" s="2">
        <f ca="1"/>
        <v>0.61943888545802306</v>
      </c>
      <c r="O8734" s="2">
        <f ca="1"/>
        <v>2.8594296321624826E-2</v>
      </c>
      <c r="X8734" s="2">
        <f ca="1"/>
        <v>51.015120918004648</v>
      </c>
      <c r="AG8734" s="2">
        <f ca="1"/>
        <v>0.82361421744051566</v>
      </c>
      <c r="AH8734" s="2" t="str">
        <f ca="1"/>
        <v>Bad</v>
      </c>
    </row>
    <row r="8735" spans="2:34">
      <c r="B8735" s="2">
        <f ca="1"/>
        <v>0.89403313350798452</v>
      </c>
      <c r="O8735" s="2">
        <f ca="1"/>
        <v>-2.1334885772371384</v>
      </c>
      <c r="X8735" s="2">
        <f ca="1"/>
        <v>39.204173844310674</v>
      </c>
      <c r="AG8735" s="2">
        <f ca="1"/>
        <v>0.4049183528479452</v>
      </c>
      <c r="AH8735" s="2" t="str">
        <f ca="1"/>
        <v>Bad</v>
      </c>
    </row>
    <row r="8736" spans="2:34">
      <c r="B8736" s="2">
        <f ca="1"/>
        <v>0.36752179137722862</v>
      </c>
      <c r="O8736" s="2">
        <f ca="1"/>
        <v>1.795589349344723</v>
      </c>
      <c r="X8736" s="2">
        <f ca="1"/>
        <v>43.392538695332583</v>
      </c>
      <c r="AG8736" s="2">
        <f ca="1"/>
        <v>7.7343844623497748E-2</v>
      </c>
      <c r="AH8736" s="2" t="str">
        <f ca="1"/>
        <v>OK</v>
      </c>
    </row>
    <row r="8737" spans="2:34">
      <c r="B8737" s="2">
        <f ca="1"/>
        <v>0.48896243568636555</v>
      </c>
      <c r="O8737" s="2">
        <f ca="1"/>
        <v>-0.37430960774332078</v>
      </c>
      <c r="X8737" s="2">
        <f ca="1"/>
        <v>23.153101096368893</v>
      </c>
      <c r="AG8737" s="2">
        <f ca="1"/>
        <v>0.76201840107101737</v>
      </c>
      <c r="AH8737" s="2" t="str">
        <f ca="1"/>
        <v>Bad</v>
      </c>
    </row>
    <row r="8738" spans="2:34">
      <c r="B8738" s="2">
        <f ca="1"/>
        <v>0.54671528358076249</v>
      </c>
      <c r="O8738" s="2">
        <f ca="1"/>
        <v>-1.0911373405521281</v>
      </c>
      <c r="X8738" s="2">
        <f ca="1"/>
        <v>17.396651543591307</v>
      </c>
      <c r="AG8738" s="2">
        <f ca="1"/>
        <v>3.2144837834363615E-2</v>
      </c>
      <c r="AH8738" s="2" t="str">
        <f ca="1"/>
        <v>Good</v>
      </c>
    </row>
    <row r="8739" spans="2:34">
      <c r="B8739" s="2">
        <f ca="1"/>
        <v>0.12921142248394535</v>
      </c>
      <c r="O8739" s="2">
        <f ca="1"/>
        <v>-0.17425862302634509</v>
      </c>
      <c r="X8739" s="2">
        <f ca="1"/>
        <v>47.534922795441446</v>
      </c>
      <c r="AG8739" s="2">
        <f ca="1"/>
        <v>0.74430437649934822</v>
      </c>
      <c r="AH8739" s="2" t="str">
        <f ca="1"/>
        <v>Bad</v>
      </c>
    </row>
    <row r="8740" spans="2:34">
      <c r="B8740" s="2">
        <f ca="1"/>
        <v>0.72237222243352051</v>
      </c>
      <c r="O8740" s="2">
        <f ca="1"/>
        <v>-0.22197099013808849</v>
      </c>
      <c r="X8740" s="2">
        <f ca="1"/>
        <v>39.682251994759106</v>
      </c>
      <c r="AG8740" s="2">
        <f ca="1"/>
        <v>0.83922222052525597</v>
      </c>
      <c r="AH8740" s="2" t="str">
        <f ca="1"/>
        <v>Bad</v>
      </c>
    </row>
    <row r="8741" spans="2:34">
      <c r="B8741" s="2">
        <f ca="1"/>
        <v>7.1581237194774383E-2</v>
      </c>
      <c r="O8741" s="2">
        <f ca="1"/>
        <v>-0.32922415331329657</v>
      </c>
      <c r="X8741" s="2">
        <f ca="1"/>
        <v>53.618294284547872</v>
      </c>
      <c r="AG8741" s="2">
        <f ca="1"/>
        <v>0.50338273122155242</v>
      </c>
      <c r="AH8741" s="2" t="str">
        <f ca="1"/>
        <v>Bad</v>
      </c>
    </row>
    <row r="8742" spans="2:34">
      <c r="B8742" s="2">
        <f ca="1"/>
        <v>0.3079054173431699</v>
      </c>
      <c r="O8742" s="2">
        <f ca="1"/>
        <v>-0.42744512239358406</v>
      </c>
      <c r="X8742" s="2">
        <f ca="1"/>
        <v>57.085420480847901</v>
      </c>
      <c r="AG8742" s="2">
        <f ca="1"/>
        <v>0.62427001245100788</v>
      </c>
      <c r="AH8742" s="2" t="str">
        <f ca="1"/>
        <v>Bad</v>
      </c>
    </row>
    <row r="8743" spans="2:34">
      <c r="B8743" s="2">
        <f ca="1"/>
        <v>0.98502544837403327</v>
      </c>
      <c r="O8743" s="2">
        <f ca="1"/>
        <v>-1.097808005924382</v>
      </c>
      <c r="X8743" s="2">
        <f ca="1"/>
        <v>51.383754177872902</v>
      </c>
      <c r="AG8743" s="2">
        <f ca="1"/>
        <v>0.99402589169929012</v>
      </c>
      <c r="AH8743" s="2" t="str">
        <f ca="1"/>
        <v>Bad</v>
      </c>
    </row>
    <row r="8744" spans="2:34">
      <c r="B8744" s="2">
        <f ca="1"/>
        <v>0.9946710600960702</v>
      </c>
      <c r="O8744" s="2">
        <f ca="1"/>
        <v>-0.7467771821745447</v>
      </c>
      <c r="X8744" s="2">
        <f ca="1"/>
        <v>37.717117249504696</v>
      </c>
      <c r="AG8744" s="2">
        <f ca="1"/>
        <v>0.36707395136242948</v>
      </c>
      <c r="AH8744" s="2" t="str">
        <f ca="1"/>
        <v>OK</v>
      </c>
    </row>
    <row r="8745" spans="2:34">
      <c r="B8745" s="2">
        <f ca="1"/>
        <v>0.94779596331441684</v>
      </c>
      <c r="O8745" s="2">
        <f ca="1"/>
        <v>0.99059100041494474</v>
      </c>
      <c r="X8745" s="2">
        <f ca="1"/>
        <v>48.71091518230898</v>
      </c>
      <c r="AG8745" s="2">
        <f ca="1"/>
        <v>0.66869420236206412</v>
      </c>
      <c r="AH8745" s="2" t="str">
        <f ca="1"/>
        <v>Bad</v>
      </c>
    </row>
    <row r="8746" spans="2:34">
      <c r="B8746" s="2">
        <f ca="1"/>
        <v>0.43578361738881677</v>
      </c>
      <c r="O8746" s="2">
        <f ca="1"/>
        <v>0.42301366482574132</v>
      </c>
      <c r="X8746" s="2">
        <f ca="1"/>
        <v>62.92254940207556</v>
      </c>
      <c r="AG8746" s="2">
        <f ca="1"/>
        <v>0.20152512208528783</v>
      </c>
      <c r="AH8746" s="2" t="str">
        <f ca="1"/>
        <v>OK</v>
      </c>
    </row>
    <row r="8747" spans="2:34">
      <c r="B8747" s="2">
        <f ca="1"/>
        <v>0.58740785742495749</v>
      </c>
      <c r="O8747" s="2">
        <f ca="1"/>
        <v>-0.31993352134819786</v>
      </c>
      <c r="X8747" s="2">
        <f ca="1"/>
        <v>47.120132744946083</v>
      </c>
      <c r="AG8747" s="2">
        <f ca="1"/>
        <v>0.46325083758124008</v>
      </c>
      <c r="AH8747" s="2" t="str">
        <f ca="1"/>
        <v>Bad</v>
      </c>
    </row>
    <row r="8748" spans="2:34">
      <c r="B8748" s="2">
        <f ca="1"/>
        <v>1.1234919372693941E-2</v>
      </c>
      <c r="O8748" s="2">
        <f ca="1"/>
        <v>1.2503967943570047</v>
      </c>
      <c r="X8748" s="2">
        <f ca="1"/>
        <v>45.803230077263677</v>
      </c>
      <c r="AG8748" s="2">
        <f ca="1"/>
        <v>0.59808502799500274</v>
      </c>
      <c r="AH8748" s="2" t="str">
        <f ca="1"/>
        <v>Bad</v>
      </c>
    </row>
    <row r="8749" spans="2:34">
      <c r="B8749" s="2">
        <f ca="1"/>
        <v>0.54252835522796117</v>
      </c>
      <c r="O8749" s="2">
        <f ca="1"/>
        <v>-0.33468409484349304</v>
      </c>
      <c r="X8749" s="2">
        <f ca="1"/>
        <v>50.59127252829925</v>
      </c>
      <c r="AG8749" s="2">
        <f ca="1"/>
        <v>0.12182529785299034</v>
      </c>
      <c r="AH8749" s="2" t="str">
        <f ca="1"/>
        <v>OK</v>
      </c>
    </row>
    <row r="8750" spans="2:34">
      <c r="B8750" s="2">
        <f ca="1"/>
        <v>0.43338395868017066</v>
      </c>
      <c r="O8750" s="2">
        <f ca="1"/>
        <v>0.12112048595618587</v>
      </c>
      <c r="X8750" s="2">
        <f ca="1"/>
        <v>78.137556786707464</v>
      </c>
      <c r="AG8750" s="2">
        <f ca="1"/>
        <v>0.22288400042774392</v>
      </c>
      <c r="AH8750" s="2" t="str">
        <f ca="1"/>
        <v>OK</v>
      </c>
    </row>
    <row r="8751" spans="2:34">
      <c r="B8751" s="2">
        <f ca="1"/>
        <v>0.47499459874252259</v>
      </c>
      <c r="O8751" s="2">
        <f ca="1"/>
        <v>-1.276385882115576</v>
      </c>
      <c r="X8751" s="2">
        <f ca="1"/>
        <v>10.09594525342802</v>
      </c>
      <c r="AG8751" s="2">
        <f ca="1"/>
        <v>0.34803173116260688</v>
      </c>
      <c r="AH8751" s="2" t="str">
        <f ca="1"/>
        <v>OK</v>
      </c>
    </row>
    <row r="8752" spans="2:34">
      <c r="B8752" s="2">
        <f ca="1"/>
        <v>0.4550058228265923</v>
      </c>
      <c r="O8752" s="2">
        <f ca="1"/>
        <v>-5.5856597149716539E-2</v>
      </c>
      <c r="X8752" s="2">
        <f ca="1"/>
        <v>24.365611808954061</v>
      </c>
      <c r="AG8752" s="2">
        <f ca="1"/>
        <v>0.35903285216758052</v>
      </c>
      <c r="AH8752" s="2" t="str">
        <f ca="1"/>
        <v>OK</v>
      </c>
    </row>
    <row r="8753" spans="2:34">
      <c r="B8753" s="2">
        <f ca="1"/>
        <v>0.51277740714848319</v>
      </c>
      <c r="O8753" s="2">
        <f ca="1"/>
        <v>0.70969563038160322</v>
      </c>
      <c r="X8753" s="2">
        <f ca="1"/>
        <v>80.063753992320159</v>
      </c>
      <c r="AG8753" s="2">
        <f ca="1"/>
        <v>0.41005472972483981</v>
      </c>
      <c r="AH8753" s="2" t="str">
        <f ca="1"/>
        <v>Bad</v>
      </c>
    </row>
    <row r="8754" spans="2:34">
      <c r="B8754" s="2">
        <f ca="1"/>
        <v>0.19756419529914115</v>
      </c>
      <c r="O8754" s="2">
        <f ca="1"/>
        <v>-1.0472470958213767</v>
      </c>
      <c r="X8754" s="2">
        <f ca="1"/>
        <v>37.001709721968872</v>
      </c>
      <c r="AG8754" s="2">
        <f ca="1"/>
        <v>0.56440086386002375</v>
      </c>
      <c r="AH8754" s="2" t="str">
        <f ca="1"/>
        <v>Bad</v>
      </c>
    </row>
    <row r="8755" spans="2:34">
      <c r="B8755" s="2">
        <f ca="1"/>
        <v>7.7869311214291415E-2</v>
      </c>
      <c r="O8755" s="2">
        <f ca="1"/>
        <v>-8.1312575224093395E-2</v>
      </c>
      <c r="X8755" s="2">
        <f ca="1"/>
        <v>44.154103846454817</v>
      </c>
      <c r="AG8755" s="2">
        <f ca="1"/>
        <v>0.44840758593280206</v>
      </c>
      <c r="AH8755" s="2" t="str">
        <f ca="1"/>
        <v>Bad</v>
      </c>
    </row>
    <row r="8756" spans="2:34">
      <c r="B8756" s="2">
        <f ca="1"/>
        <v>0.22202293594854061</v>
      </c>
      <c r="O8756" s="2">
        <f ca="1"/>
        <v>1.2554115641312029</v>
      </c>
      <c r="X8756" s="2">
        <f ca="1"/>
        <v>53.743305614216588</v>
      </c>
      <c r="AG8756" s="2">
        <f ca="1"/>
        <v>0.24713811478020054</v>
      </c>
      <c r="AH8756" s="2" t="str">
        <f ca="1"/>
        <v>OK</v>
      </c>
    </row>
    <row r="8757" spans="2:34">
      <c r="B8757" s="2">
        <f ca="1"/>
        <v>0.10864981546032504</v>
      </c>
      <c r="O8757" s="2">
        <f ca="1"/>
        <v>-3.0519480422886215E-3</v>
      </c>
      <c r="X8757" s="2">
        <f ca="1"/>
        <v>43.941907286432389</v>
      </c>
      <c r="AG8757" s="2">
        <f ca="1"/>
        <v>0.41030421687948304</v>
      </c>
      <c r="AH8757" s="2" t="str">
        <f ca="1"/>
        <v>Bad</v>
      </c>
    </row>
    <row r="8758" spans="2:34">
      <c r="B8758" s="2">
        <f ca="1"/>
        <v>0.71225728467906069</v>
      </c>
      <c r="O8758" s="2">
        <f ca="1"/>
        <v>0.12794091646708783</v>
      </c>
      <c r="X8758" s="2">
        <f ca="1"/>
        <v>51.947897444264498</v>
      </c>
      <c r="AG8758" s="2">
        <f ca="1"/>
        <v>0.80817119000440263</v>
      </c>
      <c r="AH8758" s="2" t="str">
        <f ca="1"/>
        <v>Bad</v>
      </c>
    </row>
    <row r="8759" spans="2:34">
      <c r="B8759" s="2">
        <f ca="1"/>
        <v>0.61026996951663515</v>
      </c>
      <c r="O8759" s="2">
        <f ca="1"/>
        <v>0.24060325475239616</v>
      </c>
      <c r="X8759" s="2">
        <f ca="1"/>
        <v>32.58782933695705</v>
      </c>
      <c r="AG8759" s="2">
        <f ca="1"/>
        <v>0.24056226826533655</v>
      </c>
      <c r="AH8759" s="2" t="str">
        <f ca="1"/>
        <v>OK</v>
      </c>
    </row>
    <row r="8760" spans="2:34">
      <c r="B8760" s="2">
        <f ca="1"/>
        <v>0.47939502905064568</v>
      </c>
      <c r="O8760" s="2">
        <f ca="1"/>
        <v>-0.92978823498202656</v>
      </c>
      <c r="X8760" s="2">
        <f ca="1"/>
        <v>64.928005257899954</v>
      </c>
      <c r="AG8760" s="2">
        <f ca="1"/>
        <v>0.12513954048552223</v>
      </c>
      <c r="AH8760" s="2" t="str">
        <f ca="1"/>
        <v>OK</v>
      </c>
    </row>
    <row r="8761" spans="2:34">
      <c r="B8761" s="2">
        <f ca="1"/>
        <v>0.6577544778142177</v>
      </c>
      <c r="O8761" s="2">
        <f ca="1"/>
        <v>0.25396550418875458</v>
      </c>
      <c r="X8761" s="2">
        <f ca="1"/>
        <v>63.183360459146563</v>
      </c>
      <c r="AG8761" s="2">
        <f ca="1"/>
        <v>0.12984849029216061</v>
      </c>
      <c r="AH8761" s="2" t="str">
        <f ca="1"/>
        <v>OK</v>
      </c>
    </row>
    <row r="8762" spans="2:34">
      <c r="B8762" s="2">
        <f ca="1"/>
        <v>0.30985622736070462</v>
      </c>
      <c r="O8762" s="2">
        <f ca="1"/>
        <v>0.2218815342393102</v>
      </c>
      <c r="X8762" s="2">
        <f ca="1"/>
        <v>30.800489681353682</v>
      </c>
      <c r="AG8762" s="2">
        <f ca="1"/>
        <v>0.59917640482714241</v>
      </c>
      <c r="AH8762" s="2" t="str">
        <f ca="1"/>
        <v>Bad</v>
      </c>
    </row>
    <row r="8763" spans="2:34">
      <c r="B8763" s="2">
        <f ca="1"/>
        <v>0.88618967554710393</v>
      </c>
      <c r="O8763" s="2">
        <f ca="1"/>
        <v>0.10685113244618868</v>
      </c>
      <c r="X8763" s="2">
        <f ca="1"/>
        <v>85.009192410312721</v>
      </c>
      <c r="AG8763" s="2">
        <f ca="1"/>
        <v>0.69752538494001337</v>
      </c>
      <c r="AH8763" s="2" t="str">
        <f ca="1"/>
        <v>Bad</v>
      </c>
    </row>
    <row r="8764" spans="2:34">
      <c r="B8764" s="2">
        <f ca="1"/>
        <v>0.43305202812743882</v>
      </c>
      <c r="O8764" s="2">
        <f ca="1"/>
        <v>-0.74095622319739818</v>
      </c>
      <c r="X8764" s="2">
        <f ca="1"/>
        <v>51.924198011590086</v>
      </c>
      <c r="AG8764" s="2">
        <f ca="1"/>
        <v>0.86831580090576344</v>
      </c>
      <c r="AH8764" s="2" t="str">
        <f ca="1"/>
        <v>Bad</v>
      </c>
    </row>
    <row r="8765" spans="2:34">
      <c r="B8765" s="2">
        <f ca="1"/>
        <v>0.48019125942192376</v>
      </c>
      <c r="O8765" s="2">
        <f ca="1"/>
        <v>2.0019940877323623E-2</v>
      </c>
      <c r="X8765" s="2">
        <f ca="1"/>
        <v>66.773581679082199</v>
      </c>
      <c r="AG8765" s="2">
        <f ca="1"/>
        <v>0.92487316804267672</v>
      </c>
      <c r="AH8765" s="2" t="str">
        <f ca="1"/>
        <v>Bad</v>
      </c>
    </row>
    <row r="8766" spans="2:34">
      <c r="B8766" s="2">
        <f ca="1"/>
        <v>0.51992572262564951</v>
      </c>
      <c r="O8766" s="2">
        <f ca="1"/>
        <v>-0.34934877920492896</v>
      </c>
      <c r="X8766" s="2">
        <f ca="1"/>
        <v>29.722474270489279</v>
      </c>
      <c r="AG8766" s="2">
        <f ca="1"/>
        <v>0.59803606565355749</v>
      </c>
      <c r="AH8766" s="2" t="str">
        <f ca="1"/>
        <v>Bad</v>
      </c>
    </row>
    <row r="8767" spans="2:34">
      <c r="B8767" s="2">
        <f ca="1"/>
        <v>0.20250778413968784</v>
      </c>
      <c r="O8767" s="2">
        <f ca="1"/>
        <v>-1.2261582219638465</v>
      </c>
      <c r="X8767" s="2">
        <f ca="1"/>
        <v>76.96501623356815</v>
      </c>
      <c r="AG8767" s="2">
        <f ca="1"/>
        <v>0.2081129645147235</v>
      </c>
      <c r="AH8767" s="2" t="str">
        <f ca="1"/>
        <v>OK</v>
      </c>
    </row>
    <row r="8768" spans="2:34">
      <c r="B8768" s="2">
        <f ca="1"/>
        <v>0.70621555754352827</v>
      </c>
      <c r="O8768" s="2">
        <f ca="1"/>
        <v>0.84272831758509981</v>
      </c>
      <c r="X8768" s="2">
        <f ca="1"/>
        <v>40.746442319035623</v>
      </c>
      <c r="AG8768" s="2">
        <f ca="1"/>
        <v>0.45660381407118678</v>
      </c>
      <c r="AH8768" s="2" t="str">
        <f ca="1"/>
        <v>Bad</v>
      </c>
    </row>
    <row r="8769" spans="2:34">
      <c r="B8769" s="2">
        <f ca="1"/>
        <v>0.96393410087675191</v>
      </c>
      <c r="O8769" s="2">
        <f ca="1"/>
        <v>1.0459543391931234</v>
      </c>
      <c r="X8769" s="2">
        <f ca="1"/>
        <v>28.226917048700098</v>
      </c>
      <c r="AG8769" s="2">
        <f ca="1"/>
        <v>0.95956104053033475</v>
      </c>
      <c r="AH8769" s="2" t="str">
        <f ca="1"/>
        <v>Bad</v>
      </c>
    </row>
    <row r="8770" spans="2:34">
      <c r="B8770" s="2">
        <f ca="1"/>
        <v>0.45983226565255841</v>
      </c>
      <c r="O8770" s="2">
        <f ca="1"/>
        <v>-0.55961582600600923</v>
      </c>
      <c r="X8770" s="2">
        <f ca="1"/>
        <v>50.722870427878163</v>
      </c>
      <c r="AG8770" s="2">
        <f ca="1"/>
        <v>0.1427575922247637</v>
      </c>
      <c r="AH8770" s="2" t="str">
        <f ca="1"/>
        <v>OK</v>
      </c>
    </row>
    <row r="8771" spans="2:34">
      <c r="B8771" s="2">
        <f ca="1"/>
        <v>0.52040625017811504</v>
      </c>
      <c r="O8771" s="2">
        <f ca="1"/>
        <v>0.76094730998777793</v>
      </c>
      <c r="X8771" s="2">
        <f ca="1"/>
        <v>77.110821844837517</v>
      </c>
      <c r="AG8771" s="2">
        <f ca="1"/>
        <v>0.42613726922333828</v>
      </c>
      <c r="AH8771" s="2" t="str">
        <f ca="1"/>
        <v>Bad</v>
      </c>
    </row>
    <row r="8772" spans="2:34">
      <c r="B8772" s="2">
        <f ca="1"/>
        <v>0.90711402960359799</v>
      </c>
      <c r="O8772" s="2">
        <f ca="1"/>
        <v>0.84771954581524878</v>
      </c>
      <c r="X8772" s="2">
        <f ca="1"/>
        <v>30.874215200953209</v>
      </c>
      <c r="AG8772" s="2">
        <f ca="1"/>
        <v>0.95889343342720501</v>
      </c>
      <c r="AH8772" s="2" t="str">
        <f ca="1"/>
        <v>Bad</v>
      </c>
    </row>
    <row r="8773" spans="2:34">
      <c r="B8773" s="2">
        <f ca="1"/>
        <v>0.70562632029177164</v>
      </c>
      <c r="O8773" s="2">
        <f ca="1"/>
        <v>-0.67428615869171915</v>
      </c>
      <c r="X8773" s="2">
        <f ca="1"/>
        <v>73.939160102425461</v>
      </c>
      <c r="AG8773" s="2">
        <f ca="1"/>
        <v>0.55097475587481304</v>
      </c>
      <c r="AH8773" s="2" t="str">
        <f ca="1"/>
        <v>Bad</v>
      </c>
    </row>
    <row r="8774" spans="2:34">
      <c r="B8774" s="2">
        <f ca="1"/>
        <v>0.30586636240360821</v>
      </c>
      <c r="O8774" s="2">
        <f ca="1"/>
        <v>-0.54436979041846001</v>
      </c>
      <c r="X8774" s="2">
        <f ca="1"/>
        <v>44.788985004214901</v>
      </c>
      <c r="AG8774" s="2">
        <f ca="1"/>
        <v>0.39839086923755729</v>
      </c>
      <c r="AH8774" s="2" t="str">
        <f ca="1"/>
        <v>OK</v>
      </c>
    </row>
    <row r="8775" spans="2:34">
      <c r="B8775" s="2">
        <f ca="1"/>
        <v>0.3845224725247991</v>
      </c>
      <c r="O8775" s="2">
        <f ca="1"/>
        <v>0.59501528181072172</v>
      </c>
      <c r="X8775" s="2">
        <f ca="1"/>
        <v>50.684516274550411</v>
      </c>
      <c r="AG8775" s="2">
        <f ca="1"/>
        <v>8.5115767356302996E-4</v>
      </c>
      <c r="AH8775" s="2" t="str">
        <f ca="1"/>
        <v>Good</v>
      </c>
    </row>
    <row r="8776" spans="2:34">
      <c r="B8776" s="2">
        <f ca="1"/>
        <v>2.0534065771626642E-2</v>
      </c>
      <c r="O8776" s="2">
        <f ca="1"/>
        <v>0.10842469646565871</v>
      </c>
      <c r="X8776" s="2">
        <f ca="1"/>
        <v>33.406609455181467</v>
      </c>
      <c r="AG8776" s="2">
        <f ca="1"/>
        <v>0.69455857779540109</v>
      </c>
      <c r="AH8776" s="2" t="str">
        <f ca="1"/>
        <v>Bad</v>
      </c>
    </row>
    <row r="8777" spans="2:34">
      <c r="B8777" s="2">
        <f ca="1"/>
        <v>0.62749245913104956</v>
      </c>
      <c r="O8777" s="2">
        <f ca="1"/>
        <v>0.17391002131417763</v>
      </c>
      <c r="X8777" s="2">
        <f ca="1"/>
        <v>57.721189301293883</v>
      </c>
      <c r="AG8777" s="2">
        <f ca="1"/>
        <v>0.25857691962122598</v>
      </c>
      <c r="AH8777" s="2" t="str">
        <f ca="1"/>
        <v>OK</v>
      </c>
    </row>
    <row r="8778" spans="2:34">
      <c r="B8778" s="2">
        <f ca="1"/>
        <v>3.4871418215176364E-2</v>
      </c>
      <c r="O8778" s="2">
        <f ca="1"/>
        <v>-0.69002355025621154</v>
      </c>
      <c r="X8778" s="2">
        <f ca="1"/>
        <v>59.23078069397269</v>
      </c>
      <c r="AG8778" s="2">
        <f ca="1"/>
        <v>0.29499339624770027</v>
      </c>
      <c r="AH8778" s="2" t="str">
        <f ca="1"/>
        <v>OK</v>
      </c>
    </row>
    <row r="8779" spans="2:34">
      <c r="B8779" s="2">
        <f ca="1"/>
        <v>0.81706012231367731</v>
      </c>
      <c r="O8779" s="2">
        <f ca="1"/>
        <v>0.50562711850341913</v>
      </c>
      <c r="X8779" s="2">
        <f ca="1"/>
        <v>71.916090210606015</v>
      </c>
      <c r="AG8779" s="2">
        <f ca="1"/>
        <v>7.3011793868724251E-2</v>
      </c>
      <c r="AH8779" s="2" t="str">
        <f ca="1"/>
        <v>OK</v>
      </c>
    </row>
    <row r="8780" spans="2:34">
      <c r="B8780" s="2">
        <f ca="1"/>
        <v>0.33656269701922015</v>
      </c>
      <c r="O8780" s="2">
        <f ca="1"/>
        <v>-0.92146360361045543</v>
      </c>
      <c r="X8780" s="2">
        <f ca="1"/>
        <v>60.81271738146409</v>
      </c>
      <c r="AG8780" s="2">
        <f ca="1"/>
        <v>0.73006280367436793</v>
      </c>
      <c r="AH8780" s="2" t="str">
        <f ca="1"/>
        <v>Bad</v>
      </c>
    </row>
    <row r="8781" spans="2:34">
      <c r="B8781" s="2">
        <f ca="1"/>
        <v>0.34738337052684853</v>
      </c>
      <c r="O8781" s="2">
        <f ca="1"/>
        <v>-0.37450223027876384</v>
      </c>
      <c r="X8781" s="2">
        <f ca="1"/>
        <v>50.443178975027159</v>
      </c>
      <c r="AG8781" s="2">
        <f ca="1"/>
        <v>0.46685009120927323</v>
      </c>
      <c r="AH8781" s="2" t="str">
        <f ca="1"/>
        <v>Bad</v>
      </c>
    </row>
    <row r="8782" spans="2:34">
      <c r="B8782" s="2">
        <f ca="1"/>
        <v>9.6538866622264186E-2</v>
      </c>
      <c r="O8782" s="2">
        <f ca="1"/>
        <v>2.2751877941938345</v>
      </c>
      <c r="X8782" s="2">
        <f ca="1"/>
        <v>36.897243453095832</v>
      </c>
      <c r="AG8782" s="2">
        <f ca="1"/>
        <v>0.22456455379133766</v>
      </c>
      <c r="AH8782" s="2" t="str">
        <f ca="1"/>
        <v>OK</v>
      </c>
    </row>
    <row r="8783" spans="2:34">
      <c r="B8783" s="2">
        <f ca="1"/>
        <v>0.5689709987382261</v>
      </c>
      <c r="O8783" s="2">
        <f ca="1"/>
        <v>4.9882910256617188E-2</v>
      </c>
      <c r="X8783" s="2">
        <f ca="1"/>
        <v>26.295196702991621</v>
      </c>
      <c r="AG8783" s="2">
        <f ca="1"/>
        <v>0.35635460385520901</v>
      </c>
      <c r="AH8783" s="2" t="str">
        <f ca="1"/>
        <v>OK</v>
      </c>
    </row>
    <row r="8784" spans="2:34">
      <c r="B8784" s="2">
        <f ca="1"/>
        <v>0.65685865135624888</v>
      </c>
      <c r="O8784" s="2">
        <f ca="1"/>
        <v>1.1542956884954294</v>
      </c>
      <c r="X8784" s="2">
        <f ca="1"/>
        <v>60.785993393173577</v>
      </c>
      <c r="AG8784" s="2">
        <f ca="1"/>
        <v>0.39165881953981296</v>
      </c>
      <c r="AH8784" s="2" t="str">
        <f ca="1"/>
        <v>OK</v>
      </c>
    </row>
    <row r="8785" spans="2:34">
      <c r="B8785" s="2">
        <f ca="1"/>
        <v>0.26521985068608545</v>
      </c>
      <c r="O8785" s="2">
        <f ca="1"/>
        <v>-2.1465245353871025</v>
      </c>
      <c r="X8785" s="2">
        <f ca="1"/>
        <v>65.137856313040601</v>
      </c>
      <c r="AG8785" s="2">
        <f ca="1"/>
        <v>9.5880039515471527E-2</v>
      </c>
      <c r="AH8785" s="2" t="str">
        <f ca="1"/>
        <v>OK</v>
      </c>
    </row>
    <row r="8786" spans="2:34">
      <c r="B8786" s="2">
        <f ca="1"/>
        <v>1.3862721667560196E-2</v>
      </c>
      <c r="O8786" s="2">
        <f ca="1"/>
        <v>1.1444878983835454</v>
      </c>
      <c r="X8786" s="2">
        <f ca="1"/>
        <v>102.01956840675905</v>
      </c>
      <c r="AG8786" s="2">
        <f ca="1"/>
        <v>0.42747305640707678</v>
      </c>
      <c r="AH8786" s="2" t="str">
        <f ca="1"/>
        <v>Bad</v>
      </c>
    </row>
    <row r="8787" spans="2:34">
      <c r="B8787" s="2">
        <f ca="1"/>
        <v>0.66096987193477563</v>
      </c>
      <c r="O8787" s="2">
        <f ca="1"/>
        <v>1.0974698369716909</v>
      </c>
      <c r="X8787" s="2">
        <f ca="1"/>
        <v>68.319198862960647</v>
      </c>
      <c r="AG8787" s="2">
        <f ca="1"/>
        <v>0.81888125857507221</v>
      </c>
      <c r="AH8787" s="2" t="str">
        <f ca="1"/>
        <v>Bad</v>
      </c>
    </row>
    <row r="8788" spans="2:34">
      <c r="B8788" s="2">
        <f ca="1"/>
        <v>1.1171576707556197E-2</v>
      </c>
      <c r="O8788" s="2">
        <f ca="1"/>
        <v>0.11841199198452101</v>
      </c>
      <c r="X8788" s="2">
        <f ca="1"/>
        <v>60.848862443371594</v>
      </c>
      <c r="AG8788" s="2">
        <f ca="1"/>
        <v>0.66992979728176261</v>
      </c>
      <c r="AH8788" s="2" t="str">
        <f ca="1"/>
        <v>Bad</v>
      </c>
    </row>
    <row r="8789" spans="2:34">
      <c r="B8789" s="2">
        <f ca="1"/>
        <v>0.73979660707423811</v>
      </c>
      <c r="O8789" s="2">
        <f ca="1"/>
        <v>-0.70404362151048516</v>
      </c>
      <c r="X8789" s="2">
        <f ca="1"/>
        <v>35.468102935796281</v>
      </c>
      <c r="AG8789" s="2">
        <f ca="1"/>
        <v>0.12416466319078312</v>
      </c>
      <c r="AH8789" s="2" t="str">
        <f ca="1"/>
        <v>OK</v>
      </c>
    </row>
    <row r="8790" spans="2:34">
      <c r="B8790" s="2">
        <f ca="1"/>
        <v>0.13426424970089901</v>
      </c>
      <c r="O8790" s="2">
        <f ca="1"/>
        <v>-1.421152234239685</v>
      </c>
      <c r="X8790" s="2">
        <f ca="1"/>
        <v>60.636469203708984</v>
      </c>
      <c r="AG8790" s="2">
        <f ca="1"/>
        <v>0.97336127811347795</v>
      </c>
      <c r="AH8790" s="2" t="str">
        <f ca="1"/>
        <v>Bad</v>
      </c>
    </row>
    <row r="8791" spans="2:34">
      <c r="B8791" s="2">
        <f ca="1"/>
        <v>0.21452920900077133</v>
      </c>
      <c r="O8791" s="2">
        <f ca="1"/>
        <v>-0.26003159309183344</v>
      </c>
      <c r="X8791" s="2">
        <f ca="1"/>
        <v>32.623472275782447</v>
      </c>
      <c r="AG8791" s="2">
        <f ca="1"/>
        <v>0.52536240537776924</v>
      </c>
      <c r="AH8791" s="2" t="str">
        <f ca="1"/>
        <v>Bad</v>
      </c>
    </row>
    <row r="8792" spans="2:34">
      <c r="B8792" s="2">
        <f ca="1"/>
        <v>0.8649056130999353</v>
      </c>
      <c r="O8792" s="2">
        <f ca="1"/>
        <v>0.50478948987454786</v>
      </c>
      <c r="X8792" s="2">
        <f ca="1"/>
        <v>63.748113732651809</v>
      </c>
      <c r="AG8792" s="2">
        <f ca="1"/>
        <v>0.4501922571581165</v>
      </c>
      <c r="AH8792" s="2" t="str">
        <f ca="1"/>
        <v>Bad</v>
      </c>
    </row>
    <row r="8793" spans="2:34">
      <c r="B8793" s="2">
        <f ca="1"/>
        <v>0.95792794639860168</v>
      </c>
      <c r="O8793" s="2">
        <f ca="1"/>
        <v>-0.13966639864495489</v>
      </c>
      <c r="X8793" s="2">
        <f ca="1"/>
        <v>49.925015480649691</v>
      </c>
      <c r="AG8793" s="2">
        <f ca="1"/>
        <v>2.6697903636009102E-2</v>
      </c>
      <c r="AH8793" s="2" t="str">
        <f ca="1"/>
        <v>Good</v>
      </c>
    </row>
    <row r="8794" spans="2:34">
      <c r="B8794" s="2">
        <f ca="1"/>
        <v>0.72021214177927884</v>
      </c>
      <c r="O8794" s="2">
        <f ca="1"/>
        <v>1.0498048564094395</v>
      </c>
      <c r="X8794" s="2">
        <f ca="1"/>
        <v>66.381306628693437</v>
      </c>
      <c r="AG8794" s="2">
        <f ca="1"/>
        <v>0.95725367133520201</v>
      </c>
      <c r="AH8794" s="2" t="str">
        <f ca="1"/>
        <v>Bad</v>
      </c>
    </row>
    <row r="8795" spans="2:34">
      <c r="B8795" s="2">
        <f ca="1"/>
        <v>0.71353040355522879</v>
      </c>
      <c r="O8795" s="2">
        <f ca="1"/>
        <v>1.4523438079631703</v>
      </c>
      <c r="X8795" s="2">
        <f ca="1"/>
        <v>52.231052326176055</v>
      </c>
      <c r="AG8795" s="2">
        <f ca="1"/>
        <v>0.93939840000617836</v>
      </c>
      <c r="AH8795" s="2" t="str">
        <f ca="1"/>
        <v>Bad</v>
      </c>
    </row>
    <row r="8796" spans="2:34">
      <c r="B8796" s="2">
        <f ca="1"/>
        <v>0.69886371671609449</v>
      </c>
      <c r="O8796" s="2">
        <f ca="1"/>
        <v>0.59067500000737072</v>
      </c>
      <c r="X8796" s="2">
        <f ca="1"/>
        <v>59.900602760262743</v>
      </c>
      <c r="AG8796" s="2">
        <f ca="1"/>
        <v>8.8403225488340897E-2</v>
      </c>
      <c r="AH8796" s="2" t="str">
        <f ca="1"/>
        <v>OK</v>
      </c>
    </row>
    <row r="8797" spans="2:34">
      <c r="B8797" s="2">
        <f ca="1"/>
        <v>0.44619147687117922</v>
      </c>
      <c r="O8797" s="2">
        <f ca="1"/>
        <v>-1.7065492609626882</v>
      </c>
      <c r="X8797" s="2">
        <f ca="1"/>
        <v>26.546508165324699</v>
      </c>
      <c r="AG8797" s="2">
        <f ca="1"/>
        <v>0.15435480496457332</v>
      </c>
      <c r="AH8797" s="2" t="str">
        <f ca="1"/>
        <v>OK</v>
      </c>
    </row>
    <row r="8798" spans="2:34">
      <c r="B8798" s="2">
        <f ca="1"/>
        <v>0.50435519330968925</v>
      </c>
      <c r="O8798" s="2">
        <f ca="1"/>
        <v>-1.4374003354641562</v>
      </c>
      <c r="X8798" s="2">
        <f ca="1"/>
        <v>61.497544386611729</v>
      </c>
      <c r="AG8798" s="2">
        <f ca="1"/>
        <v>0.53256458797884565</v>
      </c>
      <c r="AH8798" s="2" t="str">
        <f ca="1"/>
        <v>Bad</v>
      </c>
    </row>
    <row r="8799" spans="2:34">
      <c r="B8799" s="2">
        <f ca="1"/>
        <v>0.38809993814248278</v>
      </c>
      <c r="O8799" s="2">
        <f ca="1"/>
        <v>-1.7413976690315318</v>
      </c>
      <c r="X8799" s="2">
        <f ca="1"/>
        <v>39.77300525277537</v>
      </c>
      <c r="AG8799" s="2">
        <f ca="1"/>
        <v>0.13269964822747182</v>
      </c>
      <c r="AH8799" s="2" t="str">
        <f ca="1"/>
        <v>OK</v>
      </c>
    </row>
    <row r="8800" spans="2:34">
      <c r="B8800" s="2">
        <f ca="1"/>
        <v>0.70412049630981954</v>
      </c>
      <c r="O8800" s="2">
        <f ca="1"/>
        <v>-0.30464175424491358</v>
      </c>
      <c r="X8800" s="2">
        <f ca="1"/>
        <v>66.877226138546902</v>
      </c>
      <c r="AG8800" s="2">
        <f ca="1"/>
        <v>0.30938288289885274</v>
      </c>
      <c r="AH8800" s="2" t="str">
        <f ca="1"/>
        <v>OK</v>
      </c>
    </row>
    <row r="8801" spans="2:34">
      <c r="B8801" s="2">
        <f ca="1"/>
        <v>0.66075464646950866</v>
      </c>
      <c r="O8801" s="2">
        <f ca="1"/>
        <v>-0.14427595007276769</v>
      </c>
      <c r="X8801" s="2">
        <f ca="1"/>
        <v>34.644369910891079</v>
      </c>
      <c r="AG8801" s="2">
        <f ca="1"/>
        <v>0.98745515337448819</v>
      </c>
      <c r="AH8801" s="2" t="str">
        <f ca="1"/>
        <v>Bad</v>
      </c>
    </row>
    <row r="8802" spans="2:34">
      <c r="B8802" s="2">
        <f ca="1"/>
        <v>0.50301916701276239</v>
      </c>
      <c r="O8802" s="2">
        <f ca="1"/>
        <v>-0.72578017275278828</v>
      </c>
      <c r="X8802" s="2">
        <f ca="1"/>
        <v>46.5037625266812</v>
      </c>
      <c r="AG8802" s="2">
        <f ca="1"/>
        <v>0.7905010810963029</v>
      </c>
      <c r="AH8802" s="2" t="str">
        <f ca="1"/>
        <v>Bad</v>
      </c>
    </row>
    <row r="8803" spans="2:34">
      <c r="B8803" s="2">
        <f ca="1"/>
        <v>0.40821095459871981</v>
      </c>
      <c r="O8803" s="2">
        <f ca="1"/>
        <v>-0.33076528245462505</v>
      </c>
      <c r="X8803" s="2">
        <f ca="1"/>
        <v>77.239366256104574</v>
      </c>
      <c r="AG8803" s="2">
        <f ca="1"/>
        <v>6.3572744938596992E-2</v>
      </c>
      <c r="AH8803" s="2" t="str">
        <f ca="1"/>
        <v>OK</v>
      </c>
    </row>
    <row r="8804" spans="2:34">
      <c r="B8804" s="2">
        <f ca="1"/>
        <v>0.91204311823297068</v>
      </c>
      <c r="O8804" s="2">
        <f ca="1"/>
        <v>0.49520710377237831</v>
      </c>
      <c r="X8804" s="2">
        <f ca="1"/>
        <v>67.291706779563981</v>
      </c>
      <c r="AG8804" s="2">
        <f ca="1"/>
        <v>0.30941565627366341</v>
      </c>
      <c r="AH8804" s="2" t="str">
        <f ca="1"/>
        <v>OK</v>
      </c>
    </row>
    <row r="8805" spans="2:34">
      <c r="B8805" s="2">
        <f ca="1"/>
        <v>0.99137228567732261</v>
      </c>
      <c r="O8805" s="2">
        <f ca="1"/>
        <v>-0.12897269181938353</v>
      </c>
      <c r="X8805" s="2">
        <f ca="1"/>
        <v>53.740353604799616</v>
      </c>
      <c r="AG8805" s="2">
        <f ca="1"/>
        <v>0.57076438127146445</v>
      </c>
      <c r="AH8805" s="2" t="str">
        <f ca="1"/>
        <v>Bad</v>
      </c>
    </row>
    <row r="8806" spans="2:34">
      <c r="B8806" s="2">
        <f ca="1"/>
        <v>0.3384564738234741</v>
      </c>
      <c r="O8806" s="2">
        <f ca="1"/>
        <v>-8.7170982946879166E-2</v>
      </c>
      <c r="X8806" s="2">
        <f ca="1"/>
        <v>37.777417722788854</v>
      </c>
      <c r="AG8806" s="2">
        <f ca="1"/>
        <v>0.12661920739276944</v>
      </c>
      <c r="AH8806" s="2" t="str">
        <f ca="1"/>
        <v>OK</v>
      </c>
    </row>
    <row r="8807" spans="2:34">
      <c r="B8807" s="2">
        <f ca="1"/>
        <v>0.48739929712473962</v>
      </c>
      <c r="O8807" s="2">
        <f ca="1"/>
        <v>0.19352845340655345</v>
      </c>
      <c r="X8807" s="2">
        <f ca="1"/>
        <v>49.976044316428229</v>
      </c>
      <c r="AG8807" s="2">
        <f ca="1"/>
        <v>0.77188679648181679</v>
      </c>
      <c r="AH8807" s="2" t="str">
        <f ca="1"/>
        <v>Bad</v>
      </c>
    </row>
    <row r="8808" spans="2:34">
      <c r="B8808" s="2">
        <f ca="1"/>
        <v>0.84568865767382051</v>
      </c>
      <c r="O8808" s="2">
        <f ca="1"/>
        <v>-2.100765243044223</v>
      </c>
      <c r="X8808" s="2">
        <f ca="1"/>
        <v>75.423229145013664</v>
      </c>
      <c r="AG8808" s="2">
        <f ca="1"/>
        <v>7.1494007836247153E-2</v>
      </c>
      <c r="AH8808" s="2" t="str">
        <f ca="1"/>
        <v>OK</v>
      </c>
    </row>
    <row r="8809" spans="2:34">
      <c r="B8809" s="2">
        <f ca="1"/>
        <v>0.8994049909805002</v>
      </c>
      <c r="O8809" s="2">
        <f ca="1"/>
        <v>-0.34555087737917772</v>
      </c>
      <c r="X8809" s="2">
        <f ca="1"/>
        <v>41.435465161374097</v>
      </c>
      <c r="AG8809" s="2">
        <f ca="1"/>
        <v>0.68292935166758872</v>
      </c>
      <c r="AH8809" s="2" t="str">
        <f ca="1"/>
        <v>Bad</v>
      </c>
    </row>
    <row r="8810" spans="2:34">
      <c r="B8810" s="2">
        <f ca="1"/>
        <v>0.49325835209615931</v>
      </c>
      <c r="O8810" s="2">
        <f ca="1"/>
        <v>-0.97802953296323714</v>
      </c>
      <c r="X8810" s="2">
        <f ca="1"/>
        <v>48.121568333320539</v>
      </c>
      <c r="AG8810" s="2">
        <f ca="1"/>
        <v>0.3294487838694371</v>
      </c>
      <c r="AH8810" s="2" t="str">
        <f ca="1"/>
        <v>OK</v>
      </c>
    </row>
    <row r="8811" spans="2:34">
      <c r="B8811" s="2">
        <f ca="1"/>
        <v>0.3183000211442375</v>
      </c>
      <c r="O8811" s="2">
        <f ca="1"/>
        <v>1.5945997312938343</v>
      </c>
      <c r="X8811" s="2">
        <f ca="1"/>
        <v>51.750874498190534</v>
      </c>
      <c r="AG8811" s="2">
        <f ca="1"/>
        <v>0.69776293392951882</v>
      </c>
      <c r="AH8811" s="2" t="str">
        <f ca="1"/>
        <v>Bad</v>
      </c>
    </row>
    <row r="8812" spans="2:34">
      <c r="B8812" s="2">
        <f ca="1"/>
        <v>0.89525049394551415</v>
      </c>
      <c r="O8812" s="2">
        <f ca="1"/>
        <v>0.50762722346048728</v>
      </c>
      <c r="X8812" s="2">
        <f ca="1"/>
        <v>71.774637153276529</v>
      </c>
      <c r="AG8812" s="2">
        <f ca="1"/>
        <v>0.30320223999137186</v>
      </c>
      <c r="AH8812" s="2" t="str">
        <f ca="1"/>
        <v>OK</v>
      </c>
    </row>
    <row r="8813" spans="2:34">
      <c r="B8813" s="2">
        <f ca="1"/>
        <v>0.1001312006970756</v>
      </c>
      <c r="O8813" s="2">
        <f ca="1"/>
        <v>0.64390056385287753</v>
      </c>
      <c r="X8813" s="2">
        <f ca="1"/>
        <v>60.482818422422568</v>
      </c>
      <c r="AG8813" s="2">
        <f ca="1"/>
        <v>0.24680605883624462</v>
      </c>
      <c r="AH8813" s="2" t="str">
        <f ca="1"/>
        <v>OK</v>
      </c>
    </row>
    <row r="8814" spans="2:34">
      <c r="B8814" s="2">
        <f ca="1"/>
        <v>0.37114605711440141</v>
      </c>
      <c r="O8814" s="2">
        <f ca="1"/>
        <v>-0.11434252544155278</v>
      </c>
      <c r="X8814" s="2">
        <f ca="1"/>
        <v>78.811905130454022</v>
      </c>
      <c r="AG8814" s="2">
        <f ca="1"/>
        <v>0.67910665482430566</v>
      </c>
      <c r="AH8814" s="2" t="str">
        <f ca="1"/>
        <v>Bad</v>
      </c>
    </row>
    <row r="8815" spans="2:34">
      <c r="B8815" s="2">
        <f ca="1"/>
        <v>0.45867422059797858</v>
      </c>
      <c r="O8815" s="2">
        <f ca="1"/>
        <v>-1.2250422153326823</v>
      </c>
      <c r="X8815" s="2">
        <f ca="1"/>
        <v>39.239212836044061</v>
      </c>
      <c r="AG8815" s="2">
        <f ca="1"/>
        <v>0.59438095312715711</v>
      </c>
      <c r="AH8815" s="2" t="str">
        <f ca="1"/>
        <v>Bad</v>
      </c>
    </row>
    <row r="8816" spans="2:34">
      <c r="B8816" s="2">
        <f ca="1"/>
        <v>0.72409242857373179</v>
      </c>
      <c r="O8816" s="2">
        <f ca="1"/>
        <v>9.4714990749901293E-2</v>
      </c>
      <c r="X8816" s="2">
        <f ca="1"/>
        <v>47.175279133099338</v>
      </c>
      <c r="AG8816" s="2">
        <f ca="1"/>
        <v>0.77959918927599747</v>
      </c>
      <c r="AH8816" s="2" t="str">
        <f ca="1"/>
        <v>Bad</v>
      </c>
    </row>
    <row r="8817" spans="2:34">
      <c r="B8817" s="2">
        <f ca="1"/>
        <v>0.10490322402434948</v>
      </c>
      <c r="O8817" s="2">
        <f ca="1"/>
        <v>-0.58388489545109179</v>
      </c>
      <c r="X8817" s="2">
        <f ca="1"/>
        <v>50.338581238384911</v>
      </c>
      <c r="AG8817" s="2">
        <f ca="1"/>
        <v>0.99942349678309617</v>
      </c>
      <c r="AH8817" s="2" t="str">
        <f ca="1"/>
        <v>Bad</v>
      </c>
    </row>
    <row r="8818" spans="2:34">
      <c r="B8818" s="2">
        <f ca="1"/>
        <v>0.14694167763672694</v>
      </c>
      <c r="O8818" s="2">
        <f ca="1"/>
        <v>-0.7497584605294193</v>
      </c>
      <c r="X8818" s="2">
        <f ca="1"/>
        <v>55.114683753718403</v>
      </c>
      <c r="AG8818" s="2">
        <f ca="1"/>
        <v>7.5250901315551122E-2</v>
      </c>
      <c r="AH8818" s="2" t="str">
        <f ca="1"/>
        <v>OK</v>
      </c>
    </row>
    <row r="8819" spans="2:34">
      <c r="B8819" s="2">
        <f ca="1"/>
        <v>0.14046808347784823</v>
      </c>
      <c r="O8819" s="2">
        <f ca="1"/>
        <v>-0.48379369937261563</v>
      </c>
      <c r="X8819" s="2">
        <f ca="1"/>
        <v>82.529314404300194</v>
      </c>
      <c r="AG8819" s="2">
        <f ca="1"/>
        <v>0.49922257496267042</v>
      </c>
      <c r="AH8819" s="2" t="str">
        <f ca="1"/>
        <v>Bad</v>
      </c>
    </row>
    <row r="8820" spans="2:34">
      <c r="B8820" s="2">
        <f ca="1"/>
        <v>0.44319682273623462</v>
      </c>
      <c r="O8820" s="2">
        <f ca="1"/>
        <v>-0.75345485090231301</v>
      </c>
      <c r="X8820" s="2">
        <f ca="1"/>
        <v>80.05708113088312</v>
      </c>
      <c r="AG8820" s="2">
        <f ca="1"/>
        <v>0.37372520889669891</v>
      </c>
      <c r="AH8820" s="2" t="str">
        <f ca="1"/>
        <v>OK</v>
      </c>
    </row>
    <row r="8821" spans="2:34">
      <c r="B8821" s="2">
        <f ca="1"/>
        <v>0.19679790447215773</v>
      </c>
      <c r="O8821" s="2">
        <f ca="1"/>
        <v>-1.1148541482628329</v>
      </c>
      <c r="X8821" s="2">
        <f ca="1"/>
        <v>49.64968957603503</v>
      </c>
      <c r="AG8821" s="2">
        <f ca="1"/>
        <v>0.54897475927443939</v>
      </c>
      <c r="AH8821" s="2" t="str">
        <f ca="1"/>
        <v>Bad</v>
      </c>
    </row>
    <row r="8822" spans="2:34">
      <c r="B8822" s="2">
        <f ca="1"/>
        <v>0.53373353662873857</v>
      </c>
      <c r="O8822" s="2">
        <f ca="1"/>
        <v>0.42948543215195062</v>
      </c>
      <c r="X8822" s="2">
        <f ca="1"/>
        <v>36.999363393242589</v>
      </c>
      <c r="AG8822" s="2">
        <f ca="1"/>
        <v>8.0894193948473525E-2</v>
      </c>
      <c r="AH8822" s="2" t="str">
        <f ca="1"/>
        <v>OK</v>
      </c>
    </row>
    <row r="8823" spans="2:34">
      <c r="B8823" s="2">
        <f ca="1"/>
        <v>4.7335871832083765E-3</v>
      </c>
      <c r="O8823" s="2">
        <f ca="1"/>
        <v>0.80553358929449681</v>
      </c>
      <c r="X8823" s="2">
        <f ca="1"/>
        <v>26.748013656168546</v>
      </c>
      <c r="AG8823" s="2">
        <f ca="1"/>
        <v>0.98816038025394448</v>
      </c>
      <c r="AH8823" s="2" t="str">
        <f ca="1"/>
        <v>Bad</v>
      </c>
    </row>
    <row r="8824" spans="2:34">
      <c r="B8824" s="2">
        <f ca="1"/>
        <v>0.35446250147466163</v>
      </c>
      <c r="O8824" s="2">
        <f ca="1"/>
        <v>0.24206420315595034</v>
      </c>
      <c r="X8824" s="2">
        <f ca="1"/>
        <v>51.279033865940782</v>
      </c>
      <c r="AG8824" s="2">
        <f ca="1"/>
        <v>0.30230105127958118</v>
      </c>
      <c r="AH8824" s="2" t="str">
        <f ca="1"/>
        <v>OK</v>
      </c>
    </row>
    <row r="8825" spans="2:34">
      <c r="B8825" s="2">
        <f ca="1"/>
        <v>0.60551767627092001</v>
      </c>
      <c r="O8825" s="2">
        <f ca="1"/>
        <v>1.0474583953172281</v>
      </c>
      <c r="X8825" s="2">
        <f ca="1"/>
        <v>51.891570181166159</v>
      </c>
      <c r="AG8825" s="2">
        <f ca="1"/>
        <v>6.0902120302738449E-2</v>
      </c>
      <c r="AH8825" s="2" t="str">
        <f ca="1"/>
        <v>OK</v>
      </c>
    </row>
    <row r="8826" spans="2:34">
      <c r="B8826" s="2">
        <f ca="1"/>
        <v>1.602419699933133E-2</v>
      </c>
      <c r="O8826" s="2">
        <f ca="1"/>
        <v>2.6069278883744591</v>
      </c>
      <c r="X8826" s="2">
        <f ca="1"/>
        <v>41.22798789938831</v>
      </c>
      <c r="AG8826" s="2">
        <f ca="1"/>
        <v>0.39000781849557753</v>
      </c>
      <c r="AH8826" s="2" t="str">
        <f ca="1"/>
        <v>OK</v>
      </c>
    </row>
    <row r="8827" spans="2:34">
      <c r="B8827" s="2">
        <f ca="1"/>
        <v>0.84950095965570172</v>
      </c>
      <c r="O8827" s="2">
        <f ca="1"/>
        <v>-2.5811222434036725</v>
      </c>
      <c r="X8827" s="2">
        <f ca="1"/>
        <v>51.876490567864323</v>
      </c>
      <c r="AG8827" s="2">
        <f ca="1"/>
        <v>1.9728716147604519E-2</v>
      </c>
      <c r="AH8827" s="2" t="str">
        <f ca="1"/>
        <v>Good</v>
      </c>
    </row>
    <row r="8828" spans="2:34">
      <c r="B8828" s="2">
        <f ca="1"/>
        <v>4.9486446860205202E-2</v>
      </c>
      <c r="O8828" s="2">
        <f ca="1"/>
        <v>1.5467988831779758</v>
      </c>
      <c r="X8828" s="2">
        <f ca="1"/>
        <v>60.194214870618801</v>
      </c>
      <c r="AG8828" s="2">
        <f ca="1"/>
        <v>0.4490891822453813</v>
      </c>
      <c r="AH8828" s="2" t="str">
        <f ca="1"/>
        <v>Bad</v>
      </c>
    </row>
    <row r="8829" spans="2:34">
      <c r="B8829" s="2">
        <f ca="1"/>
        <v>0.45937333431964977</v>
      </c>
      <c r="O8829" s="2">
        <f ca="1"/>
        <v>-0.78795664910609797</v>
      </c>
      <c r="X8829" s="2">
        <f ca="1"/>
        <v>39.651388031055298</v>
      </c>
      <c r="AG8829" s="2">
        <f ca="1"/>
        <v>0.30008403818935703</v>
      </c>
      <c r="AH8829" s="2" t="str">
        <f ca="1"/>
        <v>OK</v>
      </c>
    </row>
    <row r="8830" spans="2:34">
      <c r="B8830" s="2">
        <f ca="1"/>
        <v>0.14569154235103143</v>
      </c>
      <c r="O8830" s="2">
        <f ca="1"/>
        <v>1.2853608605994846</v>
      </c>
      <c r="X8830" s="2">
        <f ca="1"/>
        <v>24.068095203513572</v>
      </c>
      <c r="AG8830" s="2">
        <f ca="1"/>
        <v>0.69571396279329423</v>
      </c>
      <c r="AH8830" s="2" t="str">
        <f ca="1"/>
        <v>Bad</v>
      </c>
    </row>
    <row r="8831" spans="2:34">
      <c r="B8831" s="2">
        <f ca="1"/>
        <v>0.12118053323730438</v>
      </c>
      <c r="O8831" s="2">
        <f ca="1"/>
        <v>0.30008134504077838</v>
      </c>
      <c r="X8831" s="2">
        <f ca="1"/>
        <v>57.89938147983154</v>
      </c>
      <c r="AG8831" s="2">
        <f ca="1"/>
        <v>0.64272338840954268</v>
      </c>
      <c r="AH8831" s="2" t="str">
        <f ca="1"/>
        <v>Bad</v>
      </c>
    </row>
    <row r="8832" spans="2:34">
      <c r="B8832" s="2">
        <f ca="1"/>
        <v>0.55587104049651836</v>
      </c>
      <c r="O8832" s="2">
        <f ca="1"/>
        <v>0.37005719914529284</v>
      </c>
      <c r="X8832" s="2">
        <f ca="1"/>
        <v>66.657325492621268</v>
      </c>
      <c r="AG8832" s="2">
        <f ca="1"/>
        <v>5.7794162704383201E-3</v>
      </c>
      <c r="AH8832" s="2" t="str">
        <f ca="1"/>
        <v>Good</v>
      </c>
    </row>
    <row r="8833" spans="2:34">
      <c r="B8833" s="2">
        <f ca="1"/>
        <v>0.6948647036162976</v>
      </c>
      <c r="O8833" s="2">
        <f ca="1"/>
        <v>-0.2761532303022104</v>
      </c>
      <c r="X8833" s="2">
        <f ca="1"/>
        <v>78.508792962582021</v>
      </c>
      <c r="AG8833" s="2">
        <f ca="1"/>
        <v>0.294955724096575</v>
      </c>
      <c r="AH8833" s="2" t="str">
        <f ca="1"/>
        <v>OK</v>
      </c>
    </row>
    <row r="8834" spans="2:34">
      <c r="B8834" s="2">
        <f ca="1"/>
        <v>0.4019422564928774</v>
      </c>
      <c r="O8834" s="2">
        <f ca="1"/>
        <v>1.4913850653476886</v>
      </c>
      <c r="X8834" s="2">
        <f ca="1"/>
        <v>30.041486478099323</v>
      </c>
      <c r="AG8834" s="2">
        <f ca="1"/>
        <v>0.63566229039842326</v>
      </c>
      <c r="AH8834" s="2" t="str">
        <f ca="1"/>
        <v>Bad</v>
      </c>
    </row>
    <row r="8835" spans="2:34">
      <c r="B8835" s="2">
        <f ca="1"/>
        <v>0.47017878009679692</v>
      </c>
      <c r="O8835" s="2">
        <f ca="1"/>
        <v>-1.5721111844355302</v>
      </c>
      <c r="X8835" s="2">
        <f ca="1"/>
        <v>55.602614113204261</v>
      </c>
      <c r="AG8835" s="2">
        <f ca="1"/>
        <v>0.90049977750252408</v>
      </c>
      <c r="AH8835" s="2" t="str">
        <f ca="1"/>
        <v>Bad</v>
      </c>
    </row>
    <row r="8836" spans="2:34">
      <c r="B8836" s="2">
        <f ca="1"/>
        <v>0.45307835214501369</v>
      </c>
      <c r="O8836" s="2">
        <f ca="1"/>
        <v>-0.39953698828515694</v>
      </c>
      <c r="X8836" s="2">
        <f ca="1"/>
        <v>59.543467355444697</v>
      </c>
      <c r="AG8836" s="2">
        <f ca="1"/>
        <v>0.18326131142383062</v>
      </c>
      <c r="AH8836" s="2" t="str">
        <f ca="1"/>
        <v>OK</v>
      </c>
    </row>
    <row r="8837" spans="2:34">
      <c r="B8837" s="2">
        <f ca="1"/>
        <v>0.64019647267436763</v>
      </c>
      <c r="O8837" s="2">
        <f ca="1"/>
        <v>-0.27750123206062871</v>
      </c>
      <c r="X8837" s="2">
        <f ca="1"/>
        <v>57.045173066272177</v>
      </c>
      <c r="AG8837" s="2">
        <f ca="1"/>
        <v>6.2541725253755232E-2</v>
      </c>
      <c r="AH8837" s="2" t="str">
        <f ca="1"/>
        <v>OK</v>
      </c>
    </row>
    <row r="8838" spans="2:34">
      <c r="B8838" s="2">
        <f ca="1"/>
        <v>0.76815677979959318</v>
      </c>
      <c r="O8838" s="2">
        <f ca="1"/>
        <v>-0.26399627643966372</v>
      </c>
      <c r="X8838" s="2">
        <f ca="1"/>
        <v>30.95921362111482</v>
      </c>
      <c r="AG8838" s="2">
        <f ca="1"/>
        <v>0.84251114155862128</v>
      </c>
      <c r="AH8838" s="2" t="str">
        <f ca="1"/>
        <v>Bad</v>
      </c>
    </row>
    <row r="8839" spans="2:34">
      <c r="B8839" s="2">
        <f ca="1"/>
        <v>0.27040292761900098</v>
      </c>
      <c r="O8839" s="2">
        <f ca="1"/>
        <v>0.2998969921564445</v>
      </c>
      <c r="X8839" s="2">
        <f ca="1"/>
        <v>48.590935580829111</v>
      </c>
      <c r="AG8839" s="2">
        <f ca="1"/>
        <v>0.19884189906717142</v>
      </c>
      <c r="AH8839" s="2" t="str">
        <f ca="1"/>
        <v>OK</v>
      </c>
    </row>
    <row r="8840" spans="2:34">
      <c r="B8840" s="2">
        <f ca="1"/>
        <v>0.44527367102296744</v>
      </c>
      <c r="O8840" s="2">
        <f ca="1"/>
        <v>-1.3058720467856841</v>
      </c>
      <c r="X8840" s="2">
        <f ca="1"/>
        <v>47.314915456208702</v>
      </c>
      <c r="AG8840" s="2">
        <f ca="1"/>
        <v>0.33528028205670646</v>
      </c>
      <c r="AH8840" s="2" t="str">
        <f ca="1"/>
        <v>OK</v>
      </c>
    </row>
    <row r="8841" spans="2:34">
      <c r="B8841" s="2">
        <f ca="1"/>
        <v>0.48258088929434151</v>
      </c>
      <c r="O8841" s="2">
        <f ca="1"/>
        <v>0.18902029184271044</v>
      </c>
      <c r="X8841" s="2">
        <f ca="1"/>
        <v>36.811872280102698</v>
      </c>
      <c r="AG8841" s="2">
        <f ca="1"/>
        <v>0.63188881899383342</v>
      </c>
      <c r="AH8841" s="2" t="str">
        <f ca="1"/>
        <v>Bad</v>
      </c>
    </row>
    <row r="8842" spans="2:34">
      <c r="B8842" s="2">
        <f ca="1"/>
        <v>0.49986436503153819</v>
      </c>
      <c r="O8842" s="2">
        <f ca="1"/>
        <v>0.36122928439305274</v>
      </c>
      <c r="X8842" s="2">
        <f ca="1"/>
        <v>57.141605498666962</v>
      </c>
      <c r="AG8842" s="2">
        <f ca="1"/>
        <v>0.97221751087852981</v>
      </c>
      <c r="AH8842" s="2" t="str">
        <f ca="1"/>
        <v>Bad</v>
      </c>
    </row>
    <row r="8843" spans="2:34">
      <c r="B8843" s="2">
        <f ca="1"/>
        <v>0.91752322852870272</v>
      </c>
      <c r="O8843" s="2">
        <f ca="1"/>
        <v>1.641154134202901</v>
      </c>
      <c r="X8843" s="2">
        <f ca="1"/>
        <v>54.991916355007106</v>
      </c>
      <c r="AG8843" s="2">
        <f ca="1"/>
        <v>0.70050175842645079</v>
      </c>
      <c r="AH8843" s="2" t="str">
        <f ca="1"/>
        <v>Bad</v>
      </c>
    </row>
    <row r="8844" spans="2:34">
      <c r="B8844" s="2">
        <f ca="1"/>
        <v>0.34343810729503077</v>
      </c>
      <c r="O8844" s="2">
        <f ca="1"/>
        <v>2.165899222905046</v>
      </c>
      <c r="X8844" s="2">
        <f ca="1"/>
        <v>44.631111041738052</v>
      </c>
      <c r="AG8844" s="2">
        <f ca="1"/>
        <v>0.25678457036374303</v>
      </c>
      <c r="AH8844" s="2" t="str">
        <f ca="1"/>
        <v>OK</v>
      </c>
    </row>
    <row r="8845" spans="2:34">
      <c r="B8845" s="2">
        <f ca="1"/>
        <v>0.10681001722152628</v>
      </c>
      <c r="O8845" s="2">
        <f ca="1"/>
        <v>1.2338574744100019</v>
      </c>
      <c r="X8845" s="2">
        <f ca="1"/>
        <v>60.110299112807787</v>
      </c>
      <c r="AG8845" s="2">
        <f ca="1"/>
        <v>0.69858369506442175</v>
      </c>
      <c r="AH8845" s="2" t="str">
        <f ca="1"/>
        <v>Bad</v>
      </c>
    </row>
    <row r="8846" spans="2:34">
      <c r="B8846" s="2">
        <f ca="1"/>
        <v>0.3619327790786302</v>
      </c>
      <c r="O8846" s="2">
        <f ca="1"/>
        <v>1.7571172986481849</v>
      </c>
      <c r="X8846" s="2">
        <f ca="1"/>
        <v>26.808162223332346</v>
      </c>
      <c r="AG8846" s="2">
        <f ca="1"/>
        <v>0.80868664942650459</v>
      </c>
      <c r="AH8846" s="2" t="str">
        <f ca="1"/>
        <v>Bad</v>
      </c>
    </row>
    <row r="8847" spans="2:34">
      <c r="B8847" s="2">
        <f ca="1"/>
        <v>0.22548930743714579</v>
      </c>
      <c r="O8847" s="2">
        <f ca="1"/>
        <v>-0.69588913924701867</v>
      </c>
      <c r="X8847" s="2">
        <f ca="1"/>
        <v>24.573775837120412</v>
      </c>
      <c r="AG8847" s="2">
        <f ca="1"/>
        <v>0.448224151620086</v>
      </c>
      <c r="AH8847" s="2" t="str">
        <f ca="1"/>
        <v>Bad</v>
      </c>
    </row>
    <row r="8848" spans="2:34">
      <c r="B8848" s="2">
        <f ca="1"/>
        <v>0.57388721025809919</v>
      </c>
      <c r="O8848" s="2">
        <f ca="1"/>
        <v>0.56045885145571339</v>
      </c>
      <c r="X8848" s="2">
        <f ca="1"/>
        <v>29.178972279247635</v>
      </c>
      <c r="AG8848" s="2">
        <f ca="1"/>
        <v>0.94667738683825542</v>
      </c>
      <c r="AH8848" s="2" t="str">
        <f ca="1"/>
        <v>Bad</v>
      </c>
    </row>
    <row r="8849" spans="2:34">
      <c r="B8849" s="2">
        <f ca="1"/>
        <v>0.74362317844227044</v>
      </c>
      <c r="O8849" s="2">
        <f ca="1"/>
        <v>1.464597751887236</v>
      </c>
      <c r="X8849" s="2">
        <f ca="1"/>
        <v>34.844660201165503</v>
      </c>
      <c r="AG8849" s="2">
        <f ca="1"/>
        <v>0.33839085479060182</v>
      </c>
      <c r="AH8849" s="2" t="str">
        <f ca="1"/>
        <v>OK</v>
      </c>
    </row>
    <row r="8850" spans="2:34">
      <c r="B8850" s="2">
        <f ca="1"/>
        <v>0.41093764432500368</v>
      </c>
      <c r="O8850" s="2">
        <f ca="1"/>
        <v>1.2946403189089166</v>
      </c>
      <c r="X8850" s="2">
        <f ca="1"/>
        <v>62.518793572282647</v>
      </c>
      <c r="AG8850" s="2">
        <f ca="1"/>
        <v>0.255401635892617</v>
      </c>
      <c r="AH8850" s="2" t="str">
        <f ca="1"/>
        <v>OK</v>
      </c>
    </row>
    <row r="8851" spans="2:34">
      <c r="B8851" s="2">
        <f ca="1"/>
        <v>0.6970296211264102</v>
      </c>
      <c r="O8851" s="2">
        <f ca="1"/>
        <v>-1.5993189040013625</v>
      </c>
      <c r="X8851" s="2">
        <f ca="1"/>
        <v>48.805734863795358</v>
      </c>
      <c r="AG8851" s="2">
        <f ca="1"/>
        <v>0.55667926153635117</v>
      </c>
      <c r="AH8851" s="2" t="str">
        <f ca="1"/>
        <v>Bad</v>
      </c>
    </row>
    <row r="8852" spans="2:34">
      <c r="B8852" s="2">
        <f ca="1"/>
        <v>0.8749929312150202</v>
      </c>
      <c r="O8852" s="2">
        <f ca="1"/>
        <v>-0.63937337429585106</v>
      </c>
      <c r="X8852" s="2">
        <f ca="1"/>
        <v>28.321875504533125</v>
      </c>
      <c r="AG8852" s="2">
        <f ca="1"/>
        <v>0.30773525041586058</v>
      </c>
      <c r="AH8852" s="2" t="str">
        <f ca="1"/>
        <v>OK</v>
      </c>
    </row>
    <row r="8853" spans="2:34">
      <c r="B8853" s="2">
        <f ca="1"/>
        <v>0.52090502403164374</v>
      </c>
      <c r="O8853" s="2">
        <f ca="1"/>
        <v>3.3453973477822707</v>
      </c>
      <c r="X8853" s="2">
        <f ca="1"/>
        <v>44.233686875662698</v>
      </c>
      <c r="AG8853" s="2">
        <f ca="1"/>
        <v>0.62287087430590304</v>
      </c>
      <c r="AH8853" s="2" t="str">
        <f ca="1"/>
        <v>Bad</v>
      </c>
    </row>
    <row r="8854" spans="2:34">
      <c r="B8854" s="2">
        <f ca="1"/>
        <v>0.85552351818736816</v>
      </c>
      <c r="O8854" s="2">
        <f ca="1"/>
        <v>1.183224574885706</v>
      </c>
      <c r="X8854" s="2">
        <f ca="1"/>
        <v>35.332184580478945</v>
      </c>
      <c r="AG8854" s="2">
        <f ca="1"/>
        <v>0.33527708484495711</v>
      </c>
      <c r="AH8854" s="2" t="str">
        <f ca="1"/>
        <v>OK</v>
      </c>
    </row>
    <row r="8855" spans="2:34">
      <c r="B8855" s="2">
        <f ca="1"/>
        <v>0.80959361837647226</v>
      </c>
      <c r="O8855" s="2">
        <f ca="1"/>
        <v>0.74648899100178379</v>
      </c>
      <c r="X8855" s="2">
        <f ca="1"/>
        <v>44.369965248740932</v>
      </c>
      <c r="AG8855" s="2">
        <f ca="1"/>
        <v>0.40421582628731878</v>
      </c>
      <c r="AH8855" s="2" t="str">
        <f ca="1"/>
        <v>Bad</v>
      </c>
    </row>
    <row r="8856" spans="2:34">
      <c r="B8856" s="2">
        <f ca="1"/>
        <v>0.9325920907948424</v>
      </c>
      <c r="O8856" s="2">
        <f ca="1"/>
        <v>1.2509044231546109</v>
      </c>
      <c r="X8856" s="2">
        <f ca="1"/>
        <v>41.213582786603112</v>
      </c>
      <c r="AG8856" s="2">
        <f ca="1"/>
        <v>0.96248947368389515</v>
      </c>
      <c r="AH8856" s="2" t="str">
        <f ca="1"/>
        <v>Bad</v>
      </c>
    </row>
    <row r="8857" spans="2:34">
      <c r="B8857" s="2">
        <f ca="1"/>
        <v>0.94728563373432495</v>
      </c>
      <c r="O8857" s="2">
        <f ca="1"/>
        <v>0.59950906489779232</v>
      </c>
      <c r="X8857" s="2">
        <f ca="1"/>
        <v>39.92073459828206</v>
      </c>
      <c r="AG8857" s="2">
        <f ca="1"/>
        <v>0.17455356968608915</v>
      </c>
      <c r="AH8857" s="2" t="str">
        <f ca="1"/>
        <v>OK</v>
      </c>
    </row>
    <row r="8858" spans="2:34">
      <c r="B8858" s="2">
        <f ca="1"/>
        <v>0.25141286575725563</v>
      </c>
      <c r="O8858" s="2">
        <f ca="1"/>
        <v>-0.44391292084833439</v>
      </c>
      <c r="X8858" s="2">
        <f ca="1"/>
        <v>50.274176306076825</v>
      </c>
      <c r="AG8858" s="2">
        <f ca="1"/>
        <v>0.98564723965968959</v>
      </c>
      <c r="AH8858" s="2" t="str">
        <f ca="1"/>
        <v>Bad</v>
      </c>
    </row>
    <row r="8859" spans="2:34">
      <c r="B8859" s="2">
        <f ca="1"/>
        <v>0.32886123913169807</v>
      </c>
      <c r="O8859" s="2">
        <f ca="1"/>
        <v>0.48937856508502298</v>
      </c>
      <c r="X8859" s="2">
        <f ca="1"/>
        <v>28.826980385178352</v>
      </c>
      <c r="AG8859" s="2">
        <f ca="1"/>
        <v>0.88377692361021176</v>
      </c>
      <c r="AH8859" s="2" t="str">
        <f ca="1"/>
        <v>Bad</v>
      </c>
    </row>
    <row r="8860" spans="2:34">
      <c r="B8860" s="2">
        <f ca="1"/>
        <v>8.9633930839241316E-3</v>
      </c>
      <c r="O8860" s="2">
        <f ca="1"/>
        <v>0.46166072425396371</v>
      </c>
      <c r="X8860" s="2">
        <f ca="1"/>
        <v>30.302681077091293</v>
      </c>
      <c r="AG8860" s="2">
        <f ca="1"/>
        <v>0.42445407139920888</v>
      </c>
      <c r="AH8860" s="2" t="str">
        <f ca="1"/>
        <v>Bad</v>
      </c>
    </row>
    <row r="8861" spans="2:34">
      <c r="B8861" s="2">
        <f ca="1"/>
        <v>4.8592709851687621E-2</v>
      </c>
      <c r="O8861" s="2">
        <f ca="1"/>
        <v>1.5961661416267217</v>
      </c>
      <c r="X8861" s="2">
        <f ca="1"/>
        <v>28.928255450618309</v>
      </c>
      <c r="AG8861" s="2">
        <f ca="1"/>
        <v>0.43212620232667387</v>
      </c>
      <c r="AH8861" s="2" t="str">
        <f ca="1"/>
        <v>Bad</v>
      </c>
    </row>
    <row r="8862" spans="2:34">
      <c r="B8862" s="2">
        <f ca="1"/>
        <v>0.53580914555140424</v>
      </c>
      <c r="O8862" s="2">
        <f ca="1"/>
        <v>-1.5689781607817916</v>
      </c>
      <c r="X8862" s="2">
        <f ca="1"/>
        <v>48.261216194028137</v>
      </c>
      <c r="AG8862" s="2">
        <f ca="1"/>
        <v>0.60031832916803229</v>
      </c>
      <c r="AH8862" s="2" t="str">
        <f ca="1"/>
        <v>Bad</v>
      </c>
    </row>
    <row r="8863" spans="2:34">
      <c r="B8863" s="2">
        <f ca="1"/>
        <v>0.47858278798736875</v>
      </c>
      <c r="O8863" s="2">
        <f ca="1"/>
        <v>3.5905546707018949</v>
      </c>
      <c r="X8863" s="2">
        <f ca="1"/>
        <v>48.396766807838311</v>
      </c>
      <c r="AG8863" s="2">
        <f ca="1"/>
        <v>0.302557324151149</v>
      </c>
      <c r="AH8863" s="2" t="str">
        <f ca="1"/>
        <v>OK</v>
      </c>
    </row>
    <row r="8864" spans="2:34">
      <c r="B8864" s="2">
        <f ca="1"/>
        <v>0.64533368206485431</v>
      </c>
      <c r="O8864" s="2">
        <f ca="1"/>
        <v>2.1052741591452273</v>
      </c>
      <c r="X8864" s="2">
        <f ca="1"/>
        <v>62.735761381328416</v>
      </c>
      <c r="AG8864" s="2">
        <f ca="1"/>
        <v>5.7433744028258626E-2</v>
      </c>
      <c r="AH8864" s="2" t="str">
        <f ca="1"/>
        <v>OK</v>
      </c>
    </row>
    <row r="8865" spans="2:34">
      <c r="B8865" s="2">
        <f ca="1"/>
        <v>0.71781788285049575</v>
      </c>
      <c r="O8865" s="2">
        <f ca="1"/>
        <v>0.51954418358728183</v>
      </c>
      <c r="X8865" s="2">
        <f ca="1"/>
        <v>27.418402356180213</v>
      </c>
      <c r="AG8865" s="2">
        <f ca="1"/>
        <v>0.68009324845158248</v>
      </c>
      <c r="AH8865" s="2" t="str">
        <f ca="1"/>
        <v>Bad</v>
      </c>
    </row>
    <row r="8866" spans="2:34">
      <c r="B8866" s="2">
        <f ca="1"/>
        <v>0.78862389114182707</v>
      </c>
      <c r="O8866" s="2">
        <f ca="1"/>
        <v>-0.24236451030285808</v>
      </c>
      <c r="X8866" s="2">
        <f ca="1"/>
        <v>78.746117815391031</v>
      </c>
      <c r="AG8866" s="2">
        <f ca="1"/>
        <v>0.18268364904059675</v>
      </c>
      <c r="AH8866" s="2" t="str">
        <f ca="1"/>
        <v>OK</v>
      </c>
    </row>
    <row r="8867" spans="2:34">
      <c r="B8867" s="2">
        <f ca="1"/>
        <v>0.75751057091923713</v>
      </c>
      <c r="O8867" s="2">
        <f ca="1"/>
        <v>-0.47439159871569764</v>
      </c>
      <c r="X8867" s="2">
        <f ca="1"/>
        <v>68.727692990737054</v>
      </c>
      <c r="AG8867" s="2">
        <f ca="1"/>
        <v>0.42114017112605562</v>
      </c>
      <c r="AH8867" s="2" t="str">
        <f ca="1"/>
        <v>Bad</v>
      </c>
    </row>
    <row r="8868" spans="2:34">
      <c r="B8868" s="2">
        <f ca="1"/>
        <v>0.46521262429783516</v>
      </c>
      <c r="O8868" s="2">
        <f ca="1"/>
        <v>0.59402132541068986</v>
      </c>
      <c r="X8868" s="2">
        <f ca="1"/>
        <v>42.4326039717008</v>
      </c>
      <c r="AG8868" s="2">
        <f ca="1"/>
        <v>0.52202447161804333</v>
      </c>
      <c r="AH8868" s="2" t="str">
        <f ca="1"/>
        <v>Bad</v>
      </c>
    </row>
    <row r="8869" spans="2:34">
      <c r="B8869" s="2">
        <f ca="1"/>
        <v>0.50933393435604279</v>
      </c>
      <c r="O8869" s="2">
        <f ca="1"/>
        <v>0.37287963866362273</v>
      </c>
      <c r="X8869" s="2">
        <f ca="1"/>
        <v>26.580324563354072</v>
      </c>
      <c r="AG8869" s="2">
        <f ca="1"/>
        <v>0.77877051006640463</v>
      </c>
      <c r="AH8869" s="2" t="str">
        <f ca="1"/>
        <v>Bad</v>
      </c>
    </row>
    <row r="8870" spans="2:34">
      <c r="B8870" s="2">
        <f ca="1"/>
        <v>0.97908377597881069</v>
      </c>
      <c r="O8870" s="2">
        <f ca="1"/>
        <v>-1.1976743692343028</v>
      </c>
      <c r="X8870" s="2">
        <f ca="1"/>
        <v>53.32299038750272</v>
      </c>
      <c r="AG8870" s="2">
        <f ca="1"/>
        <v>0.25569714287383327</v>
      </c>
      <c r="AH8870" s="2" t="str">
        <f ca="1"/>
        <v>OK</v>
      </c>
    </row>
    <row r="8871" spans="2:34">
      <c r="B8871" s="2">
        <f ca="1"/>
        <v>0.58579682164671909</v>
      </c>
      <c r="O8871" s="2">
        <f ca="1"/>
        <v>0.47527915137986348</v>
      </c>
      <c r="X8871" s="2">
        <f ca="1"/>
        <v>38.782497432912038</v>
      </c>
      <c r="AG8871" s="2">
        <f ca="1"/>
        <v>4.5120386089228637E-2</v>
      </c>
      <c r="AH8871" s="2" t="str">
        <f ca="1"/>
        <v>Good</v>
      </c>
    </row>
    <row r="8872" spans="2:34">
      <c r="B8872" s="2">
        <f ca="1"/>
        <v>0.90234385588428356</v>
      </c>
      <c r="O8872" s="2">
        <f ca="1"/>
        <v>-2.1854539561792765</v>
      </c>
      <c r="X8872" s="2">
        <f ca="1"/>
        <v>70.340308416027653</v>
      </c>
      <c r="AG8872" s="2">
        <f ca="1"/>
        <v>0.99078125028350783</v>
      </c>
      <c r="AH8872" s="2" t="str">
        <f ca="1"/>
        <v>Bad</v>
      </c>
    </row>
    <row r="8873" spans="2:34">
      <c r="B8873" s="2">
        <f ca="1"/>
        <v>0.23026372519710336</v>
      </c>
      <c r="O8873" s="2">
        <f ca="1"/>
        <v>-0.96553202749242573</v>
      </c>
      <c r="X8873" s="2">
        <f ca="1"/>
        <v>69.453031645405488</v>
      </c>
      <c r="AG8873" s="2">
        <f ca="1"/>
        <v>0.55562941596913906</v>
      </c>
      <c r="AH8873" s="2" t="str">
        <f ca="1"/>
        <v>Bad</v>
      </c>
    </row>
    <row r="8874" spans="2:34">
      <c r="B8874" s="2">
        <f ca="1"/>
        <v>0.14319594977119521</v>
      </c>
      <c r="O8874" s="2">
        <f ca="1"/>
        <v>-0.42112461162080034</v>
      </c>
      <c r="X8874" s="2">
        <f ca="1"/>
        <v>47.221724483714276</v>
      </c>
      <c r="AG8874" s="2">
        <f ca="1"/>
        <v>0.57125817796923184</v>
      </c>
      <c r="AH8874" s="2" t="str">
        <f ca="1"/>
        <v>Bad</v>
      </c>
    </row>
    <row r="8875" spans="2:34">
      <c r="B8875" s="2">
        <f ca="1"/>
        <v>0.7887382800359819</v>
      </c>
      <c r="O8875" s="2">
        <f ca="1"/>
        <v>-0.30737403375084726</v>
      </c>
      <c r="X8875" s="2">
        <f ca="1"/>
        <v>49.64334591362519</v>
      </c>
      <c r="AG8875" s="2">
        <f ca="1"/>
        <v>0.91625468100051211</v>
      </c>
      <c r="AH8875" s="2" t="str">
        <f ca="1"/>
        <v>Bad</v>
      </c>
    </row>
    <row r="8876" spans="2:34">
      <c r="B8876" s="2">
        <f ca="1"/>
        <v>0.30327294010267991</v>
      </c>
      <c r="O8876" s="2">
        <f ca="1"/>
        <v>0.36447886465255663</v>
      </c>
      <c r="X8876" s="2">
        <f ca="1"/>
        <v>49.132598330611401</v>
      </c>
      <c r="AG8876" s="2">
        <f ca="1"/>
        <v>0.64654178638124216</v>
      </c>
      <c r="AH8876" s="2" t="str">
        <f ca="1"/>
        <v>Bad</v>
      </c>
    </row>
    <row r="8877" spans="2:34">
      <c r="B8877" s="2">
        <f ca="1"/>
        <v>0.54574560391555016</v>
      </c>
      <c r="O8877" s="2">
        <f ca="1"/>
        <v>-1.4120663006315983</v>
      </c>
      <c r="X8877" s="2">
        <f ca="1"/>
        <v>48.536953778810492</v>
      </c>
      <c r="AG8877" s="2">
        <f ca="1"/>
        <v>6.2653601730961794E-2</v>
      </c>
      <c r="AH8877" s="2" t="str">
        <f ca="1"/>
        <v>OK</v>
      </c>
    </row>
    <row r="8878" spans="2:34">
      <c r="B8878" s="2">
        <f ca="1"/>
        <v>0.98377607680243839</v>
      </c>
      <c r="O8878" s="2">
        <f ca="1"/>
        <v>-1.4260077981042634</v>
      </c>
      <c r="X8878" s="2">
        <f ca="1"/>
        <v>31.556283971264651</v>
      </c>
      <c r="AG8878" s="2">
        <f ca="1"/>
        <v>9.0779138731081011E-2</v>
      </c>
      <c r="AH8878" s="2" t="str">
        <f ca="1"/>
        <v>OK</v>
      </c>
    </row>
    <row r="8879" spans="2:34">
      <c r="B8879" s="2">
        <f ca="1"/>
        <v>0.58221117844920167</v>
      </c>
      <c r="O8879" s="2">
        <f ca="1"/>
        <v>-0.50779597616152716</v>
      </c>
      <c r="X8879" s="2">
        <f ca="1"/>
        <v>27.36655120452021</v>
      </c>
      <c r="AG8879" s="2">
        <f ca="1"/>
        <v>0.50098305442073188</v>
      </c>
      <c r="AH8879" s="2" t="str">
        <f ca="1"/>
        <v>Bad</v>
      </c>
    </row>
    <row r="8880" spans="2:34">
      <c r="B8880" s="2">
        <f ca="1"/>
        <v>0.35862002820491767</v>
      </c>
      <c r="O8880" s="2">
        <f ca="1"/>
        <v>-0.16716740190740448</v>
      </c>
      <c r="X8880" s="2">
        <f ca="1"/>
        <v>102.02140758130361</v>
      </c>
      <c r="AG8880" s="2">
        <f ca="1"/>
        <v>0.81529353204621646</v>
      </c>
      <c r="AH8880" s="2" t="str">
        <f ca="1"/>
        <v>Bad</v>
      </c>
    </row>
    <row r="8881" spans="2:34">
      <c r="B8881" s="2">
        <f ca="1"/>
        <v>9.0231265319391962E-2</v>
      </c>
      <c r="O8881" s="2">
        <f ca="1"/>
        <v>-1.0088600641064138</v>
      </c>
      <c r="X8881" s="2">
        <f ca="1"/>
        <v>32.220544908523664</v>
      </c>
      <c r="AG8881" s="2">
        <f ca="1"/>
        <v>0.31818905608512549</v>
      </c>
      <c r="AH8881" s="2" t="str">
        <f ca="1"/>
        <v>OK</v>
      </c>
    </row>
    <row r="8882" spans="2:34">
      <c r="B8882" s="2">
        <f ca="1"/>
        <v>3.2880774986570938E-2</v>
      </c>
      <c r="O8882" s="2">
        <f ca="1"/>
        <v>-0.48542369636420463</v>
      </c>
      <c r="X8882" s="2">
        <f ca="1"/>
        <v>58.65135441440502</v>
      </c>
      <c r="AG8882" s="2">
        <f ca="1"/>
        <v>0.87031681609298661</v>
      </c>
      <c r="AH8882" s="2" t="str">
        <f ca="1"/>
        <v>Bad</v>
      </c>
    </row>
    <row r="8883" spans="2:34">
      <c r="B8883" s="2">
        <f ca="1"/>
        <v>0.28114277823238365</v>
      </c>
      <c r="O8883" s="2">
        <f ca="1"/>
        <v>-0.16914441477857386</v>
      </c>
      <c r="X8883" s="2">
        <f ca="1"/>
        <v>73.153400116884541</v>
      </c>
      <c r="AG8883" s="2">
        <f ca="1"/>
        <v>0.5981454111501292</v>
      </c>
      <c r="AH8883" s="2" t="str">
        <f ca="1"/>
        <v>Bad</v>
      </c>
    </row>
    <row r="8884" spans="2:34">
      <c r="B8884" s="2">
        <f ca="1"/>
        <v>0.80391672181961682</v>
      </c>
      <c r="O8884" s="2">
        <f ca="1"/>
        <v>-0.22756619115027082</v>
      </c>
      <c r="X8884" s="2">
        <f ca="1"/>
        <v>32.241903677172054</v>
      </c>
      <c r="AG8884" s="2">
        <f ca="1"/>
        <v>0.21117458966491465</v>
      </c>
      <c r="AH8884" s="2" t="str">
        <f ca="1"/>
        <v>OK</v>
      </c>
    </row>
    <row r="8885" spans="2:34">
      <c r="B8885" s="2">
        <f ca="1"/>
        <v>0.51577904855029644</v>
      </c>
      <c r="O8885" s="2">
        <f ca="1"/>
        <v>-0.39556615946201501</v>
      </c>
      <c r="X8885" s="2">
        <f ca="1"/>
        <v>42.0732253185001</v>
      </c>
      <c r="AG8885" s="2">
        <f ca="1"/>
        <v>0.47111861195685556</v>
      </c>
      <c r="AH8885" s="2" t="str">
        <f ca="1"/>
        <v>Bad</v>
      </c>
    </row>
    <row r="8886" spans="2:34">
      <c r="B8886" s="2">
        <f ca="1"/>
        <v>0.89546885862109038</v>
      </c>
      <c r="O8886" s="2">
        <f ca="1"/>
        <v>-0.70390216237701753</v>
      </c>
      <c r="X8886" s="2">
        <f ca="1"/>
        <v>51.828129075451628</v>
      </c>
      <c r="AG8886" s="2">
        <f ca="1"/>
        <v>0.68501483609707758</v>
      </c>
      <c r="AH8886" s="2" t="str">
        <f ca="1"/>
        <v>Bad</v>
      </c>
    </row>
    <row r="8887" spans="2:34">
      <c r="B8887" s="2">
        <f ca="1"/>
        <v>0.24396488222131851</v>
      </c>
      <c r="O8887" s="2">
        <f ca="1"/>
        <v>0.37559331627941539</v>
      </c>
      <c r="X8887" s="2">
        <f ca="1"/>
        <v>52.879819050278186</v>
      </c>
      <c r="AG8887" s="2">
        <f ca="1"/>
        <v>0.2887159044815788</v>
      </c>
      <c r="AH8887" s="2" t="str">
        <f ca="1"/>
        <v>OK</v>
      </c>
    </row>
    <row r="8888" spans="2:34">
      <c r="B8888" s="2">
        <f ca="1"/>
        <v>0.44911053148848867</v>
      </c>
      <c r="O8888" s="2">
        <f ca="1"/>
        <v>0.82580303051269199</v>
      </c>
      <c r="X8888" s="2">
        <f ca="1"/>
        <v>50.78606536280396</v>
      </c>
      <c r="AG8888" s="2">
        <f ca="1"/>
        <v>0.40046029315228782</v>
      </c>
      <c r="AH8888" s="2" t="str">
        <f ca="1"/>
        <v>Bad</v>
      </c>
    </row>
    <row r="8889" spans="2:34">
      <c r="B8889" s="2">
        <f ca="1"/>
        <v>0.57569257694713594</v>
      </c>
      <c r="O8889" s="2">
        <f ca="1"/>
        <v>1.4434566248575358</v>
      </c>
      <c r="X8889" s="2">
        <f ca="1"/>
        <v>69.837482479776767</v>
      </c>
      <c r="AG8889" s="2">
        <f ca="1"/>
        <v>0.30948313158805796</v>
      </c>
      <c r="AH8889" s="2" t="str">
        <f ca="1"/>
        <v>OK</v>
      </c>
    </row>
    <row r="8890" spans="2:34">
      <c r="B8890" s="2">
        <f ca="1"/>
        <v>0.30349711986035977</v>
      </c>
      <c r="O8890" s="2">
        <f ca="1"/>
        <v>-0.60399488166130488</v>
      </c>
      <c r="X8890" s="2">
        <f ca="1"/>
        <v>32.076699634607174</v>
      </c>
      <c r="AG8890" s="2">
        <f ca="1"/>
        <v>0.10893648062251415</v>
      </c>
      <c r="AH8890" s="2" t="str">
        <f ca="1"/>
        <v>OK</v>
      </c>
    </row>
    <row r="8891" spans="2:34">
      <c r="B8891" s="2">
        <f ca="1"/>
        <v>0.81190719681437318</v>
      </c>
      <c r="O8891" s="2">
        <f ca="1"/>
        <v>-6.4864290849856857E-2</v>
      </c>
      <c r="X8891" s="2">
        <f ca="1"/>
        <v>54.774973590430136</v>
      </c>
      <c r="AG8891" s="2">
        <f ca="1"/>
        <v>0.72276214817989937</v>
      </c>
      <c r="AH8891" s="2" t="str">
        <f ca="1"/>
        <v>Bad</v>
      </c>
    </row>
    <row r="8892" spans="2:34">
      <c r="B8892" s="2">
        <f ca="1"/>
        <v>0.61107937042455762</v>
      </c>
      <c r="O8892" s="2">
        <f ca="1"/>
        <v>-0.25036728490976418</v>
      </c>
      <c r="X8892" s="2">
        <f ca="1"/>
        <v>50.864497773756987</v>
      </c>
      <c r="AG8892" s="2">
        <f ca="1"/>
        <v>0.91072009832762646</v>
      </c>
      <c r="AH8892" s="2" t="str">
        <f ca="1"/>
        <v>Bad</v>
      </c>
    </row>
    <row r="8893" spans="2:34">
      <c r="B8893" s="2">
        <f ca="1"/>
        <v>0.75826257983521561</v>
      </c>
      <c r="O8893" s="2">
        <f ca="1"/>
        <v>0.27026730948646638</v>
      </c>
      <c r="X8893" s="2">
        <f ca="1"/>
        <v>44.620353347638961</v>
      </c>
      <c r="AG8893" s="2">
        <f ca="1"/>
        <v>0.1280840821960576</v>
      </c>
      <c r="AH8893" s="2" t="str">
        <f ca="1"/>
        <v>OK</v>
      </c>
    </row>
    <row r="8894" spans="2:34">
      <c r="B8894" s="2">
        <f ca="1"/>
        <v>0.30680040269584397</v>
      </c>
      <c r="O8894" s="2">
        <f ca="1"/>
        <v>0.91229191355437744</v>
      </c>
      <c r="X8894" s="2">
        <f ca="1"/>
        <v>44.083474649734306</v>
      </c>
      <c r="AG8894" s="2">
        <f ca="1"/>
        <v>0.82368500878229844</v>
      </c>
      <c r="AH8894" s="2" t="str">
        <f ca="1"/>
        <v>Bad</v>
      </c>
    </row>
    <row r="8895" spans="2:34">
      <c r="B8895" s="2">
        <f ca="1"/>
        <v>1.9767748822218989E-2</v>
      </c>
      <c r="O8895" s="2">
        <f ca="1"/>
        <v>-0.90982811677942899</v>
      </c>
      <c r="X8895" s="2">
        <f ca="1"/>
        <v>28.843736433568235</v>
      </c>
      <c r="AG8895" s="2">
        <f ca="1"/>
        <v>0.5068542271560359</v>
      </c>
      <c r="AH8895" s="2" t="str">
        <f ca="1"/>
        <v>Bad</v>
      </c>
    </row>
    <row r="8896" spans="2:34">
      <c r="B8896" s="2">
        <f ca="1"/>
        <v>0.80067072591768684</v>
      </c>
      <c r="O8896" s="2">
        <f ca="1"/>
        <v>0.54537959166063199</v>
      </c>
      <c r="X8896" s="2">
        <f ca="1"/>
        <v>42.426160243960581</v>
      </c>
      <c r="AG8896" s="2">
        <f ca="1"/>
        <v>0.61211825991637925</v>
      </c>
      <c r="AH8896" s="2" t="str">
        <f ca="1"/>
        <v>Bad</v>
      </c>
    </row>
    <row r="8897" spans="2:34">
      <c r="B8897" s="2">
        <f ca="1"/>
        <v>0.47366635476472596</v>
      </c>
      <c r="O8897" s="2">
        <f ca="1"/>
        <v>1.0170077572073282</v>
      </c>
      <c r="X8897" s="2">
        <f ca="1"/>
        <v>39.437156043420636</v>
      </c>
      <c r="AG8897" s="2">
        <f ca="1"/>
        <v>1.1254327694520949E-2</v>
      </c>
      <c r="AH8897" s="2" t="str">
        <f ca="1"/>
        <v>Good</v>
      </c>
    </row>
    <row r="8898" spans="2:34">
      <c r="B8898" s="2">
        <f ca="1"/>
        <v>0.33548920237493651</v>
      </c>
      <c r="O8898" s="2">
        <f ca="1"/>
        <v>-0.16180308395452589</v>
      </c>
      <c r="X8898" s="2">
        <f ca="1"/>
        <v>43.18523453480644</v>
      </c>
      <c r="AG8898" s="2">
        <f ca="1"/>
        <v>0.47669392846925196</v>
      </c>
      <c r="AH8898" s="2" t="str">
        <f ca="1"/>
        <v>Bad</v>
      </c>
    </row>
    <row r="8899" spans="2:34">
      <c r="B8899" s="2">
        <f ca="1"/>
        <v>0.76464223556887267</v>
      </c>
      <c r="O8899" s="2">
        <f ca="1"/>
        <v>-1.1062046428312502</v>
      </c>
      <c r="X8899" s="2">
        <f ca="1"/>
        <v>44.590436681809926</v>
      </c>
      <c r="AG8899" s="2">
        <f ca="1"/>
        <v>2.6119685429902617E-2</v>
      </c>
      <c r="AH8899" s="2" t="str">
        <f ca="1"/>
        <v>Good</v>
      </c>
    </row>
    <row r="8900" spans="2:34">
      <c r="B8900" s="2">
        <f ca="1"/>
        <v>0.68952895521469215</v>
      </c>
      <c r="O8900" s="2">
        <f ca="1"/>
        <v>1.7905407044148602</v>
      </c>
      <c r="X8900" s="2">
        <f ca="1"/>
        <v>35.629083723081941</v>
      </c>
      <c r="AG8900" s="2">
        <f ca="1"/>
        <v>0.18409734721744786</v>
      </c>
      <c r="AH8900" s="2" t="str">
        <f ca="1"/>
        <v>OK</v>
      </c>
    </row>
    <row r="8901" spans="2:34">
      <c r="B8901" s="2">
        <f ca="1"/>
        <v>0.47147924477129233</v>
      </c>
      <c r="O8901" s="2">
        <f ca="1"/>
        <v>-0.42260293270475519</v>
      </c>
      <c r="X8901" s="2">
        <f ca="1"/>
        <v>34.844815550321556</v>
      </c>
      <c r="AG8901" s="2">
        <f ca="1"/>
        <v>0.28062995999418971</v>
      </c>
      <c r="AH8901" s="2" t="str">
        <f ca="1"/>
        <v>OK</v>
      </c>
    </row>
    <row r="8902" spans="2:34">
      <c r="B8902" s="2">
        <f ca="1"/>
        <v>0.97639359399006187</v>
      </c>
      <c r="O8902" s="2">
        <f ca="1"/>
        <v>0.90020746615994651</v>
      </c>
      <c r="X8902" s="2">
        <f ca="1"/>
        <v>23.861194567888006</v>
      </c>
      <c r="AG8902" s="2">
        <f ca="1"/>
        <v>0.82450068691272027</v>
      </c>
      <c r="AH8902" s="2" t="str">
        <f ca="1"/>
        <v>Bad</v>
      </c>
    </row>
    <row r="8903" spans="2:34">
      <c r="B8903" s="2">
        <f ca="1"/>
        <v>9.726980878594027E-2</v>
      </c>
      <c r="O8903" s="2">
        <f ca="1"/>
        <v>-1.5786366740931661</v>
      </c>
      <c r="X8903" s="2">
        <f ca="1"/>
        <v>34.251763691063729</v>
      </c>
      <c r="AG8903" s="2">
        <f ca="1"/>
        <v>0.84259305195520517</v>
      </c>
      <c r="AH8903" s="2" t="str">
        <f ca="1"/>
        <v>Bad</v>
      </c>
    </row>
    <row r="8904" spans="2:34">
      <c r="B8904" s="2">
        <f ca="1"/>
        <v>0.91763838337984982</v>
      </c>
      <c r="O8904" s="2">
        <f ca="1"/>
        <v>-0.13183112331966365</v>
      </c>
      <c r="X8904" s="2">
        <f ca="1"/>
        <v>44.032112322428901</v>
      </c>
      <c r="AG8904" s="2">
        <f ca="1"/>
        <v>0.22265732893454437</v>
      </c>
      <c r="AH8904" s="2" t="str">
        <f ca="1"/>
        <v>OK</v>
      </c>
    </row>
    <row r="8905" spans="2:34">
      <c r="B8905" s="2">
        <f ca="1"/>
        <v>0.3760154074282398</v>
      </c>
      <c r="O8905" s="2">
        <f ca="1"/>
        <v>-1.1076168595826377</v>
      </c>
      <c r="X8905" s="2">
        <f ca="1"/>
        <v>71.926886699320619</v>
      </c>
      <c r="AG8905" s="2">
        <f ca="1"/>
        <v>0.8235662781105082</v>
      </c>
      <c r="AH8905" s="2" t="str">
        <f ca="1"/>
        <v>Bad</v>
      </c>
    </row>
    <row r="8906" spans="2:34">
      <c r="B8906" s="2">
        <f ca="1"/>
        <v>0.87967046014642603</v>
      </c>
      <c r="O8906" s="2">
        <f ca="1"/>
        <v>-0.13210859617322232</v>
      </c>
      <c r="X8906" s="2">
        <f ca="1"/>
        <v>54.781657943924948</v>
      </c>
      <c r="AG8906" s="2">
        <f ca="1"/>
        <v>0.92825420332984865</v>
      </c>
      <c r="AH8906" s="2" t="str">
        <f ca="1"/>
        <v>Bad</v>
      </c>
    </row>
    <row r="8907" spans="2:34">
      <c r="B8907" s="2">
        <f ca="1"/>
        <v>0.50230092670567017</v>
      </c>
      <c r="O8907" s="2">
        <f ca="1"/>
        <v>0.69792813901264583</v>
      </c>
      <c r="X8907" s="2">
        <f ca="1"/>
        <v>43.505285246139771</v>
      </c>
      <c r="AG8907" s="2">
        <f ca="1"/>
        <v>0.83945749957413796</v>
      </c>
      <c r="AH8907" s="2" t="str">
        <f ca="1"/>
        <v>Bad</v>
      </c>
    </row>
    <row r="8908" spans="2:34">
      <c r="B8908" s="2">
        <f ca="1"/>
        <v>0.59308246787107577</v>
      </c>
      <c r="O8908" s="2">
        <f ca="1"/>
        <v>-9.3311864526446464E-2</v>
      </c>
      <c r="X8908" s="2">
        <f ca="1"/>
        <v>33.722484584064155</v>
      </c>
      <c r="AG8908" s="2">
        <f ca="1"/>
        <v>0.82012154131735859</v>
      </c>
      <c r="AH8908" s="2" t="str">
        <f ca="1"/>
        <v>Bad</v>
      </c>
    </row>
    <row r="8909" spans="2:34">
      <c r="B8909" s="2">
        <f ca="1"/>
        <v>0.51452830963932628</v>
      </c>
      <c r="O8909" s="2">
        <f ca="1"/>
        <v>0.54026292869456838</v>
      </c>
      <c r="X8909" s="2">
        <f ca="1"/>
        <v>30.235839196046349</v>
      </c>
      <c r="AG8909" s="2">
        <f ca="1"/>
        <v>0.80016389133477106</v>
      </c>
      <c r="AH8909" s="2" t="str">
        <f ca="1"/>
        <v>Bad</v>
      </c>
    </row>
    <row r="8910" spans="2:34">
      <c r="B8910" s="2">
        <f ca="1"/>
        <v>0.48518217091055971</v>
      </c>
      <c r="O8910" s="2">
        <f ca="1"/>
        <v>0.14280037776958354</v>
      </c>
      <c r="X8910" s="2">
        <f ca="1"/>
        <v>75.690885611304793</v>
      </c>
      <c r="AG8910" s="2">
        <f ca="1"/>
        <v>0.8794760799102479</v>
      </c>
      <c r="AH8910" s="2" t="str">
        <f ca="1"/>
        <v>Bad</v>
      </c>
    </row>
    <row r="8911" spans="2:34">
      <c r="B8911" s="2">
        <f ca="1"/>
        <v>4.4094413829424806E-2</v>
      </c>
      <c r="O8911" s="2">
        <f ca="1"/>
        <v>-0.6702653881664592</v>
      </c>
      <c r="X8911" s="2">
        <f ca="1"/>
        <v>39.701973359003368</v>
      </c>
      <c r="AG8911" s="2">
        <f ca="1"/>
        <v>0.41047333917868079</v>
      </c>
      <c r="AH8911" s="2" t="str">
        <f ca="1"/>
        <v>Bad</v>
      </c>
    </row>
    <row r="8912" spans="2:34">
      <c r="B8912" s="2">
        <f ca="1"/>
        <v>0.43469428694519174</v>
      </c>
      <c r="O8912" s="2">
        <f ca="1"/>
        <v>1.977084948351471</v>
      </c>
      <c r="X8912" s="2">
        <f ca="1"/>
        <v>46.810006607574493</v>
      </c>
      <c r="AG8912" s="2">
        <f ca="1"/>
        <v>0.30546615597943694</v>
      </c>
      <c r="AH8912" s="2" t="str">
        <f ca="1"/>
        <v>OK</v>
      </c>
    </row>
    <row r="8913" spans="2:34">
      <c r="B8913" s="2">
        <f ca="1"/>
        <v>0.91363106171780384</v>
      </c>
      <c r="O8913" s="2">
        <f ca="1"/>
        <v>-1.3938733021500558</v>
      </c>
      <c r="X8913" s="2">
        <f ca="1"/>
        <v>87.875122586803229</v>
      </c>
      <c r="AG8913" s="2">
        <f ca="1"/>
        <v>9.8715770184614415E-2</v>
      </c>
      <c r="AH8913" s="2" t="str">
        <f ca="1"/>
        <v>OK</v>
      </c>
    </row>
    <row r="8914" spans="2:34">
      <c r="B8914" s="2">
        <f ca="1"/>
        <v>0.73984393384235214</v>
      </c>
      <c r="O8914" s="2">
        <f ca="1"/>
        <v>0.69195796132348586</v>
      </c>
      <c r="X8914" s="2">
        <f ca="1"/>
        <v>41.832552825370328</v>
      </c>
      <c r="AG8914" s="2">
        <f ca="1"/>
        <v>0.76439451853924978</v>
      </c>
      <c r="AH8914" s="2" t="str">
        <f ca="1"/>
        <v>Bad</v>
      </c>
    </row>
    <row r="8915" spans="2:34">
      <c r="B8915" s="2">
        <f ca="1"/>
        <v>0.26244569389535277</v>
      </c>
      <c r="O8915" s="2">
        <f ca="1"/>
        <v>-0.3522255210545619</v>
      </c>
      <c r="X8915" s="2">
        <f ca="1"/>
        <v>24.7128017466069</v>
      </c>
      <c r="AG8915" s="2">
        <f ca="1"/>
        <v>0.39509246129879272</v>
      </c>
      <c r="AH8915" s="2" t="str">
        <f ca="1"/>
        <v>OK</v>
      </c>
    </row>
    <row r="8916" spans="2:34">
      <c r="B8916" s="2">
        <f ca="1"/>
        <v>0.54328389759277051</v>
      </c>
      <c r="O8916" s="2">
        <f ca="1"/>
        <v>0.58989998670870281</v>
      </c>
      <c r="X8916" s="2">
        <f ca="1"/>
        <v>43.613764965611097</v>
      </c>
      <c r="AG8916" s="2">
        <f ca="1"/>
        <v>0.33863280254856587</v>
      </c>
      <c r="AH8916" s="2" t="str">
        <f ca="1"/>
        <v>OK</v>
      </c>
    </row>
    <row r="8917" spans="2:34">
      <c r="B8917" s="2">
        <f ca="1"/>
        <v>0.7997006076613411</v>
      </c>
      <c r="O8917" s="2">
        <f ca="1"/>
        <v>0.97716060126465154</v>
      </c>
      <c r="X8917" s="2">
        <f ca="1"/>
        <v>63.713400152929189</v>
      </c>
      <c r="AG8917" s="2">
        <f ca="1"/>
        <v>0.29606783251264934</v>
      </c>
      <c r="AH8917" s="2" t="str">
        <f ca="1"/>
        <v>OK</v>
      </c>
    </row>
    <row r="8918" spans="2:34">
      <c r="B8918" s="2">
        <f ca="1"/>
        <v>0.34890954811405095</v>
      </c>
      <c r="O8918" s="2">
        <f ca="1"/>
        <v>1.0280794395946096</v>
      </c>
      <c r="X8918" s="2">
        <f ca="1"/>
        <v>52.849416954148381</v>
      </c>
      <c r="AG8918" s="2">
        <f ca="1"/>
        <v>4.4431874419290862E-2</v>
      </c>
      <c r="AH8918" s="2" t="str">
        <f ca="1"/>
        <v>Good</v>
      </c>
    </row>
    <row r="8919" spans="2:34">
      <c r="B8919" s="2">
        <f ca="1"/>
        <v>0.13386869932861889</v>
      </c>
      <c r="O8919" s="2">
        <f ca="1"/>
        <v>-1.1054381949848306</v>
      </c>
      <c r="X8919" s="2">
        <f ca="1"/>
        <v>57.423414999334085</v>
      </c>
      <c r="AG8919" s="2">
        <f ca="1"/>
        <v>0.95735869631258708</v>
      </c>
      <c r="AH8919" s="2" t="str">
        <f ca="1"/>
        <v>Bad</v>
      </c>
    </row>
    <row r="8920" spans="2:34">
      <c r="B8920" s="2">
        <f ca="1"/>
        <v>0.7327906440259524</v>
      </c>
      <c r="O8920" s="2">
        <f ca="1"/>
        <v>1.1340413667390843</v>
      </c>
      <c r="X8920" s="2">
        <f ca="1"/>
        <v>27.863692023413911</v>
      </c>
      <c r="AG8920" s="2">
        <f ca="1"/>
        <v>0.37012873157720083</v>
      </c>
      <c r="AH8920" s="2" t="str">
        <f ca="1"/>
        <v>OK</v>
      </c>
    </row>
    <row r="8921" spans="2:34">
      <c r="B8921" s="2">
        <f ca="1"/>
        <v>0.70064904274486817</v>
      </c>
      <c r="O8921" s="2">
        <f ca="1"/>
        <v>-0.24689235051191752</v>
      </c>
      <c r="X8921" s="2">
        <f ca="1"/>
        <v>38.419761914332618</v>
      </c>
      <c r="AG8921" s="2">
        <f ca="1"/>
        <v>0.79066072244464647</v>
      </c>
      <c r="AH8921" s="2" t="str">
        <f ca="1"/>
        <v>Bad</v>
      </c>
    </row>
    <row r="8922" spans="2:34">
      <c r="B8922" s="2">
        <f ca="1"/>
        <v>0.24439903234152527</v>
      </c>
      <c r="O8922" s="2">
        <f ca="1"/>
        <v>-1.3412978886518783</v>
      </c>
      <c r="X8922" s="2">
        <f ca="1"/>
        <v>72.386575153127495</v>
      </c>
      <c r="AG8922" s="2">
        <f ca="1"/>
        <v>0.77819503131002299</v>
      </c>
      <c r="AH8922" s="2" t="str">
        <f ca="1"/>
        <v>Bad</v>
      </c>
    </row>
    <row r="8923" spans="2:34">
      <c r="B8923" s="2">
        <f ca="1"/>
        <v>0.23844869556244541</v>
      </c>
      <c r="O8923" s="2">
        <f ca="1"/>
        <v>-0.59339895239327767</v>
      </c>
      <c r="X8923" s="2">
        <f ca="1"/>
        <v>35.313683527269731</v>
      </c>
      <c r="AG8923" s="2">
        <f ca="1"/>
        <v>0.54715414052225442</v>
      </c>
      <c r="AH8923" s="2" t="str">
        <f ca="1"/>
        <v>Bad</v>
      </c>
    </row>
    <row r="8924" spans="2:34">
      <c r="B8924" s="2">
        <f ca="1"/>
        <v>0.79125874419352216</v>
      </c>
      <c r="O8924" s="2">
        <f ca="1"/>
        <v>0.29191717648431614</v>
      </c>
      <c r="X8924" s="2">
        <f ca="1"/>
        <v>54.973205570400154</v>
      </c>
      <c r="AG8924" s="2">
        <f ca="1"/>
        <v>0.54508202465828903</v>
      </c>
      <c r="AH8924" s="2" t="str">
        <f ca="1"/>
        <v>Bad</v>
      </c>
    </row>
    <row r="8925" spans="2:34">
      <c r="B8925" s="2">
        <f ca="1"/>
        <v>0.87276359138239634</v>
      </c>
      <c r="O8925" s="2">
        <f ca="1"/>
        <v>-0.85625296717203492</v>
      </c>
      <c r="X8925" s="2">
        <f ca="1"/>
        <v>38.013468487664959</v>
      </c>
      <c r="AG8925" s="2">
        <f ca="1"/>
        <v>0.29685164447445667</v>
      </c>
      <c r="AH8925" s="2" t="str">
        <f ca="1"/>
        <v>OK</v>
      </c>
    </row>
    <row r="8926" spans="2:34">
      <c r="B8926" s="2">
        <f ca="1"/>
        <v>9.3277716744757377E-3</v>
      </c>
      <c r="O8926" s="2">
        <f ca="1"/>
        <v>1.9241047680917589</v>
      </c>
      <c r="X8926" s="2">
        <f ca="1"/>
        <v>29.952169919395967</v>
      </c>
      <c r="AG8926" s="2">
        <f ca="1"/>
        <v>0.7605347000813194</v>
      </c>
      <c r="AH8926" s="2" t="str">
        <f ca="1"/>
        <v>Bad</v>
      </c>
    </row>
    <row r="8927" spans="2:34">
      <c r="B8927" s="2">
        <f ca="1"/>
        <v>0.32446922851958737</v>
      </c>
      <c r="O8927" s="2">
        <f ca="1"/>
        <v>-0.28292319357093088</v>
      </c>
      <c r="X8927" s="2">
        <f ca="1"/>
        <v>21.64566569629099</v>
      </c>
      <c r="AG8927" s="2">
        <f ca="1"/>
        <v>0.41707985216822752</v>
      </c>
      <c r="AH8927" s="2" t="str">
        <f ca="1"/>
        <v>Bad</v>
      </c>
    </row>
    <row r="8928" spans="2:34">
      <c r="B8928" s="2">
        <f ca="1"/>
        <v>2.7124409351497736E-3</v>
      </c>
      <c r="O8928" s="2">
        <f ca="1"/>
        <v>0.85444687236224748</v>
      </c>
      <c r="X8928" s="2">
        <f ca="1"/>
        <v>34.0047780711512</v>
      </c>
      <c r="AG8928" s="2">
        <f ca="1"/>
        <v>0.94015135806522543</v>
      </c>
      <c r="AH8928" s="2" t="str">
        <f ca="1"/>
        <v>Bad</v>
      </c>
    </row>
    <row r="8929" spans="2:34">
      <c r="B8929" s="2">
        <f ca="1"/>
        <v>0.84778089139996204</v>
      </c>
      <c r="O8929" s="2">
        <f ca="1"/>
        <v>1.4520455549432474</v>
      </c>
      <c r="X8929" s="2">
        <f ca="1"/>
        <v>96.132144210202114</v>
      </c>
      <c r="AG8929" s="2">
        <f ca="1"/>
        <v>0.34670690994015141</v>
      </c>
      <c r="AH8929" s="2" t="str">
        <f ca="1"/>
        <v>OK</v>
      </c>
    </row>
    <row r="8930" spans="2:34">
      <c r="B8930" s="2">
        <f ca="1"/>
        <v>3.6809072045103752E-2</v>
      </c>
      <c r="O8930" s="2">
        <f ca="1"/>
        <v>9.4142031299274953E-2</v>
      </c>
      <c r="X8930" s="2">
        <f ca="1"/>
        <v>55.613811597364069</v>
      </c>
      <c r="AG8930" s="2">
        <f ca="1"/>
        <v>0.61502902236600132</v>
      </c>
      <c r="AH8930" s="2" t="str">
        <f ca="1"/>
        <v>Bad</v>
      </c>
    </row>
    <row r="8931" spans="2:34">
      <c r="B8931" s="2">
        <f ca="1"/>
        <v>0.2355048165577065</v>
      </c>
      <c r="O8931" s="2">
        <f ca="1"/>
        <v>0.99950744528807756</v>
      </c>
      <c r="X8931" s="2">
        <f ca="1"/>
        <v>54.089742219253054</v>
      </c>
      <c r="AG8931" s="2">
        <f ca="1"/>
        <v>0.53219076005884025</v>
      </c>
      <c r="AH8931" s="2" t="str">
        <f ca="1"/>
        <v>Bad</v>
      </c>
    </row>
    <row r="8932" spans="2:34">
      <c r="B8932" s="2">
        <f ca="1"/>
        <v>0.96867336263727077</v>
      </c>
      <c r="O8932" s="2">
        <f ca="1"/>
        <v>0.36129577849259287</v>
      </c>
      <c r="X8932" s="2">
        <f ca="1"/>
        <v>63.152862924406143</v>
      </c>
      <c r="AG8932" s="2">
        <f ca="1"/>
        <v>0.20268719440512828</v>
      </c>
      <c r="AH8932" s="2" t="str">
        <f ca="1"/>
        <v>OK</v>
      </c>
    </row>
    <row r="8933" spans="2:34">
      <c r="B8933" s="2">
        <f ca="1"/>
        <v>0.40339837566075665</v>
      </c>
      <c r="O8933" s="2">
        <f ca="1"/>
        <v>0.19910520386373862</v>
      </c>
      <c r="X8933" s="2">
        <f ca="1"/>
        <v>24.130744600386226</v>
      </c>
      <c r="AG8933" s="2">
        <f ca="1"/>
        <v>2.7579603761910043E-2</v>
      </c>
      <c r="AH8933" s="2" t="str">
        <f ca="1"/>
        <v>Good</v>
      </c>
    </row>
    <row r="8934" spans="2:34">
      <c r="B8934" s="2">
        <f ca="1"/>
        <v>4.1306507341350773E-2</v>
      </c>
      <c r="O8934" s="2">
        <f ca="1"/>
        <v>-0.91364113488562004</v>
      </c>
      <c r="X8934" s="2">
        <f ca="1"/>
        <v>34.701150573094502</v>
      </c>
      <c r="AG8934" s="2">
        <f ca="1"/>
        <v>0.82715045451883817</v>
      </c>
      <c r="AH8934" s="2" t="str">
        <f ca="1"/>
        <v>Bad</v>
      </c>
    </row>
    <row r="8935" spans="2:34">
      <c r="B8935" s="2">
        <f ca="1"/>
        <v>0.32049837546732141</v>
      </c>
      <c r="O8935" s="2">
        <f ca="1"/>
        <v>0.20297139316188437</v>
      </c>
      <c r="X8935" s="2">
        <f ca="1"/>
        <v>42.981361826949055</v>
      </c>
      <c r="AG8935" s="2">
        <f ca="1"/>
        <v>0.6853454058480053</v>
      </c>
      <c r="AH8935" s="2" t="str">
        <f ca="1"/>
        <v>Bad</v>
      </c>
    </row>
    <row r="8936" spans="2:34">
      <c r="B8936" s="2">
        <f ca="1"/>
        <v>0.22208266281837563</v>
      </c>
      <c r="O8936" s="2">
        <f ca="1"/>
        <v>-1.0899243550595621</v>
      </c>
      <c r="X8936" s="2">
        <f ca="1"/>
        <v>37.361353559750242</v>
      </c>
      <c r="AG8936" s="2">
        <f ca="1"/>
        <v>0.20549809830506827</v>
      </c>
      <c r="AH8936" s="2" t="str">
        <f ca="1"/>
        <v>OK</v>
      </c>
    </row>
    <row r="8937" spans="2:34">
      <c r="B8937" s="2">
        <f ca="1"/>
        <v>0.71309317971616859</v>
      </c>
      <c r="O8937" s="2">
        <f ca="1"/>
        <v>0.34974395440733708</v>
      </c>
      <c r="X8937" s="2">
        <f ca="1"/>
        <v>48.943969713578781</v>
      </c>
      <c r="AG8937" s="2">
        <f ca="1"/>
        <v>0.4893776851694962</v>
      </c>
      <c r="AH8937" s="2" t="str">
        <f ca="1"/>
        <v>Bad</v>
      </c>
    </row>
    <row r="8938" spans="2:34">
      <c r="B8938" s="2">
        <f ca="1"/>
        <v>0.22639654939107023</v>
      </c>
      <c r="O8938" s="2">
        <f ca="1"/>
        <v>0.13612281384268471</v>
      </c>
      <c r="X8938" s="2">
        <f ca="1"/>
        <v>29.836747159511798</v>
      </c>
      <c r="AG8938" s="2">
        <f ca="1"/>
        <v>0.18338950579754965</v>
      </c>
      <c r="AH8938" s="2" t="str">
        <f ca="1"/>
        <v>OK</v>
      </c>
    </row>
    <row r="8939" spans="2:34">
      <c r="B8939" s="2">
        <f ca="1"/>
        <v>0.60013314773844351</v>
      </c>
      <c r="O8939" s="2">
        <f ca="1"/>
        <v>0.78012020124346892</v>
      </c>
      <c r="X8939" s="2">
        <f ca="1"/>
        <v>30.100422096071181</v>
      </c>
      <c r="AG8939" s="2">
        <f ca="1"/>
        <v>0.56384652622945985</v>
      </c>
      <c r="AH8939" s="2" t="str">
        <f ca="1"/>
        <v>Bad</v>
      </c>
    </row>
    <row r="8940" spans="2:34">
      <c r="B8940" s="2">
        <f ca="1"/>
        <v>0.25651606429706386</v>
      </c>
      <c r="O8940" s="2">
        <f ca="1"/>
        <v>-0.20976097715402053</v>
      </c>
      <c r="X8940" s="2">
        <f ca="1"/>
        <v>37.961640023996537</v>
      </c>
      <c r="AG8940" s="2">
        <f ca="1"/>
        <v>0.32240583405615086</v>
      </c>
      <c r="AH8940" s="2" t="str">
        <f ca="1"/>
        <v>OK</v>
      </c>
    </row>
    <row r="8941" spans="2:34">
      <c r="B8941" s="2">
        <f ca="1"/>
        <v>0.2240111808495624</v>
      </c>
      <c r="O8941" s="2">
        <f ca="1"/>
        <v>0.68754014264897256</v>
      </c>
      <c r="X8941" s="2">
        <f ca="1"/>
        <v>34.367793486932811</v>
      </c>
      <c r="AG8941" s="2">
        <f ca="1"/>
        <v>0.58351789932408837</v>
      </c>
      <c r="AH8941" s="2" t="str">
        <f ca="1"/>
        <v>Bad</v>
      </c>
    </row>
    <row r="8942" spans="2:34">
      <c r="B8942" s="2">
        <f ca="1"/>
        <v>0.25163812688056164</v>
      </c>
      <c r="O8942" s="2">
        <f ca="1"/>
        <v>-1.2865931038472003</v>
      </c>
      <c r="X8942" s="2">
        <f ca="1"/>
        <v>71.174416126557261</v>
      </c>
      <c r="AG8942" s="2">
        <f ca="1"/>
        <v>0.88850031038140154</v>
      </c>
      <c r="AH8942" s="2" t="str">
        <f ca="1"/>
        <v>Bad</v>
      </c>
    </row>
    <row r="8943" spans="2:34">
      <c r="B8943" s="2">
        <f ca="1"/>
        <v>0.67036546262911689</v>
      </c>
      <c r="O8943" s="2">
        <f ca="1"/>
        <v>0.11300306814852389</v>
      </c>
      <c r="X8943" s="2">
        <f ca="1"/>
        <v>37.550474067927972</v>
      </c>
      <c r="AG8943" s="2">
        <f ca="1"/>
        <v>0.64400312505992252</v>
      </c>
      <c r="AH8943" s="2" t="str">
        <f ca="1"/>
        <v>Bad</v>
      </c>
    </row>
    <row r="8944" spans="2:34">
      <c r="B8944" s="2">
        <f ca="1"/>
        <v>0.88040001842961679</v>
      </c>
      <c r="O8944" s="2">
        <f ca="1"/>
        <v>0.402076869623607</v>
      </c>
      <c r="X8944" s="2">
        <f ca="1"/>
        <v>30.379646034371564</v>
      </c>
      <c r="AG8944" s="2">
        <f ca="1"/>
        <v>0.48597786242812302</v>
      </c>
      <c r="AH8944" s="2" t="str">
        <f ca="1"/>
        <v>Bad</v>
      </c>
    </row>
    <row r="8945" spans="2:34">
      <c r="B8945" s="2">
        <f ca="1"/>
        <v>0.85736772463517474</v>
      </c>
      <c r="O8945" s="2">
        <f ca="1"/>
        <v>0.69197779352224931</v>
      </c>
      <c r="X8945" s="2">
        <f ca="1"/>
        <v>41.920076574182787</v>
      </c>
      <c r="AG8945" s="2">
        <f ca="1"/>
        <v>0.50817650241963275</v>
      </c>
      <c r="AH8945" s="2" t="str">
        <f ca="1"/>
        <v>Bad</v>
      </c>
    </row>
    <row r="8946" spans="2:34">
      <c r="B8946" s="2">
        <f ca="1"/>
        <v>0.16018540454689378</v>
      </c>
      <c r="O8946" s="2">
        <f ca="1"/>
        <v>-2.1538017790062081</v>
      </c>
      <c r="X8946" s="2">
        <f ca="1"/>
        <v>39.391504888252499</v>
      </c>
      <c r="AG8946" s="2">
        <f ca="1"/>
        <v>0.18560371344061166</v>
      </c>
      <c r="AH8946" s="2" t="str">
        <f ca="1"/>
        <v>OK</v>
      </c>
    </row>
    <row r="8947" spans="2:34">
      <c r="B8947" s="2">
        <f ca="1"/>
        <v>0.22343138621938641</v>
      </c>
      <c r="O8947" s="2">
        <f ca="1"/>
        <v>-0.10241941117859558</v>
      </c>
      <c r="X8947" s="2">
        <f ca="1"/>
        <v>21.095322966889356</v>
      </c>
      <c r="AG8947" s="2">
        <f ca="1"/>
        <v>0.39186766103402082</v>
      </c>
      <c r="AH8947" s="2" t="str">
        <f ca="1"/>
        <v>OK</v>
      </c>
    </row>
    <row r="8948" spans="2:34">
      <c r="B8948" s="2">
        <f ca="1"/>
        <v>0.76265192308315299</v>
      </c>
      <c r="O8948" s="2">
        <f ca="1"/>
        <v>-1.5142480792055892</v>
      </c>
      <c r="X8948" s="2">
        <f ca="1"/>
        <v>25.425222821612525</v>
      </c>
      <c r="AG8948" s="2">
        <f ca="1"/>
        <v>0.63578352932327875</v>
      </c>
      <c r="AH8948" s="2" t="str">
        <f ca="1"/>
        <v>Bad</v>
      </c>
    </row>
    <row r="8949" spans="2:34">
      <c r="B8949" s="2">
        <f ca="1"/>
        <v>0.26073960719137412</v>
      </c>
      <c r="O8949" s="2">
        <f ca="1"/>
        <v>1.5310873717836766</v>
      </c>
      <c r="X8949" s="2">
        <f ca="1"/>
        <v>53.767571369961203</v>
      </c>
      <c r="AG8949" s="2">
        <f ca="1"/>
        <v>0.35588852156193562</v>
      </c>
      <c r="AH8949" s="2" t="str">
        <f ca="1"/>
        <v>OK</v>
      </c>
    </row>
    <row r="8950" spans="2:34">
      <c r="B8950" s="2">
        <f ca="1"/>
        <v>0.62063483056460056</v>
      </c>
      <c r="O8950" s="2">
        <f ca="1"/>
        <v>0.431494316612413</v>
      </c>
      <c r="X8950" s="2">
        <f ca="1"/>
        <v>31.734691338669364</v>
      </c>
      <c r="AG8950" s="2">
        <f ca="1"/>
        <v>0.92762699653250547</v>
      </c>
      <c r="AH8950" s="2" t="str">
        <f ca="1"/>
        <v>Bad</v>
      </c>
    </row>
    <row r="8951" spans="2:34">
      <c r="B8951" s="2">
        <f ca="1"/>
        <v>0.14770360201467825</v>
      </c>
      <c r="O8951" s="2">
        <f ca="1"/>
        <v>0.25029368930605195</v>
      </c>
      <c r="X8951" s="2">
        <f ca="1"/>
        <v>42.595143770904485</v>
      </c>
      <c r="AG8951" s="2">
        <f ca="1"/>
        <v>0.37057954310461239</v>
      </c>
      <c r="AH8951" s="2" t="str">
        <f ca="1"/>
        <v>OK</v>
      </c>
    </row>
    <row r="8952" spans="2:34">
      <c r="B8952" s="2">
        <f ca="1"/>
        <v>0.75765277919584428</v>
      </c>
      <c r="O8952" s="2">
        <f ca="1"/>
        <v>-0.30114983410862056</v>
      </c>
      <c r="X8952" s="2">
        <f ca="1"/>
        <v>25.303866056474703</v>
      </c>
      <c r="AG8952" s="2">
        <f ca="1"/>
        <v>0.1722515072187909</v>
      </c>
      <c r="AH8952" s="2" t="str">
        <f ca="1"/>
        <v>OK</v>
      </c>
    </row>
    <row r="8953" spans="2:34">
      <c r="B8953" s="2">
        <f ca="1"/>
        <v>9.4049128657781367E-2</v>
      </c>
      <c r="O8953" s="2">
        <f ca="1"/>
        <v>-0.82621358964523151</v>
      </c>
      <c r="X8953" s="2">
        <f ca="1"/>
        <v>41.154298418813923</v>
      </c>
      <c r="AG8953" s="2">
        <f ca="1"/>
        <v>0.18995573421250533</v>
      </c>
      <c r="AH8953" s="2" t="str">
        <f ca="1"/>
        <v>OK</v>
      </c>
    </row>
    <row r="8954" spans="2:34">
      <c r="B8954" s="2">
        <f ca="1"/>
        <v>0.42459358108267686</v>
      </c>
      <c r="O8954" s="2">
        <f ca="1"/>
        <v>-0.62614635586135969</v>
      </c>
      <c r="X8954" s="2">
        <f ca="1"/>
        <v>42.980577188699144</v>
      </c>
      <c r="AG8954" s="2">
        <f ca="1"/>
        <v>0.86323666168814306</v>
      </c>
      <c r="AH8954" s="2" t="str">
        <f ca="1"/>
        <v>Bad</v>
      </c>
    </row>
    <row r="8955" spans="2:34">
      <c r="B8955" s="2">
        <f ca="1"/>
        <v>0.90156394666161033</v>
      </c>
      <c r="O8955" s="2">
        <f ca="1"/>
        <v>-0.81598989065567629</v>
      </c>
      <c r="X8955" s="2">
        <f ca="1"/>
        <v>27.167664846101843</v>
      </c>
      <c r="AG8955" s="2">
        <f ca="1"/>
        <v>0.18402937984766177</v>
      </c>
      <c r="AH8955" s="2" t="str">
        <f ca="1"/>
        <v>OK</v>
      </c>
    </row>
    <row r="8956" spans="2:34">
      <c r="B8956" s="2">
        <f ca="1"/>
        <v>0.12844770789837656</v>
      </c>
      <c r="O8956" s="2">
        <f ca="1"/>
        <v>-0.57122776733503122</v>
      </c>
      <c r="X8956" s="2">
        <f ca="1"/>
        <v>72.795341187612038</v>
      </c>
      <c r="AG8956" s="2">
        <f ca="1"/>
        <v>0.89615935104064026</v>
      </c>
      <c r="AH8956" s="2" t="str">
        <f ca="1"/>
        <v>Bad</v>
      </c>
    </row>
    <row r="8957" spans="2:34">
      <c r="B8957" s="2">
        <f ca="1"/>
        <v>0.80378747424201147</v>
      </c>
      <c r="O8957" s="2">
        <f ca="1"/>
        <v>-0.94672693597415336</v>
      </c>
      <c r="X8957" s="2">
        <f ca="1"/>
        <v>62.562487481234463</v>
      </c>
      <c r="AG8957" s="2">
        <f ca="1"/>
        <v>0.951510136739248</v>
      </c>
      <c r="AH8957" s="2" t="str">
        <f ca="1"/>
        <v>Bad</v>
      </c>
    </row>
    <row r="8958" spans="2:34">
      <c r="B8958" s="2">
        <f ca="1"/>
        <v>0.54310898082017145</v>
      </c>
      <c r="O8958" s="2">
        <f ca="1"/>
        <v>2.1589331010696031</v>
      </c>
      <c r="X8958" s="2">
        <f ca="1"/>
        <v>63.593684051871804</v>
      </c>
      <c r="AG8958" s="2">
        <f ca="1"/>
        <v>0.85679458332234582</v>
      </c>
      <c r="AH8958" s="2" t="str">
        <f ca="1"/>
        <v>Bad</v>
      </c>
    </row>
    <row r="8959" spans="2:34">
      <c r="B8959" s="2">
        <f ca="1"/>
        <v>0.9417432576312923</v>
      </c>
      <c r="O8959" s="2">
        <f ca="1"/>
        <v>0.15595730428414883</v>
      </c>
      <c r="X8959" s="2">
        <f ca="1"/>
        <v>48.764003233615547</v>
      </c>
      <c r="AG8959" s="2">
        <f ca="1"/>
        <v>1.3390239177879959E-2</v>
      </c>
      <c r="AH8959" s="2" t="str">
        <f ca="1"/>
        <v>Good</v>
      </c>
    </row>
    <row r="8960" spans="2:34">
      <c r="B8960" s="2">
        <f ca="1"/>
        <v>0.75595143310243818</v>
      </c>
      <c r="O8960" s="2">
        <f ca="1"/>
        <v>-0.50295300016736666</v>
      </c>
      <c r="X8960" s="2">
        <f ca="1"/>
        <v>46.191025343075452</v>
      </c>
      <c r="AG8960" s="2">
        <f ca="1"/>
        <v>0.44866358482889024</v>
      </c>
      <c r="AH8960" s="2" t="str">
        <f ca="1"/>
        <v>Bad</v>
      </c>
    </row>
    <row r="8961" spans="2:34">
      <c r="B8961" s="2">
        <f ca="1"/>
        <v>0.90302797696793569</v>
      </c>
      <c r="O8961" s="2">
        <f ca="1"/>
        <v>-2.0670818730292106</v>
      </c>
      <c r="X8961" s="2">
        <f ca="1"/>
        <v>67.026184946788007</v>
      </c>
      <c r="AG8961" s="2">
        <f ca="1"/>
        <v>0.47845990839971253</v>
      </c>
      <c r="AH8961" s="2" t="str">
        <f ca="1"/>
        <v>Bad</v>
      </c>
    </row>
    <row r="8962" spans="2:34">
      <c r="B8962" s="2">
        <f ca="1"/>
        <v>0.83365092866953683</v>
      </c>
      <c r="O8962" s="2">
        <f ca="1"/>
        <v>3.9527877368665192E-2</v>
      </c>
      <c r="X8962" s="2">
        <f ca="1"/>
        <v>17.363969789845843</v>
      </c>
      <c r="AG8962" s="2">
        <f ca="1"/>
        <v>0.60767265881648025</v>
      </c>
      <c r="AH8962" s="2" t="str">
        <f ca="1"/>
        <v>Bad</v>
      </c>
    </row>
    <row r="8963" spans="2:34">
      <c r="B8963" s="2">
        <f ca="1"/>
        <v>0.48669692951431043</v>
      </c>
      <c r="O8963" s="2">
        <f ca="1"/>
        <v>-0.36889337415051432</v>
      </c>
      <c r="X8963" s="2">
        <f ca="1"/>
        <v>78.464639316328331</v>
      </c>
      <c r="AG8963" s="2">
        <f ca="1"/>
        <v>0.18538520517522472</v>
      </c>
      <c r="AH8963" s="2" t="str">
        <f ca="1"/>
        <v>OK</v>
      </c>
    </row>
    <row r="8964" spans="2:34">
      <c r="B8964" s="2">
        <f ca="1"/>
        <v>0.76907166799300875</v>
      </c>
      <c r="O8964" s="2">
        <f ca="1"/>
        <v>0.41382797113223152</v>
      </c>
      <c r="X8964" s="2">
        <f ca="1"/>
        <v>45.708839272140679</v>
      </c>
      <c r="AG8964" s="2">
        <f ca="1"/>
        <v>0.92542873088021138</v>
      </c>
      <c r="AH8964" s="2" t="str">
        <f ca="1"/>
        <v>Bad</v>
      </c>
    </row>
    <row r="8965" spans="2:34">
      <c r="B8965" s="2">
        <f ca="1"/>
        <v>0.52612062695662898</v>
      </c>
      <c r="O8965" s="2">
        <f ca="1"/>
        <v>0.3531178485980937</v>
      </c>
      <c r="X8965" s="2">
        <f ca="1"/>
        <v>62.845319015346519</v>
      </c>
      <c r="AG8965" s="2">
        <f ca="1"/>
        <v>0.6288764106436513</v>
      </c>
      <c r="AH8965" s="2" t="str">
        <f ca="1"/>
        <v>Bad</v>
      </c>
    </row>
    <row r="8966" spans="2:34">
      <c r="B8966" s="2">
        <f ca="1"/>
        <v>0.94625926079073119</v>
      </c>
      <c r="O8966" s="2">
        <f ca="1"/>
        <v>-5.0236168306643063E-3</v>
      </c>
      <c r="X8966" s="2">
        <f ca="1"/>
        <v>46.777220073695375</v>
      </c>
      <c r="AG8966" s="2">
        <f ca="1"/>
        <v>4.5454426489905941E-2</v>
      </c>
      <c r="AH8966" s="2" t="str">
        <f ca="1"/>
        <v>Good</v>
      </c>
    </row>
    <row r="8967" spans="2:34">
      <c r="B8967" s="2">
        <f ca="1"/>
        <v>0.37996504046998325</v>
      </c>
      <c r="O8967" s="2">
        <f ca="1"/>
        <v>0.66831283665063779</v>
      </c>
      <c r="X8967" s="2">
        <f ca="1"/>
        <v>51.629899111939466</v>
      </c>
      <c r="AG8967" s="2">
        <f ca="1"/>
        <v>0.63185654110718459</v>
      </c>
      <c r="AH8967" s="2" t="str">
        <f ca="1"/>
        <v>Bad</v>
      </c>
    </row>
    <row r="8968" spans="2:34">
      <c r="B8968" s="2">
        <f ca="1"/>
        <v>0.55575788342288535</v>
      </c>
      <c r="O8968" s="2">
        <f ca="1"/>
        <v>0.40330241374743298</v>
      </c>
      <c r="X8968" s="2">
        <f ca="1"/>
        <v>75.050482363141555</v>
      </c>
      <c r="AG8968" s="2">
        <f ca="1"/>
        <v>0.94932169805888811</v>
      </c>
      <c r="AH8968" s="2" t="str">
        <f ca="1"/>
        <v>Bad</v>
      </c>
    </row>
    <row r="8969" spans="2:34">
      <c r="B8969" s="2">
        <f ca="1"/>
        <v>3.5579983400257698E-2</v>
      </c>
      <c r="O8969" s="2">
        <f ca="1"/>
        <v>6.1741465595530301E-2</v>
      </c>
      <c r="X8969" s="2">
        <f ca="1"/>
        <v>48.446446932640477</v>
      </c>
      <c r="AG8969" s="2">
        <f ca="1"/>
        <v>0.27805797085075512</v>
      </c>
      <c r="AH8969" s="2" t="str">
        <f ca="1"/>
        <v>OK</v>
      </c>
    </row>
    <row r="8970" spans="2:34">
      <c r="B8970" s="2">
        <f ca="1"/>
        <v>0.91861997720904442</v>
      </c>
      <c r="O8970" s="2">
        <f ca="1"/>
        <v>0.54398233497098569</v>
      </c>
      <c r="X8970" s="2">
        <f ca="1"/>
        <v>67.287123588924999</v>
      </c>
      <c r="AG8970" s="2">
        <f ca="1"/>
        <v>0.305980141014216</v>
      </c>
      <c r="AH8970" s="2" t="str">
        <f ca="1"/>
        <v>OK</v>
      </c>
    </row>
    <row r="8971" spans="2:34">
      <c r="B8971" s="2">
        <f ca="1"/>
        <v>0.26995360271780378</v>
      </c>
      <c r="O8971" s="2">
        <f ca="1"/>
        <v>-0.38904004110699325</v>
      </c>
      <c r="X8971" s="2">
        <f ca="1"/>
        <v>69.282059571656333</v>
      </c>
      <c r="AG8971" s="2">
        <f ca="1"/>
        <v>0.2974785033608931</v>
      </c>
      <c r="AH8971" s="2" t="str">
        <f ca="1"/>
        <v>OK</v>
      </c>
    </row>
    <row r="8972" spans="2:34">
      <c r="B8972" s="2">
        <f ca="1"/>
        <v>0.81763977200751636</v>
      </c>
      <c r="O8972" s="2">
        <f ca="1"/>
        <v>-1.0953383910415537</v>
      </c>
      <c r="X8972" s="2">
        <f ca="1"/>
        <v>47.009898539463208</v>
      </c>
      <c r="AG8972" s="2">
        <f ca="1"/>
        <v>0.47410029119431307</v>
      </c>
      <c r="AH8972" s="2" t="str">
        <f ca="1"/>
        <v>Bad</v>
      </c>
    </row>
    <row r="8973" spans="2:34">
      <c r="B8973" s="2">
        <f ca="1"/>
        <v>0.44380361055583517</v>
      </c>
      <c r="O8973" s="2">
        <f ca="1"/>
        <v>-0.76498107152509787</v>
      </c>
      <c r="X8973" s="2">
        <f ca="1"/>
        <v>37.620841383907326</v>
      </c>
      <c r="AG8973" s="2">
        <f ca="1"/>
        <v>0.91403451149452941</v>
      </c>
      <c r="AH8973" s="2" t="str">
        <f ca="1"/>
        <v>Bad</v>
      </c>
    </row>
    <row r="8974" spans="2:34">
      <c r="B8974" s="2">
        <f ca="1"/>
        <v>7.7745348484508758E-2</v>
      </c>
      <c r="O8974" s="2">
        <f ca="1"/>
        <v>1.0830069945828209</v>
      </c>
      <c r="X8974" s="2">
        <f ca="1"/>
        <v>97.351156571151051</v>
      </c>
      <c r="AG8974" s="2">
        <f ca="1"/>
        <v>0.56807013379235571</v>
      </c>
      <c r="AH8974" s="2" t="str">
        <f ca="1"/>
        <v>Bad</v>
      </c>
    </row>
    <row r="8975" spans="2:34">
      <c r="B8975" s="2">
        <f ca="1"/>
        <v>0.88800853394126378</v>
      </c>
      <c r="O8975" s="2">
        <f ca="1"/>
        <v>1.1642423312537986</v>
      </c>
      <c r="X8975" s="2">
        <f ca="1"/>
        <v>45.165068312610579</v>
      </c>
      <c r="AG8975" s="2">
        <f ca="1"/>
        <v>0.173693832504344</v>
      </c>
      <c r="AH8975" s="2" t="str">
        <f ca="1"/>
        <v>OK</v>
      </c>
    </row>
    <row r="8976" spans="2:34">
      <c r="B8976" s="2">
        <f ca="1"/>
        <v>0.13641622167215339</v>
      </c>
      <c r="O8976" s="2">
        <f ca="1"/>
        <v>-1.0056118924169652</v>
      </c>
      <c r="X8976" s="2">
        <f ca="1"/>
        <v>56.035715429270461</v>
      </c>
      <c r="AG8976" s="2">
        <f ca="1"/>
        <v>7.898786356457288E-2</v>
      </c>
      <c r="AH8976" s="2" t="str">
        <f ca="1"/>
        <v>OK</v>
      </c>
    </row>
    <row r="8977" spans="2:34">
      <c r="B8977" s="2">
        <f ca="1"/>
        <v>0.54582633793560187</v>
      </c>
      <c r="O8977" s="2">
        <f ca="1"/>
        <v>1.3026731862019529</v>
      </c>
      <c r="X8977" s="2">
        <f ca="1"/>
        <v>56.2557454922418</v>
      </c>
      <c r="AG8977" s="2">
        <f ca="1"/>
        <v>0.28206567610596966</v>
      </c>
      <c r="AH8977" s="2" t="str">
        <f ca="1"/>
        <v>OK</v>
      </c>
    </row>
    <row r="8978" spans="2:34">
      <c r="B8978" s="2">
        <f ca="1"/>
        <v>0.48774665017108276</v>
      </c>
      <c r="O8978" s="2">
        <f ca="1"/>
        <v>-1.6435341274633122</v>
      </c>
      <c r="X8978" s="2">
        <f ca="1"/>
        <v>63.378541184361893</v>
      </c>
      <c r="AG8978" s="2">
        <f ca="1"/>
        <v>0.96600130820258467</v>
      </c>
      <c r="AH8978" s="2" t="str">
        <f ca="1"/>
        <v>Bad</v>
      </c>
    </row>
    <row r="8979" spans="2:34">
      <c r="B8979" s="2">
        <f ca="1"/>
        <v>0.97802853757720976</v>
      </c>
      <c r="O8979" s="2">
        <f ca="1"/>
        <v>-0.74993670223513487</v>
      </c>
      <c r="X8979" s="2">
        <f ca="1"/>
        <v>33.212993347572976</v>
      </c>
      <c r="AG8979" s="2">
        <f ca="1"/>
        <v>0.19673337142719238</v>
      </c>
      <c r="AH8979" s="2" t="str">
        <f ca="1"/>
        <v>OK</v>
      </c>
    </row>
    <row r="8980" spans="2:34">
      <c r="B8980" s="2">
        <f ca="1"/>
        <v>0.40082359088185449</v>
      </c>
      <c r="O8980" s="2">
        <f ca="1"/>
        <v>0.99245024750130117</v>
      </c>
      <c r="X8980" s="2">
        <f ca="1"/>
        <v>65.302594128139987</v>
      </c>
      <c r="AG8980" s="2">
        <f ca="1"/>
        <v>0.63408830787670833</v>
      </c>
      <c r="AH8980" s="2" t="str">
        <f ca="1"/>
        <v>Bad</v>
      </c>
    </row>
    <row r="8981" spans="2:34">
      <c r="B8981" s="2">
        <f ca="1"/>
        <v>0.34725100663532116</v>
      </c>
      <c r="O8981" s="2">
        <f ca="1"/>
        <v>-1.0312971081516413</v>
      </c>
      <c r="X8981" s="2">
        <f ca="1"/>
        <v>39.793438959241151</v>
      </c>
      <c r="AG8981" s="2">
        <f ca="1"/>
        <v>8.0452501818036204E-2</v>
      </c>
      <c r="AH8981" s="2" t="str">
        <f ca="1"/>
        <v>OK</v>
      </c>
    </row>
    <row r="8982" spans="2:34">
      <c r="B8982" s="2">
        <f ca="1"/>
        <v>0.25998343466100193</v>
      </c>
      <c r="O8982" s="2">
        <f ca="1"/>
        <v>-1.0580023432534227</v>
      </c>
      <c r="X8982" s="2">
        <f ca="1"/>
        <v>39.028768549512606</v>
      </c>
      <c r="AG8982" s="2">
        <f ca="1"/>
        <v>0.45258658428835097</v>
      </c>
      <c r="AH8982" s="2" t="str">
        <f ca="1"/>
        <v>Bad</v>
      </c>
    </row>
    <row r="8983" spans="2:34">
      <c r="B8983" s="2">
        <f ca="1"/>
        <v>0.57931120369984401</v>
      </c>
      <c r="O8983" s="2">
        <f ca="1"/>
        <v>-0.68139283320439137</v>
      </c>
      <c r="X8983" s="2">
        <f ca="1"/>
        <v>55.656477420647377</v>
      </c>
      <c r="AG8983" s="2">
        <f ca="1"/>
        <v>2.8927809648933822E-2</v>
      </c>
      <c r="AH8983" s="2" t="str">
        <f ca="1"/>
        <v>Good</v>
      </c>
    </row>
    <row r="8984" spans="2:34">
      <c r="B8984" s="2">
        <f ca="1"/>
        <v>0.22554751931970496</v>
      </c>
      <c r="O8984" s="2">
        <f ca="1"/>
        <v>0.77551378449619968</v>
      </c>
      <c r="X8984" s="2">
        <f ca="1"/>
        <v>84.558107389638494</v>
      </c>
      <c r="AG8984" s="2">
        <f ca="1"/>
        <v>0.62326906691008355</v>
      </c>
      <c r="AH8984" s="2" t="str">
        <f ca="1"/>
        <v>Bad</v>
      </c>
    </row>
    <row r="8985" spans="2:34">
      <c r="B8985" s="2">
        <f ca="1"/>
        <v>0.58778332151002077</v>
      </c>
      <c r="O8985" s="2">
        <f ca="1"/>
        <v>0.70896798813218176</v>
      </c>
      <c r="X8985" s="2">
        <f ca="1"/>
        <v>25.161065544706886</v>
      </c>
      <c r="AG8985" s="2">
        <f ca="1"/>
        <v>0.6629622153339727</v>
      </c>
      <c r="AH8985" s="2" t="str">
        <f ca="1"/>
        <v>Bad</v>
      </c>
    </row>
    <row r="8986" spans="2:34">
      <c r="B8986" s="2">
        <f ca="1"/>
        <v>0.97741474196618805</v>
      </c>
      <c r="O8986" s="2">
        <f ca="1"/>
        <v>0.32332070128744289</v>
      </c>
      <c r="X8986" s="2">
        <f ca="1"/>
        <v>55.815964007360549</v>
      </c>
      <c r="AG8986" s="2">
        <f ca="1"/>
        <v>0.57183248513499052</v>
      </c>
      <c r="AH8986" s="2" t="str">
        <f ca="1"/>
        <v>Bad</v>
      </c>
    </row>
    <row r="8987" spans="2:34">
      <c r="B8987" s="2">
        <f ca="1"/>
        <v>0.8186986028903338</v>
      </c>
      <c r="O8987" s="2">
        <f ca="1"/>
        <v>-1.3952760787871397</v>
      </c>
      <c r="X8987" s="2">
        <f ca="1"/>
        <v>20.638957143647865</v>
      </c>
      <c r="AG8987" s="2">
        <f ca="1"/>
        <v>0.69138009966365055</v>
      </c>
      <c r="AH8987" s="2" t="str">
        <f ca="1"/>
        <v>Bad</v>
      </c>
    </row>
    <row r="8988" spans="2:34">
      <c r="B8988" s="2">
        <f ca="1"/>
        <v>9.4071997236082172E-2</v>
      </c>
      <c r="O8988" s="2">
        <f ca="1"/>
        <v>-0.4433386220831006</v>
      </c>
      <c r="X8988" s="2">
        <f ca="1"/>
        <v>80.54997123322002</v>
      </c>
      <c r="AG8988" s="2">
        <f ca="1"/>
        <v>0.41823571348539534</v>
      </c>
      <c r="AH8988" s="2" t="str">
        <f ca="1"/>
        <v>Bad</v>
      </c>
    </row>
    <row r="8989" spans="2:34">
      <c r="B8989" s="2">
        <f ca="1"/>
        <v>0.93644647912716317</v>
      </c>
      <c r="O8989" s="2">
        <f ca="1"/>
        <v>-0.76534352740203815</v>
      </c>
      <c r="X8989" s="2">
        <f ca="1"/>
        <v>71.160255116526216</v>
      </c>
      <c r="AG8989" s="2">
        <f ca="1"/>
        <v>0.16217040569739427</v>
      </c>
      <c r="AH8989" s="2" t="str">
        <f ca="1"/>
        <v>OK</v>
      </c>
    </row>
    <row r="8990" spans="2:34">
      <c r="B8990" s="2">
        <f ca="1"/>
        <v>0.33436901721158629</v>
      </c>
      <c r="O8990" s="2">
        <f ca="1"/>
        <v>-0.91398235195565869</v>
      </c>
      <c r="X8990" s="2">
        <f ca="1"/>
        <v>47.293269696246085</v>
      </c>
      <c r="AG8990" s="2">
        <f ca="1"/>
        <v>0.87482540175012091</v>
      </c>
      <c r="AH8990" s="2" t="str">
        <f ca="1"/>
        <v>Bad</v>
      </c>
    </row>
    <row r="8991" spans="2:34">
      <c r="B8991" s="2">
        <f ca="1"/>
        <v>0.51539868058922611</v>
      </c>
      <c r="O8991" s="2">
        <f ca="1"/>
        <v>1.3486015227312418</v>
      </c>
      <c r="X8991" s="2">
        <f ca="1"/>
        <v>39.883551524752441</v>
      </c>
      <c r="AG8991" s="2">
        <f ca="1"/>
        <v>0.74010514769116775</v>
      </c>
      <c r="AH8991" s="2" t="str">
        <f ca="1"/>
        <v>Bad</v>
      </c>
    </row>
    <row r="8992" spans="2:34">
      <c r="B8992" s="2">
        <f ca="1"/>
        <v>0.14228668601618621</v>
      </c>
      <c r="O8992" s="2">
        <f ca="1"/>
        <v>-0.85918580120118437</v>
      </c>
      <c r="X8992" s="2">
        <f ca="1"/>
        <v>42.732846098860762</v>
      </c>
      <c r="AG8992" s="2">
        <f ca="1"/>
        <v>0.4885180965345568</v>
      </c>
      <c r="AH8992" s="2" t="str">
        <f ca="1"/>
        <v>Bad</v>
      </c>
    </row>
    <row r="8993" spans="2:34">
      <c r="B8993" s="2">
        <f ca="1"/>
        <v>0.74739443745178424</v>
      </c>
      <c r="O8993" s="2">
        <f ca="1"/>
        <v>0.6243181790013439</v>
      </c>
      <c r="X8993" s="2">
        <f ca="1"/>
        <v>42.381259829921731</v>
      </c>
      <c r="AG8993" s="2">
        <f ca="1"/>
        <v>0.89345759158484683</v>
      </c>
      <c r="AH8993" s="2" t="str">
        <f ca="1"/>
        <v>Bad</v>
      </c>
    </row>
    <row r="8994" spans="2:34">
      <c r="B8994" s="2">
        <f ca="1"/>
        <v>0.41265154735542087</v>
      </c>
      <c r="O8994" s="2">
        <f ca="1"/>
        <v>-1.0421584022310089</v>
      </c>
      <c r="X8994" s="2">
        <f ca="1"/>
        <v>35.122573372502572</v>
      </c>
      <c r="AG8994" s="2">
        <f ca="1"/>
        <v>0.38791319981481598</v>
      </c>
      <c r="AH8994" s="2" t="str">
        <f ca="1"/>
        <v>OK</v>
      </c>
    </row>
    <row r="8995" spans="2:34">
      <c r="B8995" s="2">
        <f ca="1"/>
        <v>0.8466416369639731</v>
      </c>
      <c r="O8995" s="2">
        <f ca="1"/>
        <v>-1.1596629228505353</v>
      </c>
      <c r="X8995" s="2">
        <f ca="1"/>
        <v>28.579970255901451</v>
      </c>
      <c r="AG8995" s="2">
        <f ca="1"/>
        <v>0.18122697136708221</v>
      </c>
      <c r="AH8995" s="2" t="str">
        <f ca="1"/>
        <v>OK</v>
      </c>
    </row>
    <row r="8996" spans="2:34">
      <c r="B8996" s="2">
        <f ca="1"/>
        <v>0.53479139522013597</v>
      </c>
      <c r="O8996" s="2">
        <f ca="1"/>
        <v>1.0137277049072804</v>
      </c>
      <c r="X8996" s="2">
        <f ca="1"/>
        <v>54.211539067267822</v>
      </c>
      <c r="AG8996" s="2">
        <f ca="1"/>
        <v>0.86367061211606311</v>
      </c>
      <c r="AH8996" s="2" t="str">
        <f ca="1"/>
        <v>Bad</v>
      </c>
    </row>
    <row r="8997" spans="2:34">
      <c r="B8997" s="2">
        <f ca="1"/>
        <v>0.11378232519750808</v>
      </c>
      <c r="O8997" s="2">
        <f ca="1"/>
        <v>0.37343715332293614</v>
      </c>
      <c r="X8997" s="2">
        <f ca="1"/>
        <v>54.80513498955947</v>
      </c>
      <c r="AG8997" s="2">
        <f ca="1"/>
        <v>0.85066694611536864</v>
      </c>
      <c r="AH8997" s="2" t="str">
        <f ca="1"/>
        <v>Bad</v>
      </c>
    </row>
    <row r="8998" spans="2:34">
      <c r="B8998" s="2">
        <f ca="1"/>
        <v>0.77744468489130281</v>
      </c>
      <c r="O8998" s="2">
        <f ca="1"/>
        <v>0.39516883936115721</v>
      </c>
      <c r="X8998" s="2">
        <f ca="1"/>
        <v>68.485648472259939</v>
      </c>
      <c r="AG8998" s="2">
        <f ca="1"/>
        <v>0.64284249614396294</v>
      </c>
      <c r="AH8998" s="2" t="str">
        <f ca="1"/>
        <v>Bad</v>
      </c>
    </row>
    <row r="8999" spans="2:34">
      <c r="B8999" s="2">
        <f ca="1"/>
        <v>4.5859654951688977E-2</v>
      </c>
      <c r="O8999" s="2">
        <f ca="1"/>
        <v>-0.87896876193278761</v>
      </c>
      <c r="X8999" s="2">
        <f ca="1"/>
        <v>50.770805963477358</v>
      </c>
      <c r="AG8999" s="2">
        <f ca="1"/>
        <v>0.61955792807542553</v>
      </c>
      <c r="AH8999" s="2" t="str">
        <f ca="1"/>
        <v>Bad</v>
      </c>
    </row>
    <row r="9000" spans="2:34">
      <c r="B9000" s="2">
        <f ca="1"/>
        <v>0.76338297543210021</v>
      </c>
      <c r="O9000" s="2">
        <f ca="1"/>
        <v>0.20436595661819165</v>
      </c>
      <c r="X9000" s="2">
        <f ca="1"/>
        <v>37.298993777382542</v>
      </c>
      <c r="AG9000" s="2">
        <f ca="1"/>
        <v>0.32328100306238383</v>
      </c>
      <c r="AH9000" s="2" t="str">
        <f ca="1"/>
        <v>OK</v>
      </c>
    </row>
    <row r="9001" spans="2:34">
      <c r="B9001" s="2">
        <f ca="1"/>
        <v>0.29045354436828785</v>
      </c>
      <c r="O9001" s="2">
        <f ca="1"/>
        <v>0.63072928032955489</v>
      </c>
      <c r="X9001" s="2">
        <f ca="1"/>
        <v>63.840416726683742</v>
      </c>
      <c r="AG9001" s="2">
        <f ca="1"/>
        <v>0.83116592432787706</v>
      </c>
      <c r="AH9001" s="2" t="str">
        <f ca="1"/>
        <v>Bad</v>
      </c>
    </row>
    <row r="9002" spans="2:34">
      <c r="B9002" s="2">
        <f ca="1"/>
        <v>7.7350146152616928E-2</v>
      </c>
      <c r="O9002" s="2">
        <f ca="1"/>
        <v>0.87334475965251201</v>
      </c>
      <c r="X9002" s="2">
        <f ca="1"/>
        <v>43.332598610853609</v>
      </c>
      <c r="AG9002" s="2">
        <f ca="1"/>
        <v>0.50223810352415543</v>
      </c>
      <c r="AH9002" s="2" t="str">
        <f ca="1"/>
        <v>Bad</v>
      </c>
    </row>
    <row r="9003" spans="2:34">
      <c r="B9003" s="2">
        <f ca="1"/>
        <v>0.62076999321235027</v>
      </c>
      <c r="O9003" s="2">
        <f ca="1"/>
        <v>-0.42555255025203781</v>
      </c>
      <c r="X9003" s="2">
        <f ca="1"/>
        <v>38.207550092640012</v>
      </c>
      <c r="AG9003" s="2">
        <f ca="1"/>
        <v>0.48952461229434663</v>
      </c>
      <c r="AH9003" s="2" t="str">
        <f ca="1"/>
        <v>Bad</v>
      </c>
    </row>
    <row r="9004" spans="2:34">
      <c r="B9004" s="2">
        <f ca="1"/>
        <v>0.15672265769000626</v>
      </c>
      <c r="O9004" s="2">
        <f ca="1"/>
        <v>0.25866420946691876</v>
      </c>
      <c r="X9004" s="2">
        <f ca="1"/>
        <v>71.013654550469425</v>
      </c>
      <c r="AG9004" s="2">
        <f ca="1"/>
        <v>0.25427437534311004</v>
      </c>
      <c r="AH9004" s="2" t="str">
        <f ca="1"/>
        <v>OK</v>
      </c>
    </row>
    <row r="9005" spans="2:34">
      <c r="B9005" s="2">
        <f ca="1"/>
        <v>0.16128375040494336</v>
      </c>
      <c r="O9005" s="2">
        <f ca="1"/>
        <v>-1.0517608690416214</v>
      </c>
      <c r="X9005" s="2">
        <f ca="1"/>
        <v>47.919271420878687</v>
      </c>
      <c r="AG9005" s="2">
        <f ca="1"/>
        <v>0.39946783824717524</v>
      </c>
      <c r="AH9005" s="2" t="str">
        <f ca="1"/>
        <v>OK</v>
      </c>
    </row>
    <row r="9006" spans="2:34">
      <c r="B9006" s="2">
        <f ca="1"/>
        <v>0.47122003730461848</v>
      </c>
      <c r="O9006" s="2">
        <f ca="1"/>
        <v>-0.53427379332025859</v>
      </c>
      <c r="X9006" s="2">
        <f ca="1"/>
        <v>46.593561731485913</v>
      </c>
      <c r="AG9006" s="2">
        <f ca="1"/>
        <v>0.67011886298956713</v>
      </c>
      <c r="AH9006" s="2" t="str">
        <f ca="1"/>
        <v>Bad</v>
      </c>
    </row>
    <row r="9007" spans="2:34">
      <c r="B9007" s="2">
        <f ca="1"/>
        <v>0.53904354382942676</v>
      </c>
      <c r="O9007" s="2">
        <f ca="1"/>
        <v>-1.109561956481026</v>
      </c>
      <c r="X9007" s="2">
        <f ca="1"/>
        <v>52.884950221775533</v>
      </c>
      <c r="AG9007" s="2">
        <f ca="1"/>
        <v>0.62516694930567085</v>
      </c>
      <c r="AH9007" s="2" t="str">
        <f ca="1"/>
        <v>Bad</v>
      </c>
    </row>
    <row r="9008" spans="2:34">
      <c r="B9008" s="2">
        <f ca="1"/>
        <v>0.32157027034099794</v>
      </c>
      <c r="O9008" s="2">
        <f ca="1"/>
        <v>1.3531181414346853</v>
      </c>
      <c r="X9008" s="2">
        <f ca="1"/>
        <v>49.385142921366835</v>
      </c>
      <c r="AG9008" s="2">
        <f ca="1"/>
        <v>0.21570910192745663</v>
      </c>
      <c r="AH9008" s="2" t="str">
        <f ca="1"/>
        <v>OK</v>
      </c>
    </row>
    <row r="9009" spans="2:34">
      <c r="B9009" s="2">
        <f ca="1"/>
        <v>0.59862169841646695</v>
      </c>
      <c r="O9009" s="2">
        <f ca="1"/>
        <v>-0.14021926576060884</v>
      </c>
      <c r="X9009" s="2">
        <f ca="1"/>
        <v>50.182774919744766</v>
      </c>
      <c r="AG9009" s="2">
        <f ca="1"/>
        <v>0.33671662314095507</v>
      </c>
      <c r="AH9009" s="2" t="str">
        <f ca="1"/>
        <v>OK</v>
      </c>
    </row>
    <row r="9010" spans="2:34">
      <c r="B9010" s="2">
        <f ca="1"/>
        <v>0.43080674753248838</v>
      </c>
      <c r="O9010" s="2">
        <f ca="1"/>
        <v>-0.3346796137919773</v>
      </c>
      <c r="X9010" s="2">
        <f ca="1"/>
        <v>45.800745061353673</v>
      </c>
      <c r="AG9010" s="2">
        <f ca="1"/>
        <v>0.98093881870452382</v>
      </c>
      <c r="AH9010" s="2" t="str">
        <f ca="1"/>
        <v>Bad</v>
      </c>
    </row>
    <row r="9011" spans="2:34">
      <c r="B9011" s="2">
        <f ca="1"/>
        <v>0.42770549204469765</v>
      </c>
      <c r="O9011" s="2">
        <f ca="1"/>
        <v>1.1747588942164351</v>
      </c>
      <c r="X9011" s="2">
        <f ca="1"/>
        <v>64.454753151599022</v>
      </c>
      <c r="AG9011" s="2">
        <f ca="1"/>
        <v>0.51366213788076043</v>
      </c>
      <c r="AH9011" s="2" t="str">
        <f ca="1"/>
        <v>Bad</v>
      </c>
    </row>
    <row r="9012" spans="2:34">
      <c r="B9012" s="2">
        <f ca="1"/>
        <v>0.82742952712118845</v>
      </c>
      <c r="O9012" s="2">
        <f ca="1"/>
        <v>3.1177471703015587</v>
      </c>
      <c r="X9012" s="2">
        <f ca="1"/>
        <v>39.423020917801608</v>
      </c>
      <c r="AG9012" s="2">
        <f ca="1"/>
        <v>0.3159447299271767</v>
      </c>
      <c r="AH9012" s="2" t="str">
        <f ca="1"/>
        <v>OK</v>
      </c>
    </row>
    <row r="9013" spans="2:34">
      <c r="B9013" s="2">
        <f ca="1"/>
        <v>0.83836586337377295</v>
      </c>
      <c r="O9013" s="2">
        <f ca="1"/>
        <v>-0.29506475130182869</v>
      </c>
      <c r="X9013" s="2">
        <f ca="1"/>
        <v>72.567029238197605</v>
      </c>
      <c r="AG9013" s="2">
        <f ca="1"/>
        <v>0.75242355657585125</v>
      </c>
      <c r="AH9013" s="2" t="str">
        <f ca="1"/>
        <v>Bad</v>
      </c>
    </row>
    <row r="9014" spans="2:34">
      <c r="B9014" s="2">
        <f ca="1"/>
        <v>0.87402677605253087</v>
      </c>
      <c r="O9014" s="2">
        <f ca="1"/>
        <v>-0.15918072576831757</v>
      </c>
      <c r="X9014" s="2">
        <f ca="1"/>
        <v>71.855556116106555</v>
      </c>
      <c r="AG9014" s="2">
        <f ca="1"/>
        <v>0.87208027834724633</v>
      </c>
      <c r="AH9014" s="2" t="str">
        <f ca="1"/>
        <v>Bad</v>
      </c>
    </row>
    <row r="9015" spans="2:34">
      <c r="B9015" s="2">
        <f ca="1"/>
        <v>0.72535918963884405</v>
      </c>
      <c r="O9015" s="2">
        <f ca="1"/>
        <v>-0.37696156834711564</v>
      </c>
      <c r="X9015" s="2">
        <f ca="1"/>
        <v>68.039712574242245</v>
      </c>
      <c r="AG9015" s="2">
        <f ca="1"/>
        <v>0.72629166834397596</v>
      </c>
      <c r="AH9015" s="2" t="str">
        <f ca="1"/>
        <v>Bad</v>
      </c>
    </row>
    <row r="9016" spans="2:34">
      <c r="B9016" s="2">
        <f ca="1"/>
        <v>0.6848899586769881</v>
      </c>
      <c r="O9016" s="2">
        <f ca="1"/>
        <v>-5.3529221822004078E-2</v>
      </c>
      <c r="X9016" s="2">
        <f ca="1"/>
        <v>43.321392734868439</v>
      </c>
      <c r="AG9016" s="2">
        <f ca="1"/>
        <v>0.70863033502604167</v>
      </c>
      <c r="AH9016" s="2" t="str">
        <f ca="1"/>
        <v>Bad</v>
      </c>
    </row>
    <row r="9017" spans="2:34">
      <c r="B9017" s="2">
        <f ca="1"/>
        <v>0.64654038599552699</v>
      </c>
      <c r="O9017" s="2">
        <f ca="1"/>
        <v>-1.2427214806469873</v>
      </c>
      <c r="X9017" s="2">
        <f ca="1"/>
        <v>37.124816669037372</v>
      </c>
      <c r="AG9017" s="2">
        <f ca="1"/>
        <v>0.49097691591508719</v>
      </c>
      <c r="AH9017" s="2" t="str">
        <f ca="1"/>
        <v>Bad</v>
      </c>
    </row>
    <row r="9018" spans="2:34">
      <c r="B9018" s="2">
        <f ca="1"/>
        <v>0.67587143233356173</v>
      </c>
      <c r="O9018" s="2">
        <f ca="1"/>
        <v>0.24855133954088179</v>
      </c>
      <c r="X9018" s="2">
        <f ca="1"/>
        <v>35.786016447344011</v>
      </c>
      <c r="AG9018" s="2">
        <f ca="1"/>
        <v>0.72981396800563481</v>
      </c>
      <c r="AH9018" s="2" t="str">
        <f ca="1"/>
        <v>Bad</v>
      </c>
    </row>
    <row r="9019" spans="2:34">
      <c r="B9019" s="2">
        <f ca="1"/>
        <v>0.45013606981425469</v>
      </c>
      <c r="O9019" s="2">
        <f ca="1"/>
        <v>0.36953949754403742</v>
      </c>
      <c r="X9019" s="2">
        <f ca="1"/>
        <v>52.13726462335076</v>
      </c>
      <c r="AG9019" s="2">
        <f ca="1"/>
        <v>0.4323302180533759</v>
      </c>
      <c r="AH9019" s="2" t="str">
        <f ca="1"/>
        <v>Bad</v>
      </c>
    </row>
    <row r="9020" spans="2:34">
      <c r="B9020" s="2">
        <f ca="1"/>
        <v>0.82199294805860368</v>
      </c>
      <c r="O9020" s="2">
        <f ca="1"/>
        <v>2.1455994305388448</v>
      </c>
      <c r="X9020" s="2">
        <f ca="1"/>
        <v>62.265223380284169</v>
      </c>
      <c r="AG9020" s="2">
        <f ca="1"/>
        <v>0.88798574236387973</v>
      </c>
      <c r="AH9020" s="2" t="str">
        <f ca="1"/>
        <v>Bad</v>
      </c>
    </row>
    <row r="9021" spans="2:34">
      <c r="B9021" s="2">
        <f ca="1"/>
        <v>0.1030463666228878</v>
      </c>
      <c r="O9021" s="2">
        <f ca="1"/>
        <v>-1.6011540241178139</v>
      </c>
      <c r="X9021" s="2">
        <f ca="1"/>
        <v>45.420702422963416</v>
      </c>
      <c r="AG9021" s="2">
        <f ca="1"/>
        <v>0.4313090079936448</v>
      </c>
      <c r="AH9021" s="2" t="str">
        <f ca="1"/>
        <v>Bad</v>
      </c>
    </row>
    <row r="9022" spans="2:34">
      <c r="B9022" s="2">
        <f ca="1"/>
        <v>0.956473324601534</v>
      </c>
      <c r="O9022" s="2">
        <f ca="1"/>
        <v>0.46006212936789592</v>
      </c>
      <c r="X9022" s="2">
        <f ca="1"/>
        <v>57.394725755457621</v>
      </c>
      <c r="AG9022" s="2">
        <f ca="1"/>
        <v>7.7902025422935894E-2</v>
      </c>
      <c r="AH9022" s="2" t="str">
        <f ca="1"/>
        <v>OK</v>
      </c>
    </row>
    <row r="9023" spans="2:34">
      <c r="B9023" s="2">
        <f ca="1"/>
        <v>0.45055249285383581</v>
      </c>
      <c r="O9023" s="2">
        <f ca="1"/>
        <v>0.5684475034766181</v>
      </c>
      <c r="X9023" s="2">
        <f ca="1"/>
        <v>79.59226087052555</v>
      </c>
      <c r="AG9023" s="2">
        <f ca="1"/>
        <v>0.1560494886421222</v>
      </c>
      <c r="AH9023" s="2" t="str">
        <f ca="1"/>
        <v>OK</v>
      </c>
    </row>
    <row r="9024" spans="2:34">
      <c r="B9024" s="2">
        <f ca="1"/>
        <v>0.28824690857252877</v>
      </c>
      <c r="O9024" s="2">
        <f ca="1"/>
        <v>-0.19522645576704253</v>
      </c>
      <c r="X9024" s="2">
        <f ca="1"/>
        <v>78.067523607003452</v>
      </c>
      <c r="AG9024" s="2">
        <f ca="1"/>
        <v>0.64001838872783079</v>
      </c>
      <c r="AH9024" s="2" t="str">
        <f ca="1"/>
        <v>Bad</v>
      </c>
    </row>
    <row r="9025" spans="2:34">
      <c r="B9025" s="2">
        <f ca="1"/>
        <v>0.29372040979819936</v>
      </c>
      <c r="O9025" s="2">
        <f ca="1"/>
        <v>0.44463706821712917</v>
      </c>
      <c r="X9025" s="2">
        <f ca="1"/>
        <v>23.475875385098398</v>
      </c>
      <c r="AG9025" s="2">
        <f ca="1"/>
        <v>0.33706556286007872</v>
      </c>
      <c r="AH9025" s="2" t="str">
        <f ca="1"/>
        <v>OK</v>
      </c>
    </row>
    <row r="9026" spans="2:34">
      <c r="B9026" s="2">
        <f ca="1"/>
        <v>0.91589854425390826</v>
      </c>
      <c r="O9026" s="2">
        <f ca="1"/>
        <v>1.0139545306858346</v>
      </c>
      <c r="X9026" s="2">
        <f ca="1"/>
        <v>42.580832158300048</v>
      </c>
      <c r="AG9026" s="2">
        <f ca="1"/>
        <v>0.83617607671883842</v>
      </c>
      <c r="AH9026" s="2" t="str">
        <f ca="1"/>
        <v>Bad</v>
      </c>
    </row>
    <row r="9027" spans="2:34">
      <c r="B9027" s="2">
        <f ca="1"/>
        <v>0.98852381386057364</v>
      </c>
      <c r="O9027" s="2">
        <f ca="1"/>
        <v>-0.7154322350257788</v>
      </c>
      <c r="X9027" s="2">
        <f ca="1"/>
        <v>35.012491587205645</v>
      </c>
      <c r="AG9027" s="2">
        <f ca="1"/>
        <v>0.45154768258975087</v>
      </c>
      <c r="AH9027" s="2" t="str">
        <f ca="1"/>
        <v>Bad</v>
      </c>
    </row>
    <row r="9028" spans="2:34">
      <c r="B9028" s="2">
        <f ca="1"/>
        <v>0.70869655914701646</v>
      </c>
      <c r="O9028" s="2">
        <f ca="1"/>
        <v>-1.2216389069332774</v>
      </c>
      <c r="X9028" s="2">
        <f ca="1"/>
        <v>28.456909042150027</v>
      </c>
      <c r="AG9028" s="2">
        <f ca="1"/>
        <v>0.66153045595111504</v>
      </c>
      <c r="AH9028" s="2" t="str">
        <f ca="1"/>
        <v>Bad</v>
      </c>
    </row>
    <row r="9029" spans="2:34">
      <c r="B9029" s="2">
        <f ca="1"/>
        <v>0.49387886445108053</v>
      </c>
      <c r="O9029" s="2">
        <f ca="1"/>
        <v>0.27180317528893944</v>
      </c>
      <c r="X9029" s="2">
        <f ca="1"/>
        <v>50.996784946692287</v>
      </c>
      <c r="AG9029" s="2">
        <f ca="1"/>
        <v>0.69622793424872831</v>
      </c>
      <c r="AH9029" s="2" t="str">
        <f ca="1"/>
        <v>Bad</v>
      </c>
    </row>
    <row r="9030" spans="2:34">
      <c r="B9030" s="2">
        <f ca="1"/>
        <v>0.56840448090334039</v>
      </c>
      <c r="O9030" s="2">
        <f ca="1"/>
        <v>0.44553914846137238</v>
      </c>
      <c r="X9030" s="2">
        <f ca="1"/>
        <v>82.189163322486905</v>
      </c>
      <c r="AG9030" s="2">
        <f ca="1"/>
        <v>0.88082763644302697</v>
      </c>
      <c r="AH9030" s="2" t="str">
        <f ca="1"/>
        <v>Bad</v>
      </c>
    </row>
    <row r="9031" spans="2:34">
      <c r="B9031" s="2">
        <f ca="1"/>
        <v>0.22455296125495505</v>
      </c>
      <c r="O9031" s="2">
        <f ca="1"/>
        <v>-1.1478942003341228</v>
      </c>
      <c r="X9031" s="2">
        <f ca="1"/>
        <v>31.137426248828216</v>
      </c>
      <c r="AG9031" s="2">
        <f ca="1"/>
        <v>0.24488478257158786</v>
      </c>
      <c r="AH9031" s="2" t="str">
        <f ca="1"/>
        <v>OK</v>
      </c>
    </row>
    <row r="9032" spans="2:34">
      <c r="B9032" s="2">
        <f ca="1"/>
        <v>0.32255078045741414</v>
      </c>
      <c r="O9032" s="2">
        <f ca="1"/>
        <v>0.21018664885385777</v>
      </c>
      <c r="X9032" s="2">
        <f ca="1"/>
        <v>41.667755947561389</v>
      </c>
      <c r="AG9032" s="2">
        <f ca="1"/>
        <v>0.14917362075042551</v>
      </c>
      <c r="AH9032" s="2" t="str">
        <f ca="1"/>
        <v>OK</v>
      </c>
    </row>
    <row r="9033" spans="2:34">
      <c r="B9033" s="2">
        <f ca="1"/>
        <v>0.56267432996554678</v>
      </c>
      <c r="O9033" s="2">
        <f ca="1"/>
        <v>-7.5070551947980218E-3</v>
      </c>
      <c r="X9033" s="2">
        <f ca="1"/>
        <v>37.373828649817888</v>
      </c>
      <c r="AG9033" s="2">
        <f ca="1"/>
        <v>0.13589423781978027</v>
      </c>
      <c r="AH9033" s="2" t="str">
        <f ca="1"/>
        <v>OK</v>
      </c>
    </row>
    <row r="9034" spans="2:34">
      <c r="B9034" s="2">
        <f ca="1"/>
        <v>0.43910004393076374</v>
      </c>
      <c r="O9034" s="2">
        <f ca="1"/>
        <v>1.8289644986563538</v>
      </c>
      <c r="X9034" s="2">
        <f ca="1"/>
        <v>35.334231422894604</v>
      </c>
      <c r="AG9034" s="2">
        <f ca="1"/>
        <v>0.40205149760003223</v>
      </c>
      <c r="AH9034" s="2" t="str">
        <f ca="1"/>
        <v>Bad</v>
      </c>
    </row>
    <row r="9035" spans="2:34">
      <c r="B9035" s="2">
        <f ca="1"/>
        <v>0.99151765589042107</v>
      </c>
      <c r="O9035" s="2">
        <f ca="1"/>
        <v>-9.2899432746282276E-2</v>
      </c>
      <c r="X9035" s="2">
        <f ca="1"/>
        <v>48.533672611333159</v>
      </c>
      <c r="AG9035" s="2">
        <f ca="1"/>
        <v>0.58653534331624479</v>
      </c>
      <c r="AH9035" s="2" t="str">
        <f ca="1"/>
        <v>Bad</v>
      </c>
    </row>
    <row r="9036" spans="2:34">
      <c r="B9036" s="2">
        <f ca="1"/>
        <v>0.59880238914753559</v>
      </c>
      <c r="O9036" s="2">
        <f ca="1"/>
        <v>-0.96537100362603678</v>
      </c>
      <c r="X9036" s="2">
        <f ca="1"/>
        <v>28.15599586687042</v>
      </c>
      <c r="AG9036" s="2">
        <f ca="1"/>
        <v>0.73270072972408729</v>
      </c>
      <c r="AH9036" s="2" t="str">
        <f ca="1"/>
        <v>Bad</v>
      </c>
    </row>
    <row r="9037" spans="2:34">
      <c r="B9037" s="2">
        <f ca="1"/>
        <v>0.16546088386866931</v>
      </c>
      <c r="O9037" s="2">
        <f ca="1"/>
        <v>-0.19730684290987638</v>
      </c>
      <c r="X9037" s="2">
        <f ca="1"/>
        <v>86.69400338234874</v>
      </c>
      <c r="AG9037" s="2">
        <f ca="1"/>
        <v>0.30782720512380535</v>
      </c>
      <c r="AH9037" s="2" t="str">
        <f ca="1"/>
        <v>OK</v>
      </c>
    </row>
    <row r="9038" spans="2:34">
      <c r="B9038" s="2">
        <f ca="1"/>
        <v>0.65364628532777425</v>
      </c>
      <c r="O9038" s="2">
        <f ca="1"/>
        <v>-0.33936747233627024</v>
      </c>
      <c r="X9038" s="2">
        <f ca="1"/>
        <v>56.774071190801088</v>
      </c>
      <c r="AG9038" s="2">
        <f ca="1"/>
        <v>0.72213797018718862</v>
      </c>
      <c r="AH9038" s="2" t="str">
        <f ca="1"/>
        <v>Bad</v>
      </c>
    </row>
    <row r="9039" spans="2:34">
      <c r="B9039" s="2">
        <f ca="1"/>
        <v>0.97420023905337949</v>
      </c>
      <c r="O9039" s="2">
        <f ca="1"/>
        <v>1.2848528866432016</v>
      </c>
      <c r="X9039" s="2">
        <f ca="1"/>
        <v>46.805279240298255</v>
      </c>
      <c r="AG9039" s="2">
        <f ca="1"/>
        <v>0.8750715417799988</v>
      </c>
      <c r="AH9039" s="2" t="str">
        <f ca="1"/>
        <v>Bad</v>
      </c>
    </row>
    <row r="9040" spans="2:34">
      <c r="B9040" s="2">
        <f ca="1"/>
        <v>0.10410980156133909</v>
      </c>
      <c r="O9040" s="2">
        <f ca="1"/>
        <v>0.65656066946688485</v>
      </c>
      <c r="X9040" s="2">
        <f ca="1"/>
        <v>28.730062677638919</v>
      </c>
      <c r="AG9040" s="2">
        <f ca="1"/>
        <v>0.37099837136382718</v>
      </c>
      <c r="AH9040" s="2" t="str">
        <f ca="1"/>
        <v>OK</v>
      </c>
    </row>
    <row r="9041" spans="2:34">
      <c r="B9041" s="2">
        <f ca="1"/>
        <v>0.7069426884423633</v>
      </c>
      <c r="O9041" s="2">
        <f ca="1"/>
        <v>5.5828215900593182E-3</v>
      </c>
      <c r="X9041" s="2">
        <f ca="1"/>
        <v>60.850747685850536</v>
      </c>
      <c r="AG9041" s="2">
        <f ca="1"/>
        <v>0.52866689346518281</v>
      </c>
      <c r="AH9041" s="2" t="str">
        <f ca="1"/>
        <v>Bad</v>
      </c>
    </row>
    <row r="9042" spans="2:34">
      <c r="B9042" s="2">
        <f ca="1"/>
        <v>8.8660621840568776E-2</v>
      </c>
      <c r="O9042" s="2">
        <f ca="1"/>
        <v>-0.41754568683458659</v>
      </c>
      <c r="X9042" s="2">
        <f ca="1"/>
        <v>21.680886613092252</v>
      </c>
      <c r="AG9042" s="2">
        <f ca="1"/>
        <v>0.25811941033567098</v>
      </c>
      <c r="AH9042" s="2" t="str">
        <f ca="1"/>
        <v>OK</v>
      </c>
    </row>
    <row r="9043" spans="2:34">
      <c r="B9043" s="2">
        <f ca="1"/>
        <v>0.77032117011196588</v>
      </c>
      <c r="O9043" s="2">
        <f ca="1"/>
        <v>0.19436501421657093</v>
      </c>
      <c r="X9043" s="2">
        <f ca="1"/>
        <v>18.632051112318106</v>
      </c>
      <c r="AG9043" s="2">
        <f ca="1"/>
        <v>0.57594726786812278</v>
      </c>
      <c r="AH9043" s="2" t="str">
        <f ca="1"/>
        <v>Bad</v>
      </c>
    </row>
    <row r="9044" spans="2:34">
      <c r="B9044" s="2">
        <f ca="1"/>
        <v>0.37063607373947072</v>
      </c>
      <c r="O9044" s="2">
        <f ca="1"/>
        <v>-0.80416340820570065</v>
      </c>
      <c r="X9044" s="2">
        <f ca="1"/>
        <v>57.148043229800869</v>
      </c>
      <c r="AG9044" s="2">
        <f ca="1"/>
        <v>0.17203668074645728</v>
      </c>
      <c r="AH9044" s="2" t="str">
        <f ca="1"/>
        <v>OK</v>
      </c>
    </row>
    <row r="9045" spans="2:34">
      <c r="B9045" s="2">
        <f ca="1"/>
        <v>0.17706822294528868</v>
      </c>
      <c r="O9045" s="2">
        <f ca="1"/>
        <v>1.5590908265336203</v>
      </c>
      <c r="X9045" s="2">
        <f ca="1"/>
        <v>55.358318450756904</v>
      </c>
      <c r="AG9045" s="2">
        <f ca="1"/>
        <v>0.90747825783162983</v>
      </c>
      <c r="AH9045" s="2" t="str">
        <f ca="1"/>
        <v>Bad</v>
      </c>
    </row>
    <row r="9046" spans="2:34">
      <c r="B9046" s="2">
        <f ca="1"/>
        <v>0.85198108951196638</v>
      </c>
      <c r="O9046" s="2">
        <f ca="1"/>
        <v>-3.7304345505254917E-2</v>
      </c>
      <c r="X9046" s="2">
        <f ca="1"/>
        <v>53.422247242277592</v>
      </c>
      <c r="AG9046" s="2">
        <f ca="1"/>
        <v>1.013850136617056E-2</v>
      </c>
      <c r="AH9046" s="2" t="str">
        <f ca="1"/>
        <v>Good</v>
      </c>
    </row>
    <row r="9047" spans="2:34">
      <c r="B9047" s="2">
        <f ca="1"/>
        <v>0.61659089201880546</v>
      </c>
      <c r="O9047" s="2">
        <f ca="1"/>
        <v>7.649293965348454E-2</v>
      </c>
      <c r="X9047" s="2">
        <f ca="1"/>
        <v>72.741643333841907</v>
      </c>
      <c r="AG9047" s="2">
        <f ca="1"/>
        <v>0.58649884108860806</v>
      </c>
      <c r="AH9047" s="2" t="str">
        <f ca="1"/>
        <v>Bad</v>
      </c>
    </row>
    <row r="9048" spans="2:34">
      <c r="B9048" s="2">
        <f ca="1"/>
        <v>0.87189091747950553</v>
      </c>
      <c r="O9048" s="2">
        <f ca="1"/>
        <v>1.353331364222921</v>
      </c>
      <c r="X9048" s="2">
        <f ca="1"/>
        <v>37.902524945276227</v>
      </c>
      <c r="AG9048" s="2">
        <f ca="1"/>
        <v>0.1726238935353106</v>
      </c>
      <c r="AH9048" s="2" t="str">
        <f ca="1"/>
        <v>OK</v>
      </c>
    </row>
    <row r="9049" spans="2:34">
      <c r="B9049" s="2">
        <f ca="1"/>
        <v>0.18278879485054844</v>
      </c>
      <c r="O9049" s="2">
        <f ca="1"/>
        <v>-8.0546917989127928E-2</v>
      </c>
      <c r="X9049" s="2">
        <f ca="1"/>
        <v>43.968585424838054</v>
      </c>
      <c r="AG9049" s="2">
        <f ca="1"/>
        <v>0.37616351572751117</v>
      </c>
      <c r="AH9049" s="2" t="str">
        <f ca="1"/>
        <v>OK</v>
      </c>
    </row>
    <row r="9050" spans="2:34">
      <c r="B9050" s="2">
        <f ca="1"/>
        <v>0.78931257262349086</v>
      </c>
      <c r="O9050" s="2">
        <f ca="1"/>
        <v>1.5257429356560861</v>
      </c>
      <c r="X9050" s="2">
        <f ca="1"/>
        <v>38.977398299291231</v>
      </c>
      <c r="AG9050" s="2">
        <f ca="1"/>
        <v>0.3508294967757366</v>
      </c>
      <c r="AH9050" s="2" t="str">
        <f ca="1"/>
        <v>OK</v>
      </c>
    </row>
    <row r="9051" spans="2:34">
      <c r="B9051" s="2">
        <f ca="1"/>
        <v>0.10933804949081516</v>
      </c>
      <c r="O9051" s="2">
        <f ca="1"/>
        <v>0.26037928642123381</v>
      </c>
      <c r="X9051" s="2">
        <f ca="1"/>
        <v>25.176133027624793</v>
      </c>
      <c r="AG9051" s="2">
        <f ca="1"/>
        <v>0.92319610789680295</v>
      </c>
      <c r="AH9051" s="2" t="str">
        <f ca="1"/>
        <v>Bad</v>
      </c>
    </row>
    <row r="9052" spans="2:34">
      <c r="B9052" s="2">
        <f ca="1"/>
        <v>0.91371941546126245</v>
      </c>
      <c r="O9052" s="2">
        <f ca="1"/>
        <v>0.62155291573899552</v>
      </c>
      <c r="X9052" s="2">
        <f ca="1"/>
        <v>40.990848400888197</v>
      </c>
      <c r="AG9052" s="2">
        <f ca="1"/>
        <v>0.52437024959535261</v>
      </c>
      <c r="AH9052" s="2" t="str">
        <f ca="1"/>
        <v>Bad</v>
      </c>
    </row>
    <row r="9053" spans="2:34">
      <c r="B9053" s="2">
        <f ca="1"/>
        <v>0.37576362752057269</v>
      </c>
      <c r="O9053" s="2">
        <f ca="1"/>
        <v>0.30136531868394245</v>
      </c>
      <c r="X9053" s="2">
        <f ca="1"/>
        <v>56.051408202972127</v>
      </c>
      <c r="AG9053" s="2">
        <f ca="1"/>
        <v>0.46987440718913964</v>
      </c>
      <c r="AH9053" s="2" t="str">
        <f ca="1"/>
        <v>Bad</v>
      </c>
    </row>
    <row r="9054" spans="2:34">
      <c r="B9054" s="2">
        <f ca="1"/>
        <v>0.44337651164948166</v>
      </c>
      <c r="O9054" s="2">
        <f ca="1"/>
        <v>1.7702561727807986</v>
      </c>
      <c r="X9054" s="2">
        <f ca="1"/>
        <v>37.036136421923359</v>
      </c>
      <c r="AG9054" s="2">
        <f ca="1"/>
        <v>0.21312511060510508</v>
      </c>
      <c r="AH9054" s="2" t="str">
        <f ca="1"/>
        <v>OK</v>
      </c>
    </row>
    <row r="9055" spans="2:34">
      <c r="B9055" s="2">
        <f ca="1"/>
        <v>0.67246687002714056</v>
      </c>
      <c r="O9055" s="2">
        <f ca="1"/>
        <v>-1.4980227080784763</v>
      </c>
      <c r="X9055" s="2">
        <f ca="1"/>
        <v>81.264922228720735</v>
      </c>
      <c r="AG9055" s="2">
        <f ca="1"/>
        <v>0.18209273703303674</v>
      </c>
      <c r="AH9055" s="2" t="str">
        <f ca="1"/>
        <v>OK</v>
      </c>
    </row>
    <row r="9056" spans="2:34">
      <c r="B9056" s="2">
        <f ca="1"/>
        <v>0.24179111527276675</v>
      </c>
      <c r="O9056" s="2">
        <f ca="1"/>
        <v>5.045078178398521E-2</v>
      </c>
      <c r="X9056" s="2">
        <f ca="1"/>
        <v>31.007903908842486</v>
      </c>
      <c r="AG9056" s="2">
        <f ca="1"/>
        <v>0.92048613687444769</v>
      </c>
      <c r="AH9056" s="2" t="str">
        <f ca="1"/>
        <v>Bad</v>
      </c>
    </row>
    <row r="9057" spans="2:34">
      <c r="B9057" s="2">
        <f ca="1"/>
        <v>0.25483318561205603</v>
      </c>
      <c r="O9057" s="2">
        <f ca="1"/>
        <v>0.41535915526094985</v>
      </c>
      <c r="X9057" s="2">
        <f ca="1"/>
        <v>56.153280152174204</v>
      </c>
      <c r="AG9057" s="2">
        <f ca="1"/>
        <v>0.38583284225623893</v>
      </c>
      <c r="AH9057" s="2" t="str">
        <f ca="1"/>
        <v>OK</v>
      </c>
    </row>
    <row r="9058" spans="2:34">
      <c r="B9058" s="2">
        <f ca="1"/>
        <v>0.33509578380609084</v>
      </c>
      <c r="O9058" s="2">
        <f ca="1"/>
        <v>-0.9649436832412388</v>
      </c>
      <c r="X9058" s="2">
        <f ca="1"/>
        <v>43.216582276140187</v>
      </c>
      <c r="AG9058" s="2">
        <f ca="1"/>
        <v>0.85053552362022145</v>
      </c>
      <c r="AH9058" s="2" t="str">
        <f ca="1"/>
        <v>Bad</v>
      </c>
    </row>
    <row r="9059" spans="2:34">
      <c r="B9059" s="2">
        <f ca="1"/>
        <v>0.48503781263729984</v>
      </c>
      <c r="O9059" s="2">
        <f ca="1"/>
        <v>0.5769228768511393</v>
      </c>
      <c r="X9059" s="2">
        <f ca="1"/>
        <v>49.652676839028082</v>
      </c>
      <c r="AG9059" s="2">
        <f ca="1"/>
        <v>0.76291758054851133</v>
      </c>
      <c r="AH9059" s="2" t="str">
        <f ca="1"/>
        <v>Bad</v>
      </c>
    </row>
    <row r="9060" spans="2:34">
      <c r="B9060" s="2">
        <f ca="1"/>
        <v>0.17048878565760317</v>
      </c>
      <c r="O9060" s="2">
        <f ca="1"/>
        <v>-1.1240641926067625</v>
      </c>
      <c r="X9060" s="2">
        <f ca="1"/>
        <v>54.885881207515943</v>
      </c>
      <c r="AG9060" s="2">
        <f ca="1"/>
        <v>0.84351857152306464</v>
      </c>
      <c r="AH9060" s="2" t="str">
        <f ca="1"/>
        <v>Bad</v>
      </c>
    </row>
    <row r="9061" spans="2:34">
      <c r="B9061" s="2">
        <f ca="1"/>
        <v>0.19485770434144878</v>
      </c>
      <c r="O9061" s="2">
        <f ca="1"/>
        <v>0.21279297955244195</v>
      </c>
      <c r="X9061" s="2">
        <f ca="1"/>
        <v>38.811463218210427</v>
      </c>
      <c r="AG9061" s="2">
        <f ca="1"/>
        <v>0.21386268214894177</v>
      </c>
      <c r="AH9061" s="2" t="str">
        <f ca="1"/>
        <v>OK</v>
      </c>
    </row>
    <row r="9062" spans="2:34">
      <c r="B9062" s="2">
        <f ca="1"/>
        <v>0.73418027463101665</v>
      </c>
      <c r="O9062" s="2">
        <f ca="1"/>
        <v>0.26992588858638061</v>
      </c>
      <c r="X9062" s="2">
        <f ca="1"/>
        <v>33.919307485043269</v>
      </c>
      <c r="AG9062" s="2">
        <f ca="1"/>
        <v>0.5297813291024791</v>
      </c>
      <c r="AH9062" s="2" t="str">
        <f ca="1"/>
        <v>Bad</v>
      </c>
    </row>
    <row r="9063" spans="2:34">
      <c r="B9063" s="2">
        <f ca="1"/>
        <v>0.90151800183589215</v>
      </c>
      <c r="O9063" s="2">
        <f ca="1"/>
        <v>-0.66572228707205006</v>
      </c>
      <c r="X9063" s="2">
        <f ca="1"/>
        <v>37.477446585735798</v>
      </c>
      <c r="AG9063" s="2">
        <f ca="1"/>
        <v>0.65488820141002946</v>
      </c>
      <c r="AH9063" s="2" t="str">
        <f ca="1"/>
        <v>Bad</v>
      </c>
    </row>
    <row r="9064" spans="2:34">
      <c r="B9064" s="2">
        <f ca="1"/>
        <v>0.67485774067456239</v>
      </c>
      <c r="O9064" s="2">
        <f ca="1"/>
        <v>-1.5179030192195435</v>
      </c>
      <c r="X9064" s="2">
        <f ca="1"/>
        <v>54.3571773670905</v>
      </c>
      <c r="AG9064" s="2">
        <f ca="1"/>
        <v>2.6987438242629391E-2</v>
      </c>
      <c r="AH9064" s="2" t="str">
        <f ca="1"/>
        <v>Good</v>
      </c>
    </row>
    <row r="9065" spans="2:34">
      <c r="B9065" s="2">
        <f ca="1"/>
        <v>0.17668305386601335</v>
      </c>
      <c r="O9065" s="2">
        <f ca="1"/>
        <v>-0.59748213273165374</v>
      </c>
      <c r="X9065" s="2">
        <f ca="1"/>
        <v>26.740152758520264</v>
      </c>
      <c r="AG9065" s="2">
        <f ca="1"/>
        <v>0.4279961346789436</v>
      </c>
      <c r="AH9065" s="2" t="str">
        <f ca="1"/>
        <v>Bad</v>
      </c>
    </row>
    <row r="9066" spans="2:34">
      <c r="B9066" s="2">
        <f ca="1"/>
        <v>0.78092917548221408</v>
      </c>
      <c r="O9066" s="2">
        <f ca="1"/>
        <v>-2.4829330028504457</v>
      </c>
      <c r="X9066" s="2">
        <f ca="1"/>
        <v>42.347536312075093</v>
      </c>
      <c r="AG9066" s="2">
        <f ca="1"/>
        <v>0.25927939083503837</v>
      </c>
      <c r="AH9066" s="2" t="str">
        <f ca="1"/>
        <v>OK</v>
      </c>
    </row>
    <row r="9067" spans="2:34">
      <c r="B9067" s="2">
        <f ca="1"/>
        <v>0.44738554305903344</v>
      </c>
      <c r="O9067" s="2">
        <f ca="1"/>
        <v>0.59784512434761117</v>
      </c>
      <c r="X9067" s="2">
        <f ca="1"/>
        <v>72.144378816508393</v>
      </c>
      <c r="AG9067" s="2">
        <f ca="1"/>
        <v>4.2428300205981095E-2</v>
      </c>
      <c r="AH9067" s="2" t="str">
        <f ca="1"/>
        <v>Good</v>
      </c>
    </row>
    <row r="9068" spans="2:34">
      <c r="B9068" s="2">
        <f ca="1"/>
        <v>0.89415520465483689</v>
      </c>
      <c r="O9068" s="2">
        <f ca="1"/>
        <v>9.7097450351846096E-2</v>
      </c>
      <c r="X9068" s="2">
        <f ca="1"/>
        <v>32.255212213820329</v>
      </c>
      <c r="AG9068" s="2">
        <f ca="1"/>
        <v>0.92681406996301741</v>
      </c>
      <c r="AH9068" s="2" t="str">
        <f ca="1"/>
        <v>Bad</v>
      </c>
    </row>
    <row r="9069" spans="2:34">
      <c r="B9069" s="2">
        <f ca="1"/>
        <v>0.41255672424272372</v>
      </c>
      <c r="O9069" s="2">
        <f ca="1"/>
        <v>-0.26027974559136441</v>
      </c>
      <c r="X9069" s="2">
        <f ca="1"/>
        <v>72.309357534994632</v>
      </c>
      <c r="AG9069" s="2">
        <f ca="1"/>
        <v>0.4043092883476298</v>
      </c>
      <c r="AH9069" s="2" t="str">
        <f ca="1"/>
        <v>Bad</v>
      </c>
    </row>
    <row r="9070" spans="2:34">
      <c r="B9070" s="2">
        <f ca="1"/>
        <v>0.71570510990882052</v>
      </c>
      <c r="O9070" s="2">
        <f ca="1"/>
        <v>-3.2456114207104919E-3</v>
      </c>
      <c r="X9070" s="2">
        <f ca="1"/>
        <v>37.535730850878466</v>
      </c>
      <c r="AG9070" s="2">
        <f ca="1"/>
        <v>0.66794629555464935</v>
      </c>
      <c r="AH9070" s="2" t="str">
        <f ca="1"/>
        <v>Bad</v>
      </c>
    </row>
    <row r="9071" spans="2:34">
      <c r="B9071" s="2">
        <f ca="1"/>
        <v>0.4010853333015183</v>
      </c>
      <c r="O9071" s="2">
        <f ca="1"/>
        <v>-0.26189191849898213</v>
      </c>
      <c r="X9071" s="2">
        <f ca="1"/>
        <v>96.536734844562275</v>
      </c>
      <c r="AG9071" s="2">
        <f ca="1"/>
        <v>0.22181393817265826</v>
      </c>
      <c r="AH9071" s="2" t="str">
        <f ca="1"/>
        <v>OK</v>
      </c>
    </row>
    <row r="9072" spans="2:34">
      <c r="B9072" s="2">
        <f ca="1"/>
        <v>0.1800079944029731</v>
      </c>
      <c r="O9072" s="2">
        <f ca="1"/>
        <v>-0.43736718006325764</v>
      </c>
      <c r="X9072" s="2">
        <f ca="1"/>
        <v>79.361028702402791</v>
      </c>
      <c r="AG9072" s="2">
        <f ca="1"/>
        <v>0.97892523535328491</v>
      </c>
      <c r="AH9072" s="2" t="str">
        <f ca="1"/>
        <v>Bad</v>
      </c>
    </row>
    <row r="9073" spans="2:34">
      <c r="B9073" s="2">
        <f ca="1"/>
        <v>0.17562409993611006</v>
      </c>
      <c r="O9073" s="2">
        <f ca="1"/>
        <v>1.4139143019541756</v>
      </c>
      <c r="X9073" s="2">
        <f ca="1"/>
        <v>26.861668337247213</v>
      </c>
      <c r="AG9073" s="2">
        <f ca="1"/>
        <v>0.9279920331431244</v>
      </c>
      <c r="AH9073" s="2" t="str">
        <f ca="1"/>
        <v>Bad</v>
      </c>
    </row>
    <row r="9074" spans="2:34">
      <c r="B9074" s="2">
        <f ca="1"/>
        <v>0.98047398969264155</v>
      </c>
      <c r="O9074" s="2">
        <f ca="1"/>
        <v>-0.26894040231708011</v>
      </c>
      <c r="X9074" s="2">
        <f ca="1"/>
        <v>47.542902056931958</v>
      </c>
      <c r="AG9074" s="2">
        <f ca="1"/>
        <v>0.60584697179510116</v>
      </c>
      <c r="AH9074" s="2" t="str">
        <f ca="1"/>
        <v>Bad</v>
      </c>
    </row>
    <row r="9075" spans="2:34">
      <c r="B9075" s="2">
        <f ca="1"/>
        <v>0.33712090642463588</v>
      </c>
      <c r="O9075" s="2">
        <f ca="1"/>
        <v>-1.8928764984282307</v>
      </c>
      <c r="X9075" s="2">
        <f ca="1"/>
        <v>43.381024647042565</v>
      </c>
      <c r="AG9075" s="2">
        <f ca="1"/>
        <v>8.6036302795161834E-2</v>
      </c>
      <c r="AH9075" s="2" t="str">
        <f ca="1"/>
        <v>OK</v>
      </c>
    </row>
    <row r="9076" spans="2:34">
      <c r="B9076" s="2">
        <f ca="1"/>
        <v>0.38299472543046087</v>
      </c>
      <c r="O9076" s="2">
        <f ca="1"/>
        <v>1.1674882569877332</v>
      </c>
      <c r="X9076" s="2">
        <f ca="1"/>
        <v>65.066171097053015</v>
      </c>
      <c r="AG9076" s="2">
        <f ca="1"/>
        <v>0.70398368113133603</v>
      </c>
      <c r="AH9076" s="2" t="str">
        <f ca="1"/>
        <v>Bad</v>
      </c>
    </row>
    <row r="9077" spans="2:34">
      <c r="B9077" s="2">
        <f ca="1"/>
        <v>0.85751870362723071</v>
      </c>
      <c r="O9077" s="2">
        <f ca="1"/>
        <v>-0.61896255882615314</v>
      </c>
      <c r="X9077" s="2">
        <f ca="1"/>
        <v>67.260288191019924</v>
      </c>
      <c r="AG9077" s="2">
        <f ca="1"/>
        <v>0.45481516242372599</v>
      </c>
      <c r="AH9077" s="2" t="str">
        <f ca="1"/>
        <v>Bad</v>
      </c>
    </row>
    <row r="9078" spans="2:34">
      <c r="B9078" s="2">
        <f ca="1"/>
        <v>0.68737775994736028</v>
      </c>
      <c r="O9078" s="2">
        <f ca="1"/>
        <v>0.6969165331400734</v>
      </c>
      <c r="X9078" s="2">
        <f ca="1"/>
        <v>44.144489633941674</v>
      </c>
      <c r="AG9078" s="2">
        <f ca="1"/>
        <v>0.23550721021224774</v>
      </c>
      <c r="AH9078" s="2" t="str">
        <f ca="1"/>
        <v>OK</v>
      </c>
    </row>
    <row r="9079" spans="2:34">
      <c r="B9079" s="2">
        <f ca="1"/>
        <v>0.12105173556347681</v>
      </c>
      <c r="O9079" s="2">
        <f ca="1"/>
        <v>-0.82290233801574919</v>
      </c>
      <c r="X9079" s="2">
        <f ca="1"/>
        <v>63.069302389170254</v>
      </c>
      <c r="AG9079" s="2">
        <f ca="1"/>
        <v>0.40654038458147634</v>
      </c>
      <c r="AH9079" s="2" t="str">
        <f ca="1"/>
        <v>Bad</v>
      </c>
    </row>
    <row r="9080" spans="2:34">
      <c r="B9080" s="2">
        <f ca="1"/>
        <v>0.74296631116462497</v>
      </c>
      <c r="O9080" s="2">
        <f ca="1"/>
        <v>-0.90696842540114353</v>
      </c>
      <c r="X9080" s="2">
        <f ca="1"/>
        <v>47.725735933521563</v>
      </c>
      <c r="AG9080" s="2">
        <f ca="1"/>
        <v>0.35231098843433473</v>
      </c>
      <c r="AH9080" s="2" t="str">
        <f ca="1"/>
        <v>OK</v>
      </c>
    </row>
    <row r="9081" spans="2:34">
      <c r="B9081" s="2">
        <f ca="1"/>
        <v>0.88269748221719513</v>
      </c>
      <c r="O9081" s="2">
        <f ca="1"/>
        <v>0.1563481466802398</v>
      </c>
      <c r="X9081" s="2">
        <f ca="1"/>
        <v>35.624933211474371</v>
      </c>
      <c r="AG9081" s="2">
        <f ca="1"/>
        <v>7.7003378094446795E-2</v>
      </c>
      <c r="AH9081" s="2" t="str">
        <f ca="1"/>
        <v>OK</v>
      </c>
    </row>
    <row r="9082" spans="2:34">
      <c r="B9082" s="2">
        <f ca="1"/>
        <v>0.53511369325074787</v>
      </c>
      <c r="O9082" s="2">
        <f ca="1"/>
        <v>-0.56046510967152163</v>
      </c>
      <c r="X9082" s="2">
        <f ca="1"/>
        <v>54.71888542225151</v>
      </c>
      <c r="AG9082" s="2">
        <f ca="1"/>
        <v>0.35220446421613327</v>
      </c>
      <c r="AH9082" s="2" t="str">
        <f ca="1"/>
        <v>OK</v>
      </c>
    </row>
    <row r="9083" spans="2:34">
      <c r="B9083" s="2">
        <f ca="1"/>
        <v>0.24367966913248496</v>
      </c>
      <c r="O9083" s="2">
        <f ca="1"/>
        <v>0.79185161312299468</v>
      </c>
      <c r="X9083" s="2">
        <f ca="1"/>
        <v>27.185107905337951</v>
      </c>
      <c r="AG9083" s="2">
        <f ca="1"/>
        <v>0.95046459469994327</v>
      </c>
      <c r="AH9083" s="2" t="str">
        <f ca="1"/>
        <v>Bad</v>
      </c>
    </row>
    <row r="9084" spans="2:34">
      <c r="B9084" s="2">
        <f ca="1"/>
        <v>0.72578112855925569</v>
      </c>
      <c r="O9084" s="2">
        <f ca="1"/>
        <v>-0.9640230531149907</v>
      </c>
      <c r="X9084" s="2">
        <f ca="1"/>
        <v>52.868584175655457</v>
      </c>
      <c r="AG9084" s="2">
        <f ca="1"/>
        <v>0.4045554206256361</v>
      </c>
      <c r="AH9084" s="2" t="str">
        <f ca="1"/>
        <v>Bad</v>
      </c>
    </row>
    <row r="9085" spans="2:34">
      <c r="B9085" s="2">
        <f ca="1"/>
        <v>0.89761588110076973</v>
      </c>
      <c r="O9085" s="2">
        <f ca="1"/>
        <v>-0.96208739632320417</v>
      </c>
      <c r="X9085" s="2">
        <f ca="1"/>
        <v>42.852834807689177</v>
      </c>
      <c r="AG9085" s="2">
        <f ca="1"/>
        <v>0.8153751224391419</v>
      </c>
      <c r="AH9085" s="2" t="str">
        <f ca="1"/>
        <v>Bad</v>
      </c>
    </row>
    <row r="9086" spans="2:34">
      <c r="B9086" s="2">
        <f ca="1"/>
        <v>0.13228332407481247</v>
      </c>
      <c r="O9086" s="2">
        <f ca="1"/>
        <v>-1.7681423188865864</v>
      </c>
      <c r="X9086" s="2">
        <f ca="1"/>
        <v>45.105786743254271</v>
      </c>
      <c r="AG9086" s="2">
        <f ca="1"/>
        <v>0.46248834137632655</v>
      </c>
      <c r="AH9086" s="2" t="str">
        <f ca="1"/>
        <v>Bad</v>
      </c>
    </row>
    <row r="9087" spans="2:34">
      <c r="B9087" s="2">
        <f ca="1"/>
        <v>0.16174128549405231</v>
      </c>
      <c r="O9087" s="2">
        <f ca="1"/>
        <v>0.77770059888387855</v>
      </c>
      <c r="X9087" s="2">
        <f ca="1"/>
        <v>34.996950363010519</v>
      </c>
      <c r="AG9087" s="2">
        <f ca="1"/>
        <v>5.2366457561659807E-2</v>
      </c>
      <c r="AH9087" s="2" t="str">
        <f ca="1"/>
        <v>OK</v>
      </c>
    </row>
    <row r="9088" spans="2:34">
      <c r="B9088" s="2">
        <f ca="1"/>
        <v>0.21537031091851899</v>
      </c>
      <c r="O9088" s="2">
        <f ca="1"/>
        <v>-0.99613273666967783</v>
      </c>
      <c r="X9088" s="2">
        <f ca="1"/>
        <v>35.951400796429333</v>
      </c>
      <c r="AG9088" s="2">
        <f ca="1"/>
        <v>0.78049057632681929</v>
      </c>
      <c r="AH9088" s="2" t="str">
        <f ca="1"/>
        <v>Bad</v>
      </c>
    </row>
    <row r="9089" spans="2:34">
      <c r="B9089" s="2">
        <f ca="1"/>
        <v>8.1452721496435121E-2</v>
      </c>
      <c r="O9089" s="2">
        <f ca="1"/>
        <v>-0.43367149662619242</v>
      </c>
      <c r="X9089" s="2">
        <f ca="1"/>
        <v>37.363966339094276</v>
      </c>
      <c r="AG9089" s="2">
        <f ca="1"/>
        <v>0.88830565781796245</v>
      </c>
      <c r="AH9089" s="2" t="str">
        <f ca="1"/>
        <v>Bad</v>
      </c>
    </row>
    <row r="9090" spans="2:34">
      <c r="B9090" s="2">
        <f ca="1"/>
        <v>0.85087165446403867</v>
      </c>
      <c r="O9090" s="2">
        <f ca="1"/>
        <v>-1.8807019422571931</v>
      </c>
      <c r="X9090" s="2">
        <f ca="1"/>
        <v>61.111417409095026</v>
      </c>
      <c r="AG9090" s="2">
        <f ca="1"/>
        <v>3.671579771181066E-2</v>
      </c>
      <c r="AH9090" s="2" t="str">
        <f ca="1"/>
        <v>Good</v>
      </c>
    </row>
    <row r="9091" spans="2:34">
      <c r="B9091" s="2">
        <f ca="1"/>
        <v>0.66866152102289433</v>
      </c>
      <c r="O9091" s="2">
        <f ca="1"/>
        <v>-1.2430995225444803</v>
      </c>
      <c r="X9091" s="2">
        <f ca="1"/>
        <v>28.85112109389663</v>
      </c>
      <c r="AG9091" s="2">
        <f ca="1"/>
        <v>0.64063414621696846</v>
      </c>
      <c r="AH9091" s="2" t="str">
        <f ca="1"/>
        <v>Bad</v>
      </c>
    </row>
    <row r="9092" spans="2:34">
      <c r="B9092" s="2">
        <f ca="1"/>
        <v>0.24686142650274356</v>
      </c>
      <c r="O9092" s="2">
        <f ca="1"/>
        <v>-0.87818432760605936</v>
      </c>
      <c r="X9092" s="2">
        <f ca="1"/>
        <v>78.869831546520658</v>
      </c>
      <c r="AG9092" s="2">
        <f ca="1"/>
        <v>0.64765791766850267</v>
      </c>
      <c r="AH9092" s="2" t="str">
        <f ca="1"/>
        <v>Bad</v>
      </c>
    </row>
    <row r="9093" spans="2:34">
      <c r="B9093" s="2">
        <f ca="1"/>
        <v>0.16196030928325</v>
      </c>
      <c r="O9093" s="2">
        <f ca="1"/>
        <v>0.80037928060905983</v>
      </c>
      <c r="X9093" s="2">
        <f ca="1"/>
        <v>38.940695328956323</v>
      </c>
      <c r="AG9093" s="2">
        <f ca="1"/>
        <v>0.91796107421745088</v>
      </c>
      <c r="AH9093" s="2" t="str">
        <f ca="1"/>
        <v>Bad</v>
      </c>
    </row>
    <row r="9094" spans="2:34">
      <c r="B9094" s="2">
        <f ca="1"/>
        <v>0.74070068475382356</v>
      </c>
      <c r="O9094" s="2">
        <f ca="1"/>
        <v>-0.10987977447199671</v>
      </c>
      <c r="X9094" s="2">
        <f ca="1"/>
        <v>41.716249280193807</v>
      </c>
      <c r="AG9094" s="2">
        <f ca="1"/>
        <v>0.82073677764803343</v>
      </c>
      <c r="AH9094" s="2" t="str">
        <f ca="1"/>
        <v>Bad</v>
      </c>
    </row>
    <row r="9095" spans="2:34">
      <c r="B9095" s="2">
        <f ca="1"/>
        <v>0.52451659876765722</v>
      </c>
      <c r="O9095" s="2">
        <f ca="1"/>
        <v>1.0177681072598928</v>
      </c>
      <c r="X9095" s="2">
        <f ca="1"/>
        <v>56.676136503036972</v>
      </c>
      <c r="AG9095" s="2">
        <f ca="1"/>
        <v>0.17392220666618208</v>
      </c>
      <c r="AH9095" s="2" t="str">
        <f ca="1"/>
        <v>OK</v>
      </c>
    </row>
    <row r="9096" spans="2:34">
      <c r="B9096" s="2">
        <f ca="1"/>
        <v>0.96906334532557259</v>
      </c>
      <c r="O9096" s="2">
        <f ca="1"/>
        <v>0.74596122098435436</v>
      </c>
      <c r="X9096" s="2">
        <f ca="1"/>
        <v>54.439483937133716</v>
      </c>
      <c r="AG9096" s="2">
        <f ca="1"/>
        <v>0.77697438099531002</v>
      </c>
      <c r="AH9096" s="2" t="str">
        <f ca="1"/>
        <v>Bad</v>
      </c>
    </row>
    <row r="9097" spans="2:34">
      <c r="B9097" s="2">
        <f ca="1"/>
        <v>0.3479896642144058</v>
      </c>
      <c r="O9097" s="2">
        <f ca="1"/>
        <v>2.0919141940435164</v>
      </c>
      <c r="X9097" s="2">
        <f ca="1"/>
        <v>56.786481291857413</v>
      </c>
      <c r="AG9097" s="2">
        <f ca="1"/>
        <v>0.87449056834184136</v>
      </c>
      <c r="AH9097" s="2" t="str">
        <f ca="1"/>
        <v>Bad</v>
      </c>
    </row>
    <row r="9098" spans="2:34">
      <c r="B9098" s="2">
        <f ca="1"/>
        <v>0.94496637693036356</v>
      </c>
      <c r="O9098" s="2">
        <f ca="1"/>
        <v>-0.97086889961531342</v>
      </c>
      <c r="X9098" s="2">
        <f ca="1"/>
        <v>42.441910377170366</v>
      </c>
      <c r="AG9098" s="2">
        <f ca="1"/>
        <v>0.75465471776784132</v>
      </c>
      <c r="AH9098" s="2" t="str">
        <f ca="1"/>
        <v>Bad</v>
      </c>
    </row>
    <row r="9099" spans="2:34">
      <c r="B9099" s="2">
        <f ca="1"/>
        <v>0.82968197799270382</v>
      </c>
      <c r="O9099" s="2">
        <f ca="1"/>
        <v>-1.0760987426791226</v>
      </c>
      <c r="X9099" s="2">
        <f ca="1"/>
        <v>71.962659305876088</v>
      </c>
      <c r="AG9099" s="2">
        <f ca="1"/>
        <v>0.24242005584602189</v>
      </c>
      <c r="AH9099" s="2" t="str">
        <f ca="1"/>
        <v>OK</v>
      </c>
    </row>
    <row r="9100" spans="2:34">
      <c r="B9100" s="2">
        <f ca="1"/>
        <v>0.7130188515131699</v>
      </c>
      <c r="O9100" s="2">
        <f ca="1"/>
        <v>0.34742875131467837</v>
      </c>
      <c r="X9100" s="2">
        <f ca="1"/>
        <v>45.792433515413379</v>
      </c>
      <c r="AG9100" s="2">
        <f ca="1"/>
        <v>0.13280457596450113</v>
      </c>
      <c r="AH9100" s="2" t="str">
        <f ca="1"/>
        <v>OK</v>
      </c>
    </row>
    <row r="9101" spans="2:34">
      <c r="B9101" s="2">
        <f ca="1"/>
        <v>0.50452637346973939</v>
      </c>
      <c r="O9101" s="2">
        <f ca="1"/>
        <v>-1.0166426444440828</v>
      </c>
      <c r="X9101" s="2">
        <f ca="1"/>
        <v>60.135017544281794</v>
      </c>
      <c r="AG9101" s="2">
        <f ca="1"/>
        <v>0.80609042003635123</v>
      </c>
      <c r="AH9101" s="2" t="str">
        <f ca="1"/>
        <v>Bad</v>
      </c>
    </row>
    <row r="9102" spans="2:34">
      <c r="B9102" s="2">
        <f ca="1"/>
        <v>0.6758483713223713</v>
      </c>
      <c r="O9102" s="2">
        <f ca="1"/>
        <v>-0.12574666471132609</v>
      </c>
      <c r="X9102" s="2">
        <f ca="1"/>
        <v>35.913334863018534</v>
      </c>
      <c r="AG9102" s="2">
        <f ca="1"/>
        <v>0.1745088813419573</v>
      </c>
      <c r="AH9102" s="2" t="str">
        <f ca="1"/>
        <v>OK</v>
      </c>
    </row>
    <row r="9103" spans="2:34">
      <c r="B9103" s="2">
        <f ca="1"/>
        <v>0.65162048386526816</v>
      </c>
      <c r="O9103" s="2">
        <f ca="1"/>
        <v>0.51906474163420036</v>
      </c>
      <c r="X9103" s="2">
        <f ca="1"/>
        <v>89.093737308010574</v>
      </c>
      <c r="AG9103" s="2">
        <f ca="1"/>
        <v>0.15381125781972083</v>
      </c>
      <c r="AH9103" s="2" t="str">
        <f ca="1"/>
        <v>OK</v>
      </c>
    </row>
    <row r="9104" spans="2:34">
      <c r="B9104" s="2">
        <f ca="1"/>
        <v>3.5754355960947226E-2</v>
      </c>
      <c r="O9104" s="2">
        <f ca="1"/>
        <v>0.44081082786667819</v>
      </c>
      <c r="X9104" s="2">
        <f ca="1"/>
        <v>35.640966343597448</v>
      </c>
      <c r="AG9104" s="2">
        <f ca="1"/>
        <v>0.59318726600502103</v>
      </c>
      <c r="AH9104" s="2" t="str">
        <f ca="1"/>
        <v>Bad</v>
      </c>
    </row>
    <row r="9105" spans="2:34">
      <c r="B9105" s="2">
        <f ca="1"/>
        <v>0.52099855137885109</v>
      </c>
      <c r="O9105" s="2">
        <f ca="1"/>
        <v>-1.8317775171050643</v>
      </c>
      <c r="X9105" s="2">
        <f ca="1"/>
        <v>47.196736060304744</v>
      </c>
      <c r="AG9105" s="2">
        <f ca="1"/>
        <v>0.52983826134817824</v>
      </c>
      <c r="AH9105" s="2" t="str">
        <f ca="1"/>
        <v>Bad</v>
      </c>
    </row>
    <row r="9106" spans="2:34">
      <c r="B9106" s="2">
        <f ca="1"/>
        <v>0.11895204761718503</v>
      </c>
      <c r="O9106" s="2">
        <f ca="1"/>
        <v>1.1912121775084203</v>
      </c>
      <c r="X9106" s="2">
        <f ca="1"/>
        <v>82.299128135787655</v>
      </c>
      <c r="AG9106" s="2">
        <f ca="1"/>
        <v>0.19146608225626771</v>
      </c>
      <c r="AH9106" s="2" t="str">
        <f ca="1"/>
        <v>OK</v>
      </c>
    </row>
    <row r="9107" spans="2:34">
      <c r="B9107" s="2">
        <f ca="1"/>
        <v>0.42056039601902517</v>
      </c>
      <c r="O9107" s="2">
        <f ca="1"/>
        <v>-1.0938623156484237</v>
      </c>
      <c r="X9107" s="2">
        <f ca="1"/>
        <v>52.27926841358525</v>
      </c>
      <c r="AG9107" s="2">
        <f ca="1"/>
        <v>0.45950771935141388</v>
      </c>
      <c r="AH9107" s="2" t="str">
        <f ca="1"/>
        <v>Bad</v>
      </c>
    </row>
    <row r="9108" spans="2:34">
      <c r="B9108" s="2">
        <f ca="1"/>
        <v>5.0521793141560689E-2</v>
      </c>
      <c r="O9108" s="2">
        <f ca="1"/>
        <v>-0.65815932732081051</v>
      </c>
      <c r="X9108" s="2">
        <f ca="1"/>
        <v>40.813666670722213</v>
      </c>
      <c r="AG9108" s="2">
        <f ca="1"/>
        <v>0.38313325579351076</v>
      </c>
      <c r="AH9108" s="2" t="str">
        <f ca="1"/>
        <v>OK</v>
      </c>
    </row>
    <row r="9109" spans="2:34">
      <c r="B9109" s="2">
        <f ca="1"/>
        <v>0.21567094494283401</v>
      </c>
      <c r="O9109" s="2">
        <f ca="1"/>
        <v>-0.74635295076776309</v>
      </c>
      <c r="X9109" s="2">
        <f ca="1"/>
        <v>74.047191981503104</v>
      </c>
      <c r="AG9109" s="2">
        <f ca="1"/>
        <v>0.64202783321311152</v>
      </c>
      <c r="AH9109" s="2" t="str">
        <f ca="1"/>
        <v>Bad</v>
      </c>
    </row>
    <row r="9110" spans="2:34">
      <c r="B9110" s="2">
        <f ca="1"/>
        <v>0.49308831232014216</v>
      </c>
      <c r="O9110" s="2">
        <f ca="1"/>
        <v>-0.41737091574048241</v>
      </c>
      <c r="X9110" s="2">
        <f ca="1"/>
        <v>48.169629287639673</v>
      </c>
      <c r="AG9110" s="2">
        <f ca="1"/>
        <v>0.19677766646904615</v>
      </c>
      <c r="AH9110" s="2" t="str">
        <f ca="1"/>
        <v>OK</v>
      </c>
    </row>
    <row r="9111" spans="2:34">
      <c r="B9111" s="2">
        <f ca="1"/>
        <v>1.460691858854446E-2</v>
      </c>
      <c r="O9111" s="2">
        <f ca="1"/>
        <v>1.5987556397420013</v>
      </c>
      <c r="X9111" s="2">
        <f ca="1"/>
        <v>26.123367147995573</v>
      </c>
      <c r="AG9111" s="2">
        <f ca="1"/>
        <v>0.63661025512348401</v>
      </c>
      <c r="AH9111" s="2" t="str">
        <f ca="1"/>
        <v>Bad</v>
      </c>
    </row>
    <row r="9112" spans="2:34">
      <c r="B9112" s="2">
        <f ca="1"/>
        <v>0.90746119314760465</v>
      </c>
      <c r="O9112" s="2">
        <f ca="1"/>
        <v>8.3530348614024794E-2</v>
      </c>
      <c r="X9112" s="2">
        <f ca="1"/>
        <v>60.316615973447085</v>
      </c>
      <c r="AG9112" s="2">
        <f ca="1"/>
        <v>0.24527878658239399</v>
      </c>
      <c r="AH9112" s="2" t="str">
        <f ca="1"/>
        <v>OK</v>
      </c>
    </row>
    <row r="9113" spans="2:34">
      <c r="B9113" s="2">
        <f ca="1"/>
        <v>0.88618016390934473</v>
      </c>
      <c r="O9113" s="2">
        <f ca="1"/>
        <v>0.90875552465861709</v>
      </c>
      <c r="X9113" s="2">
        <f ca="1"/>
        <v>44.503033637813658</v>
      </c>
      <c r="AG9113" s="2">
        <f ca="1"/>
        <v>0.89908832580330045</v>
      </c>
      <c r="AH9113" s="2" t="str">
        <f ca="1"/>
        <v>Bad</v>
      </c>
    </row>
    <row r="9114" spans="2:34">
      <c r="B9114" s="2">
        <f ca="1"/>
        <v>0.74371549683022153</v>
      </c>
      <c r="O9114" s="2">
        <f ca="1"/>
        <v>-0.88701538459210316</v>
      </c>
      <c r="X9114" s="2">
        <f ca="1"/>
        <v>23.732014182156828</v>
      </c>
      <c r="AG9114" s="2">
        <f ca="1"/>
        <v>0.12690580206107516</v>
      </c>
      <c r="AH9114" s="2" t="str">
        <f ca="1"/>
        <v>OK</v>
      </c>
    </row>
    <row r="9115" spans="2:34">
      <c r="B9115" s="2">
        <f ca="1"/>
        <v>0.18055113542153589</v>
      </c>
      <c r="O9115" s="2">
        <f ca="1"/>
        <v>0.19592409613617912</v>
      </c>
      <c r="X9115" s="2">
        <f ca="1"/>
        <v>41.874297425949401</v>
      </c>
      <c r="AG9115" s="2">
        <f ca="1"/>
        <v>4.3980958410353654E-2</v>
      </c>
      <c r="AH9115" s="2" t="str">
        <f ca="1"/>
        <v>Good</v>
      </c>
    </row>
    <row r="9116" spans="2:34">
      <c r="B9116" s="2">
        <f ca="1"/>
        <v>0.4386951976613489</v>
      </c>
      <c r="O9116" s="2">
        <f ca="1"/>
        <v>2.1297521730840749</v>
      </c>
      <c r="X9116" s="2">
        <f ca="1"/>
        <v>41.779965199578669</v>
      </c>
      <c r="AG9116" s="2">
        <f ca="1"/>
        <v>0.26065035299473838</v>
      </c>
      <c r="AH9116" s="2" t="str">
        <f ca="1"/>
        <v>OK</v>
      </c>
    </row>
    <row r="9117" spans="2:34">
      <c r="B9117" s="2">
        <f ca="1"/>
        <v>0.58360391945124435</v>
      </c>
      <c r="O9117" s="2">
        <f ca="1"/>
        <v>-8.843003022605038E-2</v>
      </c>
      <c r="X9117" s="2">
        <f ca="1"/>
        <v>42.054020374042381</v>
      </c>
      <c r="AG9117" s="2">
        <f ca="1"/>
        <v>0.5771060542760087</v>
      </c>
      <c r="AH9117" s="2" t="str">
        <f ca="1"/>
        <v>Bad</v>
      </c>
    </row>
    <row r="9118" spans="2:34">
      <c r="B9118" s="2">
        <f ca="1"/>
        <v>0.15636827775768891</v>
      </c>
      <c r="O9118" s="2">
        <f ca="1"/>
        <v>0.67263468700633533</v>
      </c>
      <c r="X9118" s="2">
        <f ca="1"/>
        <v>60.006655979338319</v>
      </c>
      <c r="AG9118" s="2">
        <f ca="1"/>
        <v>0.61218878750736261</v>
      </c>
      <c r="AH9118" s="2" t="str">
        <f ca="1"/>
        <v>Bad</v>
      </c>
    </row>
    <row r="9119" spans="2:34">
      <c r="B9119" s="2">
        <f ca="1"/>
        <v>0.13582288713629942</v>
      </c>
      <c r="O9119" s="2">
        <f ca="1"/>
        <v>-1.4507335653212046</v>
      </c>
      <c r="X9119" s="2">
        <f ca="1"/>
        <v>54.754364293581197</v>
      </c>
      <c r="AG9119" s="2">
        <f ca="1"/>
        <v>0.80790075463521216</v>
      </c>
      <c r="AH9119" s="2" t="str">
        <f ca="1"/>
        <v>Bad</v>
      </c>
    </row>
    <row r="9120" spans="2:34">
      <c r="B9120" s="2">
        <f ca="1"/>
        <v>7.7085199139124594E-2</v>
      </c>
      <c r="O9120" s="2">
        <f ca="1"/>
        <v>-1.0505661843776826</v>
      </c>
      <c r="X9120" s="2">
        <f ca="1"/>
        <v>41.24106655982974</v>
      </c>
      <c r="AG9120" s="2">
        <f ca="1"/>
        <v>0.32717583393820449</v>
      </c>
      <c r="AH9120" s="2" t="str">
        <f ca="1"/>
        <v>OK</v>
      </c>
    </row>
    <row r="9121" spans="2:34">
      <c r="B9121" s="2">
        <f ca="1"/>
        <v>0.40279942514878386</v>
      </c>
      <c r="O9121" s="2">
        <f ca="1"/>
        <v>0.76760332563858868</v>
      </c>
      <c r="X9121" s="2">
        <f ca="1"/>
        <v>54.147672751888862</v>
      </c>
      <c r="AG9121" s="2">
        <f ca="1"/>
        <v>0.6308438031666721</v>
      </c>
      <c r="AH9121" s="2" t="str">
        <f ca="1"/>
        <v>Bad</v>
      </c>
    </row>
    <row r="9122" spans="2:34">
      <c r="B9122" s="2">
        <f ca="1"/>
        <v>0.86184582903738538</v>
      </c>
      <c r="O9122" s="2">
        <f ca="1"/>
        <v>1.1864076879518215</v>
      </c>
      <c r="X9122" s="2">
        <f ca="1"/>
        <v>33.296959172039216</v>
      </c>
      <c r="AG9122" s="2">
        <f ca="1"/>
        <v>0.38041743548965434</v>
      </c>
      <c r="AH9122" s="2" t="str">
        <f ca="1"/>
        <v>OK</v>
      </c>
    </row>
    <row r="9123" spans="2:34">
      <c r="B9123" s="2">
        <f ca="1"/>
        <v>0.78307686504880314</v>
      </c>
      <c r="O9123" s="2">
        <f ca="1"/>
        <v>1.3621209239899373E-2</v>
      </c>
      <c r="X9123" s="2">
        <f ca="1"/>
        <v>47.798745629273284</v>
      </c>
      <c r="AG9123" s="2">
        <f ca="1"/>
        <v>0.12725380032565492</v>
      </c>
      <c r="AH9123" s="2" t="str">
        <f ca="1"/>
        <v>OK</v>
      </c>
    </row>
    <row r="9124" spans="2:34">
      <c r="B9124" s="2">
        <f ca="1"/>
        <v>0.32532067993242753</v>
      </c>
      <c r="O9124" s="2">
        <f ca="1"/>
        <v>-0.71755180153175702</v>
      </c>
      <c r="X9124" s="2">
        <f ca="1"/>
        <v>72.873946287164756</v>
      </c>
      <c r="AG9124" s="2">
        <f ca="1"/>
        <v>7.6905042560692527E-2</v>
      </c>
      <c r="AH9124" s="2" t="str">
        <f ca="1"/>
        <v>OK</v>
      </c>
    </row>
    <row r="9125" spans="2:34">
      <c r="B9125" s="2">
        <f ca="1"/>
        <v>0.68484341983499841</v>
      </c>
      <c r="O9125" s="2">
        <f ca="1"/>
        <v>-0.74723894963655846</v>
      </c>
      <c r="X9125" s="2">
        <f ca="1"/>
        <v>54.397643317989164</v>
      </c>
      <c r="AG9125" s="2">
        <f ca="1"/>
        <v>0.33293750487533114</v>
      </c>
      <c r="AH9125" s="2" t="str">
        <f ca="1"/>
        <v>OK</v>
      </c>
    </row>
    <row r="9126" spans="2:34">
      <c r="B9126" s="2">
        <f ca="1"/>
        <v>4.1746512854339946E-2</v>
      </c>
      <c r="O9126" s="2">
        <f ca="1"/>
        <v>0.66511466767843863</v>
      </c>
      <c r="X9126" s="2">
        <f ca="1"/>
        <v>35.924233598511528</v>
      </c>
      <c r="AG9126" s="2">
        <f ca="1"/>
        <v>0.44348699633243571</v>
      </c>
      <c r="AH9126" s="2" t="str">
        <f ca="1"/>
        <v>Bad</v>
      </c>
    </row>
    <row r="9127" spans="2:34">
      <c r="B9127" s="2">
        <f ca="1"/>
        <v>0.34623803540214171</v>
      </c>
      <c r="O9127" s="2">
        <f ca="1"/>
        <v>-0.42303257005752271</v>
      </c>
      <c r="X9127" s="2">
        <f ca="1"/>
        <v>31.645319589935813</v>
      </c>
      <c r="AG9127" s="2">
        <f ca="1"/>
        <v>0.59543506138108748</v>
      </c>
      <c r="AH9127" s="2" t="str">
        <f ca="1"/>
        <v>Bad</v>
      </c>
    </row>
    <row r="9128" spans="2:34">
      <c r="B9128" s="2">
        <f ca="1"/>
        <v>0.45951712917556931</v>
      </c>
      <c r="O9128" s="2">
        <f ca="1"/>
        <v>-2.2274034762920318</v>
      </c>
      <c r="X9128" s="2">
        <f ca="1"/>
        <v>60.648948846206011</v>
      </c>
      <c r="AG9128" s="2">
        <f ca="1"/>
        <v>0.864115953215981</v>
      </c>
      <c r="AH9128" s="2" t="str">
        <f ca="1"/>
        <v>Bad</v>
      </c>
    </row>
    <row r="9129" spans="2:34">
      <c r="B9129" s="2">
        <f ca="1"/>
        <v>0.44333814324790399</v>
      </c>
      <c r="O9129" s="2">
        <f ca="1"/>
        <v>-1.1151622532132299</v>
      </c>
      <c r="X9129" s="2">
        <f ca="1"/>
        <v>36.078020621738496</v>
      </c>
      <c r="AG9129" s="2">
        <f ca="1"/>
        <v>0.53856550641289269</v>
      </c>
      <c r="AH9129" s="2" t="str">
        <f ca="1"/>
        <v>Bad</v>
      </c>
    </row>
    <row r="9130" spans="2:34">
      <c r="B9130" s="2">
        <f ca="1"/>
        <v>0.76813633003766224</v>
      </c>
      <c r="O9130" s="2">
        <f ca="1"/>
        <v>-1.220975927119593</v>
      </c>
      <c r="X9130" s="2">
        <f ca="1"/>
        <v>35.709413538555566</v>
      </c>
      <c r="AG9130" s="2">
        <f ca="1"/>
        <v>0.44737517818168304</v>
      </c>
      <c r="AH9130" s="2" t="str">
        <f ca="1"/>
        <v>Bad</v>
      </c>
    </row>
    <row r="9131" spans="2:34">
      <c r="B9131" s="2">
        <f ca="1"/>
        <v>0.35386843416004932</v>
      </c>
      <c r="O9131" s="2">
        <f ca="1"/>
        <v>1.3677295583273867E-2</v>
      </c>
      <c r="X9131" s="2">
        <f ca="1"/>
        <v>51.470693716982936</v>
      </c>
      <c r="AG9131" s="2">
        <f ca="1"/>
        <v>0.92469547445440403</v>
      </c>
      <c r="AH9131" s="2" t="str">
        <f ca="1"/>
        <v>Bad</v>
      </c>
    </row>
    <row r="9132" spans="2:34">
      <c r="B9132" s="2">
        <f ca="1"/>
        <v>0.64428631962385752</v>
      </c>
      <c r="O9132" s="2">
        <f ca="1"/>
        <v>-3.3087775452953054</v>
      </c>
      <c r="X9132" s="2">
        <f ca="1"/>
        <v>79.419215598927465</v>
      </c>
      <c r="AG9132" s="2">
        <f ca="1"/>
        <v>0.7825174044216141</v>
      </c>
      <c r="AH9132" s="2" t="str">
        <f ca="1"/>
        <v>Bad</v>
      </c>
    </row>
    <row r="9133" spans="2:34">
      <c r="B9133" s="2">
        <f ca="1"/>
        <v>0.68790274577728239</v>
      </c>
      <c r="O9133" s="2">
        <f ca="1"/>
        <v>0.25260958767423952</v>
      </c>
      <c r="X9133" s="2">
        <f ca="1"/>
        <v>52.125693517359707</v>
      </c>
      <c r="AG9133" s="2">
        <f ca="1"/>
        <v>0.51620810326106659</v>
      </c>
      <c r="AH9133" s="2" t="str">
        <f ca="1"/>
        <v>Bad</v>
      </c>
    </row>
    <row r="9134" spans="2:34">
      <c r="B9134" s="2">
        <f ca="1"/>
        <v>0.34654797224406764</v>
      </c>
      <c r="O9134" s="2">
        <f ca="1"/>
        <v>-0.5705107139942579</v>
      </c>
      <c r="X9134" s="2">
        <f ca="1"/>
        <v>44.897328484173784</v>
      </c>
      <c r="AG9134" s="2">
        <f ca="1"/>
        <v>0.11278741538588322</v>
      </c>
      <c r="AH9134" s="2" t="str">
        <f ca="1"/>
        <v>OK</v>
      </c>
    </row>
    <row r="9135" spans="2:34">
      <c r="B9135" s="2">
        <f ca="1"/>
        <v>0.53434173343128877</v>
      </c>
      <c r="O9135" s="2">
        <f ca="1"/>
        <v>-1.3176801006312262</v>
      </c>
      <c r="X9135" s="2">
        <f ca="1"/>
        <v>38.171361216377711</v>
      </c>
      <c r="AG9135" s="2">
        <f ca="1"/>
        <v>0.95092852179619203</v>
      </c>
      <c r="AH9135" s="2" t="str">
        <f ca="1"/>
        <v>Bad</v>
      </c>
    </row>
    <row r="9136" spans="2:34">
      <c r="B9136" s="2">
        <f ca="1"/>
        <v>0.64416130149268125</v>
      </c>
      <c r="O9136" s="2">
        <f ca="1"/>
        <v>5.2958004752354355E-2</v>
      </c>
      <c r="X9136" s="2">
        <f ca="1"/>
        <v>33.04544324041025</v>
      </c>
      <c r="AG9136" s="2">
        <f ca="1"/>
        <v>0.41980428602897968</v>
      </c>
      <c r="AH9136" s="2" t="str">
        <f ca="1"/>
        <v>Bad</v>
      </c>
    </row>
    <row r="9137" spans="2:34">
      <c r="B9137" s="2">
        <f ca="1"/>
        <v>0.94540352777057279</v>
      </c>
      <c r="O9137" s="2">
        <f ca="1"/>
        <v>-0.52331937111756355</v>
      </c>
      <c r="X9137" s="2">
        <f ca="1"/>
        <v>67.485538024584116</v>
      </c>
      <c r="AG9137" s="2">
        <f ca="1"/>
        <v>0.13100551931283499</v>
      </c>
      <c r="AH9137" s="2" t="str">
        <f ca="1"/>
        <v>OK</v>
      </c>
    </row>
    <row r="9138" spans="2:34">
      <c r="B9138" s="2">
        <f ca="1"/>
        <v>0.76806358110601325</v>
      </c>
      <c r="O9138" s="2">
        <f ca="1"/>
        <v>-0.68979018379440948</v>
      </c>
      <c r="X9138" s="2">
        <f ca="1"/>
        <v>54.410678109706808</v>
      </c>
      <c r="AG9138" s="2">
        <f ca="1"/>
        <v>2.8584741350232701E-3</v>
      </c>
      <c r="AH9138" s="2" t="str">
        <f ca="1"/>
        <v>Good</v>
      </c>
    </row>
    <row r="9139" spans="2:34">
      <c r="B9139" s="2">
        <f ca="1"/>
        <v>0.51593856722709552</v>
      </c>
      <c r="O9139" s="2">
        <f ca="1"/>
        <v>1.3178421921122117</v>
      </c>
      <c r="X9139" s="2">
        <f ca="1"/>
        <v>33.91027971293633</v>
      </c>
      <c r="AG9139" s="2">
        <f ca="1"/>
        <v>0.38361354822760974</v>
      </c>
      <c r="AH9139" s="2" t="str">
        <f ca="1"/>
        <v>OK</v>
      </c>
    </row>
    <row r="9140" spans="2:34">
      <c r="B9140" s="2">
        <f ca="1"/>
        <v>0.26326730666781395</v>
      </c>
      <c r="O9140" s="2">
        <f ca="1"/>
        <v>-0.69033549675062411</v>
      </c>
      <c r="X9140" s="2">
        <f ca="1"/>
        <v>22.728847252358765</v>
      </c>
      <c r="AG9140" s="2">
        <f ca="1"/>
        <v>0.53151352774713012</v>
      </c>
      <c r="AH9140" s="2" t="str">
        <f ca="1"/>
        <v>Bad</v>
      </c>
    </row>
    <row r="9141" spans="2:34">
      <c r="B9141" s="2">
        <f ca="1"/>
        <v>0.89188535620156562</v>
      </c>
      <c r="O9141" s="2">
        <f ca="1"/>
        <v>-0.16492877137436887</v>
      </c>
      <c r="X9141" s="2">
        <f ca="1"/>
        <v>52.288281681820912</v>
      </c>
      <c r="AG9141" s="2">
        <f ca="1"/>
        <v>0.3536843962842291</v>
      </c>
      <c r="AH9141" s="2" t="str">
        <f ca="1"/>
        <v>OK</v>
      </c>
    </row>
    <row r="9142" spans="2:34">
      <c r="B9142" s="2">
        <f ca="1"/>
        <v>0.24031076706175591</v>
      </c>
      <c r="O9142" s="2">
        <f ca="1"/>
        <v>7.9973087887060743E-2</v>
      </c>
      <c r="X9142" s="2">
        <f ca="1"/>
        <v>48.223468298791097</v>
      </c>
      <c r="AG9142" s="2">
        <f ca="1"/>
        <v>0.74674682439131179</v>
      </c>
      <c r="AH9142" s="2" t="str">
        <f ca="1"/>
        <v>Bad</v>
      </c>
    </row>
    <row r="9143" spans="2:34">
      <c r="B9143" s="2">
        <f ca="1"/>
        <v>0.7866941549931632</v>
      </c>
      <c r="O9143" s="2">
        <f ca="1"/>
        <v>0.73761988812616608</v>
      </c>
      <c r="X9143" s="2">
        <f ca="1"/>
        <v>68.019462957390033</v>
      </c>
      <c r="AG9143" s="2">
        <f ca="1"/>
        <v>0.14897711535078306</v>
      </c>
      <c r="AH9143" s="2" t="str">
        <f ca="1"/>
        <v>OK</v>
      </c>
    </row>
    <row r="9144" spans="2:34">
      <c r="B9144" s="2">
        <f ca="1"/>
        <v>0.50678028525564134</v>
      </c>
      <c r="O9144" s="2">
        <f ca="1"/>
        <v>0.109990137911351</v>
      </c>
      <c r="X9144" s="2">
        <f ca="1"/>
        <v>62.17220080490884</v>
      </c>
      <c r="AG9144" s="2">
        <f ca="1"/>
        <v>0.91071162667157224</v>
      </c>
      <c r="AH9144" s="2" t="str">
        <f ca="1"/>
        <v>Bad</v>
      </c>
    </row>
    <row r="9145" spans="2:34">
      <c r="B9145" s="2">
        <f ca="1"/>
        <v>0.60592896941854857</v>
      </c>
      <c r="O9145" s="2">
        <f ca="1"/>
        <v>-0.34235596894304071</v>
      </c>
      <c r="X9145" s="2">
        <f ca="1"/>
        <v>71.919915569795108</v>
      </c>
      <c r="AG9145" s="2">
        <f ca="1"/>
        <v>0.40621659165162982</v>
      </c>
      <c r="AH9145" s="2" t="str">
        <f ca="1"/>
        <v>Bad</v>
      </c>
    </row>
    <row r="9146" spans="2:34">
      <c r="B9146" s="2">
        <f ca="1"/>
        <v>0.54566397328256167</v>
      </c>
      <c r="O9146" s="2">
        <f ca="1"/>
        <v>-0.90486884821722269</v>
      </c>
      <c r="X9146" s="2">
        <f ca="1"/>
        <v>39.132242443743081</v>
      </c>
      <c r="AG9146" s="2">
        <f ca="1"/>
        <v>0.49100404778119033</v>
      </c>
      <c r="AH9146" s="2" t="str">
        <f ca="1"/>
        <v>Bad</v>
      </c>
    </row>
    <row r="9147" spans="2:34">
      <c r="B9147" s="2">
        <f ca="1"/>
        <v>0.37200327755864282</v>
      </c>
      <c r="O9147" s="2">
        <f ca="1"/>
        <v>2.7850686260943878</v>
      </c>
      <c r="X9147" s="2">
        <f ca="1"/>
        <v>52.208678152310775</v>
      </c>
      <c r="AG9147" s="2">
        <f ca="1"/>
        <v>0.25952192772841598</v>
      </c>
      <c r="AH9147" s="2" t="str">
        <f ca="1"/>
        <v>OK</v>
      </c>
    </row>
    <row r="9148" spans="2:34">
      <c r="B9148" s="2">
        <f ca="1"/>
        <v>0.64752520577959261</v>
      </c>
      <c r="O9148" s="2">
        <f ca="1"/>
        <v>-0.52061464150664927</v>
      </c>
      <c r="X9148" s="2">
        <f ca="1"/>
        <v>18.408475595754005</v>
      </c>
      <c r="AG9148" s="2">
        <f ca="1"/>
        <v>0.32274570617438281</v>
      </c>
      <c r="AH9148" s="2" t="str">
        <f ca="1"/>
        <v>OK</v>
      </c>
    </row>
    <row r="9149" spans="2:34">
      <c r="B9149" s="2">
        <f ca="1"/>
        <v>0.8332641122953639</v>
      </c>
      <c r="O9149" s="2">
        <f ca="1"/>
        <v>0.43048390927900232</v>
      </c>
      <c r="X9149" s="2">
        <f ca="1"/>
        <v>85.851160507033995</v>
      </c>
      <c r="AG9149" s="2">
        <f ca="1"/>
        <v>0.76059487754399346</v>
      </c>
      <c r="AH9149" s="2" t="str">
        <f ca="1"/>
        <v>Bad</v>
      </c>
    </row>
    <row r="9150" spans="2:34">
      <c r="B9150" s="2">
        <f ca="1"/>
        <v>0.94308634332115915</v>
      </c>
      <c r="O9150" s="2">
        <f ca="1"/>
        <v>-0.26569260164735892</v>
      </c>
      <c r="X9150" s="2">
        <f ca="1"/>
        <v>44.635593070745699</v>
      </c>
      <c r="AG9150" s="2">
        <f ca="1"/>
        <v>0.80194652024626878</v>
      </c>
      <c r="AH9150" s="2" t="str">
        <f ca="1"/>
        <v>Bad</v>
      </c>
    </row>
    <row r="9151" spans="2:34">
      <c r="B9151" s="2">
        <f ca="1"/>
        <v>0.4644302702377987</v>
      </c>
      <c r="O9151" s="2">
        <f ca="1"/>
        <v>0.32997453681102362</v>
      </c>
      <c r="X9151" s="2">
        <f ca="1"/>
        <v>39.897262326863078</v>
      </c>
      <c r="AG9151" s="2">
        <f ca="1"/>
        <v>0.58731320850152868</v>
      </c>
      <c r="AH9151" s="2" t="str">
        <f ca="1"/>
        <v>Bad</v>
      </c>
    </row>
    <row r="9152" spans="2:34">
      <c r="B9152" s="2">
        <f ca="1"/>
        <v>0.89795252365392031</v>
      </c>
      <c r="O9152" s="2">
        <f ca="1"/>
        <v>-0.33927237194111959</v>
      </c>
      <c r="X9152" s="2">
        <f ca="1"/>
        <v>43.129590085319229</v>
      </c>
      <c r="AG9152" s="2">
        <f ca="1"/>
        <v>9.588945175375363E-2</v>
      </c>
      <c r="AH9152" s="2" t="str">
        <f ca="1"/>
        <v>OK</v>
      </c>
    </row>
    <row r="9153" spans="2:34">
      <c r="B9153" s="2">
        <f ca="1"/>
        <v>0.99279772901244856</v>
      </c>
      <c r="O9153" s="2">
        <f ca="1"/>
        <v>-1.4789209539157115</v>
      </c>
      <c r="X9153" s="2">
        <f ca="1"/>
        <v>60.339391175245403</v>
      </c>
      <c r="AG9153" s="2">
        <f ca="1"/>
        <v>0.47291682656153489</v>
      </c>
      <c r="AH9153" s="2" t="str">
        <f ca="1"/>
        <v>Bad</v>
      </c>
    </row>
    <row r="9154" spans="2:34">
      <c r="B9154" s="2">
        <f ca="1"/>
        <v>0.65124945316246863</v>
      </c>
      <c r="O9154" s="2">
        <f ca="1"/>
        <v>-0.10288482624421748</v>
      </c>
      <c r="X9154" s="2">
        <f ca="1"/>
        <v>46.736570729521517</v>
      </c>
      <c r="AG9154" s="2">
        <f ca="1"/>
        <v>0.30387137971525569</v>
      </c>
      <c r="AH9154" s="2" t="str">
        <f ca="1"/>
        <v>OK</v>
      </c>
    </row>
    <row r="9155" spans="2:34">
      <c r="B9155" s="2">
        <f ca="1"/>
        <v>0.68789988955445325</v>
      </c>
      <c r="O9155" s="2">
        <f ca="1"/>
        <v>-1.1728952490929141</v>
      </c>
      <c r="X9155" s="2">
        <f ca="1"/>
        <v>56.669967264445837</v>
      </c>
      <c r="AG9155" s="2">
        <f ca="1"/>
        <v>0.93695545882359665</v>
      </c>
      <c r="AH9155" s="2" t="str">
        <f ca="1"/>
        <v>Bad</v>
      </c>
    </row>
    <row r="9156" spans="2:34">
      <c r="B9156" s="2">
        <f ca="1"/>
        <v>0.43369706450972001</v>
      </c>
      <c r="O9156" s="2">
        <f ca="1"/>
        <v>0.98912195511249545</v>
      </c>
      <c r="X9156" s="2">
        <f ca="1"/>
        <v>45.18874957453442</v>
      </c>
      <c r="AG9156" s="2">
        <f ca="1"/>
        <v>0.80679909909148462</v>
      </c>
      <c r="AH9156" s="2" t="str">
        <f ca="1"/>
        <v>Bad</v>
      </c>
    </row>
    <row r="9157" spans="2:34">
      <c r="B9157" s="2">
        <f ca="1"/>
        <v>0.82060924238800736</v>
      </c>
      <c r="O9157" s="2">
        <f ca="1"/>
        <v>-8.2117160807289188E-2</v>
      </c>
      <c r="X9157" s="2">
        <f ca="1"/>
        <v>26.931730779139727</v>
      </c>
      <c r="AG9157" s="2">
        <f ca="1"/>
        <v>0.52913493119550892</v>
      </c>
      <c r="AH9157" s="2" t="str">
        <f ca="1"/>
        <v>Bad</v>
      </c>
    </row>
    <row r="9158" spans="2:34">
      <c r="B9158" s="2">
        <f ca="1"/>
        <v>0.4830156329977433</v>
      </c>
      <c r="O9158" s="2">
        <f ca="1"/>
        <v>-0.52950595837924019</v>
      </c>
      <c r="X9158" s="2">
        <f ca="1"/>
        <v>34.839544176011316</v>
      </c>
      <c r="AG9158" s="2">
        <f ca="1"/>
        <v>0.85233154128092692</v>
      </c>
      <c r="AH9158" s="2" t="str">
        <f ca="1"/>
        <v>Bad</v>
      </c>
    </row>
    <row r="9159" spans="2:34">
      <c r="B9159" s="2">
        <f ca="1"/>
        <v>0.21345684862198477</v>
      </c>
      <c r="O9159" s="2">
        <f ca="1"/>
        <v>0.15335135805651473</v>
      </c>
      <c r="X9159" s="2">
        <f ca="1"/>
        <v>35.822389252231687</v>
      </c>
      <c r="AG9159" s="2">
        <f ca="1"/>
        <v>0.76628879121769655</v>
      </c>
      <c r="AH9159" s="2" t="str">
        <f ca="1"/>
        <v>Bad</v>
      </c>
    </row>
    <row r="9160" spans="2:34">
      <c r="B9160" s="2">
        <f ca="1"/>
        <v>0.81008506449798734</v>
      </c>
      <c r="O9160" s="2">
        <f ca="1"/>
        <v>0.54068024608077758</v>
      </c>
      <c r="X9160" s="2">
        <f ca="1"/>
        <v>71.647408912453571</v>
      </c>
      <c r="AG9160" s="2">
        <f ca="1"/>
        <v>0.84088009788242202</v>
      </c>
      <c r="AH9160" s="2" t="str">
        <f ca="1"/>
        <v>Bad</v>
      </c>
    </row>
    <row r="9161" spans="2:34">
      <c r="B9161" s="2">
        <f ca="1"/>
        <v>0.55201234752736061</v>
      </c>
      <c r="O9161" s="2">
        <f ca="1"/>
        <v>-0.56091353173132574</v>
      </c>
      <c r="X9161" s="2">
        <f ca="1"/>
        <v>42.22114905459712</v>
      </c>
      <c r="AG9161" s="2">
        <f ca="1"/>
        <v>0.37636971105389794</v>
      </c>
      <c r="AH9161" s="2" t="str">
        <f ca="1"/>
        <v>OK</v>
      </c>
    </row>
    <row r="9162" spans="2:34">
      <c r="B9162" s="2">
        <f ca="1"/>
        <v>0.94502067575386217</v>
      </c>
      <c r="O9162" s="2">
        <f ca="1"/>
        <v>-0.17630372784355886</v>
      </c>
      <c r="X9162" s="2">
        <f ca="1"/>
        <v>32.368805084981361</v>
      </c>
      <c r="AG9162" s="2">
        <f ca="1"/>
        <v>5.3920976694814104E-2</v>
      </c>
      <c r="AH9162" s="2" t="str">
        <f ca="1"/>
        <v>OK</v>
      </c>
    </row>
    <row r="9163" spans="2:34">
      <c r="B9163" s="2">
        <f ca="1"/>
        <v>0.23232986266333544</v>
      </c>
      <c r="O9163" s="2">
        <f ca="1"/>
        <v>-1.2066580169468899</v>
      </c>
      <c r="X9163" s="2">
        <f ca="1"/>
        <v>24.741917805702172</v>
      </c>
      <c r="AG9163" s="2">
        <f ca="1"/>
        <v>0.76678378990753848</v>
      </c>
      <c r="AH9163" s="2" t="str">
        <f ca="1"/>
        <v>Bad</v>
      </c>
    </row>
    <row r="9164" spans="2:34">
      <c r="B9164" s="2">
        <f ca="1"/>
        <v>0.6541573107837666</v>
      </c>
      <c r="O9164" s="2">
        <f ca="1"/>
        <v>9.9315124038472681E-3</v>
      </c>
      <c r="X9164" s="2">
        <f ca="1"/>
        <v>76.874424095189383</v>
      </c>
      <c r="AG9164" s="2">
        <f ca="1"/>
        <v>0.94509566522113131</v>
      </c>
      <c r="AH9164" s="2" t="str">
        <f ca="1"/>
        <v>Bad</v>
      </c>
    </row>
    <row r="9165" spans="2:34">
      <c r="B9165" s="2">
        <f ca="1"/>
        <v>0.34351128334068859</v>
      </c>
      <c r="O9165" s="2">
        <f ca="1"/>
        <v>-3.1225734632282101</v>
      </c>
      <c r="X9165" s="2">
        <f ca="1"/>
        <v>60.02139856757347</v>
      </c>
      <c r="AG9165" s="2">
        <f ca="1"/>
        <v>4.2449555358665236E-2</v>
      </c>
      <c r="AH9165" s="2" t="str">
        <f ca="1"/>
        <v>Good</v>
      </c>
    </row>
    <row r="9166" spans="2:34">
      <c r="B9166" s="2">
        <f ca="1"/>
        <v>0.84972582042553224</v>
      </c>
      <c r="O9166" s="2">
        <f ca="1"/>
        <v>-6.907163622727705E-2</v>
      </c>
      <c r="X9166" s="2">
        <f ca="1"/>
        <v>67.760546652347415</v>
      </c>
      <c r="AG9166" s="2">
        <f ca="1"/>
        <v>0.78187593711434555</v>
      </c>
      <c r="AH9166" s="2" t="str">
        <f ca="1"/>
        <v>Bad</v>
      </c>
    </row>
    <row r="9167" spans="2:34">
      <c r="B9167" s="2">
        <f ca="1"/>
        <v>3.4117297866683494E-2</v>
      </c>
      <c r="O9167" s="2">
        <f ca="1"/>
        <v>-0.3372037804384187</v>
      </c>
      <c r="X9167" s="2">
        <f ca="1"/>
        <v>74.98632418851966</v>
      </c>
      <c r="AG9167" s="2">
        <f ca="1"/>
        <v>0.53222918293882593</v>
      </c>
      <c r="AH9167" s="2" t="str">
        <f ca="1"/>
        <v>Bad</v>
      </c>
    </row>
    <row r="9168" spans="2:34">
      <c r="B9168" s="2">
        <f ca="1"/>
        <v>0.64299906379064398</v>
      </c>
      <c r="O9168" s="2">
        <f ca="1"/>
        <v>0.58134806373452019</v>
      </c>
      <c r="X9168" s="2">
        <f ca="1"/>
        <v>40.127924866155801</v>
      </c>
      <c r="AG9168" s="2">
        <f ca="1"/>
        <v>0.26919526199000599</v>
      </c>
      <c r="AH9168" s="2" t="str">
        <f ca="1"/>
        <v>OK</v>
      </c>
    </row>
    <row r="9169" spans="2:34">
      <c r="B9169" s="2">
        <f ca="1"/>
        <v>0.74014480614832601</v>
      </c>
      <c r="O9169" s="2">
        <f ca="1"/>
        <v>-0.56358545996291443</v>
      </c>
      <c r="X9169" s="2">
        <f ca="1"/>
        <v>49.639267158719434</v>
      </c>
      <c r="AG9169" s="2">
        <f ca="1"/>
        <v>0.24315743279779523</v>
      </c>
      <c r="AH9169" s="2" t="str">
        <f ca="1"/>
        <v>OK</v>
      </c>
    </row>
    <row r="9170" spans="2:34">
      <c r="B9170" s="2">
        <f ca="1"/>
        <v>0.37239238172268552</v>
      </c>
      <c r="O9170" s="2">
        <f ca="1"/>
        <v>-0.97239371344367975</v>
      </c>
      <c r="X9170" s="2">
        <f ca="1"/>
        <v>84.732135991882842</v>
      </c>
      <c r="AG9170" s="2">
        <f ca="1"/>
        <v>0.93095529514658582</v>
      </c>
      <c r="AH9170" s="2" t="str">
        <f ca="1"/>
        <v>Bad</v>
      </c>
    </row>
    <row r="9171" spans="2:34">
      <c r="B9171" s="2">
        <f ca="1"/>
        <v>7.1716005086096768E-2</v>
      </c>
      <c r="O9171" s="2">
        <f ca="1"/>
        <v>-0.37864085347444032</v>
      </c>
      <c r="X9171" s="2">
        <f ca="1"/>
        <v>53.90915645282648</v>
      </c>
      <c r="AG9171" s="2">
        <f ca="1"/>
        <v>0.38330000885474824</v>
      </c>
      <c r="AH9171" s="2" t="str">
        <f ca="1"/>
        <v>OK</v>
      </c>
    </row>
    <row r="9172" spans="2:34">
      <c r="B9172" s="2">
        <f ca="1"/>
        <v>0.84055025036607978</v>
      </c>
      <c r="O9172" s="2">
        <f ca="1"/>
        <v>1.6603548145751974</v>
      </c>
      <c r="X9172" s="2">
        <f ca="1"/>
        <v>48.719677724395602</v>
      </c>
      <c r="AG9172" s="2">
        <f ca="1"/>
        <v>0.20458629078016566</v>
      </c>
      <c r="AH9172" s="2" t="str">
        <f ca="1"/>
        <v>OK</v>
      </c>
    </row>
    <row r="9173" spans="2:34">
      <c r="B9173" s="2">
        <f ca="1"/>
        <v>0.93454915867629551</v>
      </c>
      <c r="O9173" s="2">
        <f ca="1"/>
        <v>0.67094533660947253</v>
      </c>
      <c r="X9173" s="2">
        <f ca="1"/>
        <v>31.815586714357753</v>
      </c>
      <c r="AG9173" s="2">
        <f ca="1"/>
        <v>0.94871463752114704</v>
      </c>
      <c r="AH9173" s="2" t="str">
        <f ca="1"/>
        <v>Bad</v>
      </c>
    </row>
    <row r="9174" spans="2:34">
      <c r="B9174" s="2">
        <f ca="1"/>
        <v>1.1217470490876513E-2</v>
      </c>
      <c r="O9174" s="2">
        <f ca="1"/>
        <v>-1.4925935393618373</v>
      </c>
      <c r="X9174" s="2">
        <f ca="1"/>
        <v>31.192235307406001</v>
      </c>
      <c r="AG9174" s="2">
        <f ca="1"/>
        <v>0.26047090076697255</v>
      </c>
      <c r="AH9174" s="2" t="str">
        <f ca="1"/>
        <v>OK</v>
      </c>
    </row>
    <row r="9175" spans="2:34">
      <c r="B9175" s="2">
        <f ca="1"/>
        <v>0.33461120248173515</v>
      </c>
      <c r="O9175" s="2">
        <f ca="1"/>
        <v>-0.13349140670750606</v>
      </c>
      <c r="X9175" s="2">
        <f ca="1"/>
        <v>44.618779187833169</v>
      </c>
      <c r="AG9175" s="2">
        <f ca="1"/>
        <v>0.7082903113624639</v>
      </c>
      <c r="AH9175" s="2" t="str">
        <f ca="1"/>
        <v>Bad</v>
      </c>
    </row>
    <row r="9176" spans="2:34">
      <c r="B9176" s="2">
        <f ca="1"/>
        <v>0.52637951345741629</v>
      </c>
      <c r="O9176" s="2">
        <f ca="1"/>
        <v>0.62639380912888998</v>
      </c>
      <c r="X9176" s="2">
        <f ca="1"/>
        <v>43.377022780512192</v>
      </c>
      <c r="AG9176" s="2">
        <f ca="1"/>
        <v>0.10981529987968397</v>
      </c>
      <c r="AH9176" s="2" t="str">
        <f ca="1"/>
        <v>OK</v>
      </c>
    </row>
    <row r="9177" spans="2:34">
      <c r="B9177" s="2">
        <f ca="1"/>
        <v>0.65855441598733533</v>
      </c>
      <c r="O9177" s="2">
        <f ca="1"/>
        <v>7.1101137771495829E-3</v>
      </c>
      <c r="X9177" s="2">
        <f ca="1"/>
        <v>35.736397360708253</v>
      </c>
      <c r="AG9177" s="2">
        <f ca="1"/>
        <v>3.1536620131237703E-2</v>
      </c>
      <c r="AH9177" s="2" t="str">
        <f ca="1"/>
        <v>Good</v>
      </c>
    </row>
    <row r="9178" spans="2:34">
      <c r="B9178" s="2">
        <f ca="1"/>
        <v>0.13351026457105042</v>
      </c>
      <c r="O9178" s="2">
        <f ca="1"/>
        <v>-1.58253697182747</v>
      </c>
      <c r="X9178" s="2">
        <f ca="1"/>
        <v>73.471758951251516</v>
      </c>
      <c r="AG9178" s="2">
        <f ca="1"/>
        <v>0.98766095449712599</v>
      </c>
      <c r="AH9178" s="2" t="str">
        <f ca="1"/>
        <v>Bad</v>
      </c>
    </row>
    <row r="9179" spans="2:34">
      <c r="B9179" s="2">
        <f ca="1"/>
        <v>0.16708541039706759</v>
      </c>
      <c r="O9179" s="2">
        <f ca="1"/>
        <v>0.21195721063544584</v>
      </c>
      <c r="X9179" s="2">
        <f ca="1"/>
        <v>46.645012941906543</v>
      </c>
      <c r="AG9179" s="2">
        <f ca="1"/>
        <v>9.172954987417592E-2</v>
      </c>
      <c r="AH9179" s="2" t="str">
        <f ca="1"/>
        <v>OK</v>
      </c>
    </row>
    <row r="9180" spans="2:34">
      <c r="B9180" s="2">
        <f ca="1"/>
        <v>0.17549617583796984</v>
      </c>
      <c r="O9180" s="2">
        <f ca="1"/>
        <v>-1.4939735785690866</v>
      </c>
      <c r="X9180" s="2">
        <f ca="1"/>
        <v>78.503237441992027</v>
      </c>
      <c r="AG9180" s="2">
        <f ca="1"/>
        <v>0.40193056823042617</v>
      </c>
      <c r="AH9180" s="2" t="str">
        <f ca="1"/>
        <v>Bad</v>
      </c>
    </row>
    <row r="9181" spans="2:34">
      <c r="B9181" s="2">
        <f ca="1"/>
        <v>0.63984394483983298</v>
      </c>
      <c r="O9181" s="2">
        <f ca="1"/>
        <v>1.0069569829572911</v>
      </c>
      <c r="X9181" s="2">
        <f ca="1"/>
        <v>46.166273275326326</v>
      </c>
      <c r="AG9181" s="2">
        <f ca="1"/>
        <v>0.12495181336582317</v>
      </c>
      <c r="AH9181" s="2" t="str">
        <f ca="1"/>
        <v>OK</v>
      </c>
    </row>
    <row r="9182" spans="2:34">
      <c r="B9182" s="2">
        <f ca="1"/>
        <v>0.99270862255526016</v>
      </c>
      <c r="O9182" s="2">
        <f ca="1"/>
        <v>-0.61537112256798854</v>
      </c>
      <c r="X9182" s="2">
        <f ca="1"/>
        <v>45.063652415787374</v>
      </c>
      <c r="AG9182" s="2">
        <f ca="1"/>
        <v>0.18447682829823364</v>
      </c>
      <c r="AH9182" s="2" t="str">
        <f ca="1"/>
        <v>OK</v>
      </c>
    </row>
    <row r="9183" spans="2:34">
      <c r="B9183" s="2">
        <f ca="1"/>
        <v>0.59045367703040852</v>
      </c>
      <c r="O9183" s="2">
        <f ca="1"/>
        <v>0.41378507311473284</v>
      </c>
      <c r="X9183" s="2">
        <f ca="1"/>
        <v>54.984119843847871</v>
      </c>
      <c r="AG9183" s="2">
        <f ca="1"/>
        <v>0.82356765785221642</v>
      </c>
      <c r="AH9183" s="2" t="str">
        <f ca="1"/>
        <v>Bad</v>
      </c>
    </row>
    <row r="9184" spans="2:34">
      <c r="B9184" s="2">
        <f ca="1"/>
        <v>0.65712002131902136</v>
      </c>
      <c r="O9184" s="2">
        <f ca="1"/>
        <v>1.4667262070867002</v>
      </c>
      <c r="X9184" s="2">
        <f ca="1"/>
        <v>54.710551194727529</v>
      </c>
      <c r="AG9184" s="2">
        <f ca="1"/>
        <v>0.6867354058736419</v>
      </c>
      <c r="AH9184" s="2" t="str">
        <f ca="1"/>
        <v>Bad</v>
      </c>
    </row>
    <row r="9185" spans="2:34">
      <c r="B9185" s="2">
        <f ca="1"/>
        <v>5.7661196763980627E-2</v>
      </c>
      <c r="O9185" s="2">
        <f ca="1"/>
        <v>-0.93811839855455004</v>
      </c>
      <c r="X9185" s="2">
        <f ca="1"/>
        <v>39.470437945942237</v>
      </c>
      <c r="AG9185" s="2">
        <f ca="1"/>
        <v>0.93124685747119562</v>
      </c>
      <c r="AH9185" s="2" t="str">
        <f ca="1"/>
        <v>Bad</v>
      </c>
    </row>
    <row r="9186" spans="2:34">
      <c r="B9186" s="2">
        <f ca="1"/>
        <v>0.93008060468817511</v>
      </c>
      <c r="O9186" s="2">
        <f ca="1"/>
        <v>-0.47216577845091856</v>
      </c>
      <c r="X9186" s="2">
        <f ca="1"/>
        <v>32.803544754416755</v>
      </c>
      <c r="AG9186" s="2">
        <f ca="1"/>
        <v>0.35075717012696317</v>
      </c>
      <c r="AH9186" s="2" t="str">
        <f ca="1"/>
        <v>OK</v>
      </c>
    </row>
    <row r="9187" spans="2:34">
      <c r="B9187" s="2">
        <f ca="1"/>
        <v>0.64704309351965561</v>
      </c>
      <c r="O9187" s="2">
        <f ca="1"/>
        <v>0.41049207854729053</v>
      </c>
      <c r="X9187" s="2">
        <f ca="1"/>
        <v>57.003723087709673</v>
      </c>
      <c r="AG9187" s="2">
        <f ca="1"/>
        <v>0.6432827613515566</v>
      </c>
      <c r="AH9187" s="2" t="str">
        <f ca="1"/>
        <v>Bad</v>
      </c>
    </row>
    <row r="9188" spans="2:34">
      <c r="B9188" s="2">
        <f ca="1"/>
        <v>0.92637761581053479</v>
      </c>
      <c r="O9188" s="2">
        <f ca="1"/>
        <v>0.47541660496962063</v>
      </c>
      <c r="X9188" s="2">
        <f ca="1"/>
        <v>31.95388770854742</v>
      </c>
      <c r="AG9188" s="2">
        <f ca="1"/>
        <v>0.29162683288736146</v>
      </c>
      <c r="AH9188" s="2" t="str">
        <f ca="1"/>
        <v>OK</v>
      </c>
    </row>
    <row r="9189" spans="2:34">
      <c r="B9189" s="2">
        <f ca="1"/>
        <v>0.53762179193193882</v>
      </c>
      <c r="O9189" s="2">
        <f ca="1"/>
        <v>-0.84154832960519654</v>
      </c>
      <c r="X9189" s="2">
        <f ca="1"/>
        <v>53.92724340329417</v>
      </c>
      <c r="AG9189" s="2">
        <f ca="1"/>
        <v>0.95753727319002668</v>
      </c>
      <c r="AH9189" s="2" t="str">
        <f ca="1"/>
        <v>Bad</v>
      </c>
    </row>
    <row r="9190" spans="2:34">
      <c r="B9190" s="2">
        <f ca="1"/>
        <v>0.46313943538381963</v>
      </c>
      <c r="O9190" s="2">
        <f ca="1"/>
        <v>0.80353584151995905</v>
      </c>
      <c r="X9190" s="2">
        <f ca="1"/>
        <v>36.042159265345489</v>
      </c>
      <c r="AG9190" s="2">
        <f ca="1"/>
        <v>0.54748620221420397</v>
      </c>
      <c r="AH9190" s="2" t="str">
        <f ca="1"/>
        <v>Bad</v>
      </c>
    </row>
    <row r="9191" spans="2:34">
      <c r="B9191" s="2">
        <f ca="1"/>
        <v>0.55470239214654149</v>
      </c>
      <c r="O9191" s="2">
        <f ca="1"/>
        <v>-4.7570150120220443E-2</v>
      </c>
      <c r="X9191" s="2">
        <f ca="1"/>
        <v>52.795900179539366</v>
      </c>
      <c r="AG9191" s="2">
        <f ca="1"/>
        <v>0.71947803298939306</v>
      </c>
      <c r="AH9191" s="2" t="str">
        <f ca="1"/>
        <v>Bad</v>
      </c>
    </row>
    <row r="9192" spans="2:34">
      <c r="B9192" s="2">
        <f ca="1"/>
        <v>0.43976829069540568</v>
      </c>
      <c r="O9192" s="2">
        <f ca="1"/>
        <v>-1.5242607490051514</v>
      </c>
      <c r="X9192" s="2">
        <f ca="1"/>
        <v>50.653941483650854</v>
      </c>
      <c r="AG9192" s="2">
        <f ca="1"/>
        <v>0.42975815334130463</v>
      </c>
      <c r="AH9192" s="2" t="str">
        <f ca="1"/>
        <v>Bad</v>
      </c>
    </row>
    <row r="9193" spans="2:34">
      <c r="B9193" s="2">
        <f ca="1"/>
        <v>0.25154880773936839</v>
      </c>
      <c r="O9193" s="2">
        <f ca="1"/>
        <v>-1.5889436859305659</v>
      </c>
      <c r="X9193" s="2">
        <f ca="1"/>
        <v>40.25916334251967</v>
      </c>
      <c r="AG9193" s="2">
        <f ca="1"/>
        <v>0.50173811906140631</v>
      </c>
      <c r="AH9193" s="2" t="str">
        <f ca="1"/>
        <v>Bad</v>
      </c>
    </row>
    <row r="9194" spans="2:34">
      <c r="B9194" s="2">
        <f ca="1"/>
        <v>0.17501236001754128</v>
      </c>
      <c r="O9194" s="2">
        <f ca="1"/>
        <v>0.17026688677373691</v>
      </c>
      <c r="X9194" s="2">
        <f ca="1"/>
        <v>36.243985552144757</v>
      </c>
      <c r="AG9194" s="2">
        <f ca="1"/>
        <v>0.6731845296835266</v>
      </c>
      <c r="AH9194" s="2" t="str">
        <f ca="1"/>
        <v>Bad</v>
      </c>
    </row>
    <row r="9195" spans="2:34">
      <c r="B9195" s="2">
        <f ca="1"/>
        <v>0.68706581042318327</v>
      </c>
      <c r="O9195" s="2">
        <f ca="1"/>
        <v>1.7682611664069687</v>
      </c>
      <c r="X9195" s="2">
        <f ca="1"/>
        <v>57.253079963839902</v>
      </c>
      <c r="AG9195" s="2">
        <f ca="1"/>
        <v>0.7391257366214854</v>
      </c>
      <c r="AH9195" s="2" t="str">
        <f ca="1"/>
        <v>Bad</v>
      </c>
    </row>
    <row r="9196" spans="2:34">
      <c r="B9196" s="2">
        <f ca="1"/>
        <v>0.94533437273206089</v>
      </c>
      <c r="O9196" s="2">
        <f ca="1"/>
        <v>-1.5376484847790366</v>
      </c>
      <c r="X9196" s="2">
        <f ca="1"/>
        <v>32.511550126279282</v>
      </c>
      <c r="AG9196" s="2">
        <f ca="1"/>
        <v>0.67898683250854819</v>
      </c>
      <c r="AH9196" s="2" t="str">
        <f ca="1"/>
        <v>Bad</v>
      </c>
    </row>
    <row r="9197" spans="2:34">
      <c r="B9197" s="2">
        <f ca="1"/>
        <v>0.22930813168970565</v>
      </c>
      <c r="O9197" s="2">
        <f ca="1"/>
        <v>-0.7522940779731494</v>
      </c>
      <c r="X9197" s="2">
        <f ca="1"/>
        <v>48.462372491194749</v>
      </c>
      <c r="AG9197" s="2">
        <f ca="1"/>
        <v>0.31618755140385479</v>
      </c>
      <c r="AH9197" s="2" t="str">
        <f ca="1"/>
        <v>OK</v>
      </c>
    </row>
    <row r="9198" spans="2:34">
      <c r="B9198" s="2">
        <f ca="1"/>
        <v>0.67099581108344641</v>
      </c>
      <c r="O9198" s="2">
        <f ca="1"/>
        <v>-1.2926290663084632</v>
      </c>
      <c r="X9198" s="2">
        <f ca="1"/>
        <v>52.213044998113752</v>
      </c>
      <c r="AG9198" s="2">
        <f ca="1"/>
        <v>0.33226649085892124</v>
      </c>
      <c r="AH9198" s="2" t="str">
        <f ca="1"/>
        <v>OK</v>
      </c>
    </row>
    <row r="9199" spans="2:34">
      <c r="B9199" s="2">
        <f ca="1"/>
        <v>9.938833292709659E-2</v>
      </c>
      <c r="O9199" s="2">
        <f ca="1"/>
        <v>-1.137212079483958</v>
      </c>
      <c r="X9199" s="2">
        <f ca="1"/>
        <v>57.508964245212084</v>
      </c>
      <c r="AG9199" s="2">
        <f ca="1"/>
        <v>0.18230969572650224</v>
      </c>
      <c r="AH9199" s="2" t="str">
        <f ca="1"/>
        <v>OK</v>
      </c>
    </row>
    <row r="9200" spans="2:34">
      <c r="B9200" s="2">
        <f ca="1"/>
        <v>0.61425702304057395</v>
      </c>
      <c r="O9200" s="2">
        <f ca="1"/>
        <v>-0.11104731688637773</v>
      </c>
      <c r="X9200" s="2">
        <f ca="1"/>
        <v>70.081642347880035</v>
      </c>
      <c r="AG9200" s="2">
        <f ca="1"/>
        <v>0.33105818426748113</v>
      </c>
      <c r="AH9200" s="2" t="str">
        <f ca="1"/>
        <v>OK</v>
      </c>
    </row>
    <row r="9201" spans="2:34">
      <c r="B9201" s="2">
        <f ca="1"/>
        <v>0.22331565671023723</v>
      </c>
      <c r="O9201" s="2">
        <f ca="1"/>
        <v>0.60537666944538338</v>
      </c>
      <c r="X9201" s="2">
        <f ca="1"/>
        <v>54.403985556164393</v>
      </c>
      <c r="AG9201" s="2">
        <f ca="1"/>
        <v>0.33779262118086195</v>
      </c>
      <c r="AH9201" s="2" t="str">
        <f ca="1"/>
        <v>OK</v>
      </c>
    </row>
    <row r="9202" spans="2:34">
      <c r="B9202" s="2">
        <f ca="1"/>
        <v>0.32420989314327398</v>
      </c>
      <c r="O9202" s="2">
        <f ca="1"/>
        <v>-0.36550470888178771</v>
      </c>
      <c r="X9202" s="2">
        <f ca="1"/>
        <v>40.431546810109495</v>
      </c>
      <c r="AG9202" s="2">
        <f ca="1"/>
        <v>4.7790399948048456E-2</v>
      </c>
      <c r="AH9202" s="2" t="str">
        <f ca="1"/>
        <v>Good</v>
      </c>
    </row>
    <row r="9203" spans="2:34">
      <c r="B9203" s="2">
        <f ca="1"/>
        <v>0.80044829537986906</v>
      </c>
      <c r="O9203" s="2">
        <f ca="1"/>
        <v>0.41887849058295362</v>
      </c>
      <c r="X9203" s="2">
        <f ca="1"/>
        <v>43.800236583614094</v>
      </c>
      <c r="AG9203" s="2">
        <f ca="1"/>
        <v>9.5093767844822708E-4</v>
      </c>
      <c r="AH9203" s="2" t="str">
        <f ca="1"/>
        <v>Good</v>
      </c>
    </row>
    <row r="9204" spans="2:34">
      <c r="B9204" s="2">
        <f ca="1"/>
        <v>0.24945526800359308</v>
      </c>
      <c r="O9204" s="2">
        <f ca="1"/>
        <v>-1.6672487717799807</v>
      </c>
      <c r="X9204" s="2">
        <f ca="1"/>
        <v>38.222567145759349</v>
      </c>
      <c r="AG9204" s="2">
        <f ca="1"/>
        <v>0.59672033289504611</v>
      </c>
      <c r="AH9204" s="2" t="str">
        <f ca="1"/>
        <v>Bad</v>
      </c>
    </row>
    <row r="9205" spans="2:34">
      <c r="B9205" s="2">
        <f ca="1"/>
        <v>0.17776720223712039</v>
      </c>
      <c r="O9205" s="2">
        <f ca="1"/>
        <v>0.95713018324265886</v>
      </c>
      <c r="X9205" s="2">
        <f ca="1"/>
        <v>50.605952399150851</v>
      </c>
      <c r="AG9205" s="2">
        <f ca="1"/>
        <v>0.87191562577572701</v>
      </c>
      <c r="AH9205" s="2" t="str">
        <f ca="1"/>
        <v>Bad</v>
      </c>
    </row>
    <row r="9206" spans="2:34">
      <c r="B9206" s="2">
        <f ca="1"/>
        <v>0.28035814772238288</v>
      </c>
      <c r="O9206" s="2">
        <f ca="1"/>
        <v>0.47081293129867618</v>
      </c>
      <c r="X9206" s="2">
        <f ca="1"/>
        <v>46.14238990900229</v>
      </c>
      <c r="AG9206" s="2">
        <f ca="1"/>
        <v>0.12763042429135041</v>
      </c>
      <c r="AH9206" s="2" t="str">
        <f ca="1"/>
        <v>OK</v>
      </c>
    </row>
    <row r="9207" spans="2:34">
      <c r="B9207" s="2">
        <f ca="1"/>
        <v>0.6504473924285481</v>
      </c>
      <c r="O9207" s="2">
        <f ca="1"/>
        <v>-0.61738950195657394</v>
      </c>
      <c r="X9207" s="2">
        <f ca="1"/>
        <v>55.597388631662248</v>
      </c>
      <c r="AG9207" s="2">
        <f ca="1"/>
        <v>0.37042282336134291</v>
      </c>
      <c r="AH9207" s="2" t="str">
        <f ca="1"/>
        <v>OK</v>
      </c>
    </row>
    <row r="9208" spans="2:34">
      <c r="B9208" s="2">
        <f ca="1"/>
        <v>1.7584461393252981E-2</v>
      </c>
      <c r="O9208" s="2">
        <f ca="1"/>
        <v>-0.76213283969140555</v>
      </c>
      <c r="X9208" s="2">
        <f ca="1"/>
        <v>33.576164430892327</v>
      </c>
      <c r="AG9208" s="2">
        <f ca="1"/>
        <v>2.4328433231662894E-2</v>
      </c>
      <c r="AH9208" s="2" t="str">
        <f ca="1"/>
        <v>Good</v>
      </c>
    </row>
    <row r="9209" spans="2:34">
      <c r="B9209" s="2">
        <f ca="1"/>
        <v>0.91338737631043188</v>
      </c>
      <c r="O9209" s="2">
        <f ca="1"/>
        <v>0.25683875100311798</v>
      </c>
      <c r="X9209" s="2">
        <f ca="1"/>
        <v>41.580521497123975</v>
      </c>
      <c r="AG9209" s="2">
        <f ca="1"/>
        <v>0.90573306476335502</v>
      </c>
      <c r="AH9209" s="2" t="str">
        <f ca="1"/>
        <v>Bad</v>
      </c>
    </row>
    <row r="9210" spans="2:34">
      <c r="B9210" s="2">
        <f ca="1"/>
        <v>0.73628229166894821</v>
      </c>
      <c r="O9210" s="2">
        <f ca="1"/>
        <v>-1.8880132407093746</v>
      </c>
      <c r="X9210" s="2">
        <f ca="1"/>
        <v>53.714417765534456</v>
      </c>
      <c r="AG9210" s="2">
        <f ca="1"/>
        <v>0.45688372557464518</v>
      </c>
      <c r="AH9210" s="2" t="str">
        <f ca="1"/>
        <v>Bad</v>
      </c>
    </row>
    <row r="9211" spans="2:34">
      <c r="B9211" s="2">
        <f ca="1"/>
        <v>0.33461425471884265</v>
      </c>
      <c r="O9211" s="2">
        <f ca="1"/>
        <v>1.5274895108630673</v>
      </c>
      <c r="X9211" s="2">
        <f ca="1"/>
        <v>51.639824115026691</v>
      </c>
      <c r="AG9211" s="2">
        <f ca="1"/>
        <v>3.9910833920156819E-2</v>
      </c>
      <c r="AH9211" s="2" t="str">
        <f ca="1"/>
        <v>Good</v>
      </c>
    </row>
    <row r="9212" spans="2:34">
      <c r="B9212" s="2">
        <f ca="1"/>
        <v>0.86408913255415443</v>
      </c>
      <c r="O9212" s="2">
        <f ca="1"/>
        <v>-1.6289798974384764</v>
      </c>
      <c r="X9212" s="2">
        <f ca="1"/>
        <v>49.030904657077919</v>
      </c>
      <c r="AG9212" s="2">
        <f ca="1"/>
        <v>0.94929683827955591</v>
      </c>
      <c r="AH9212" s="2" t="str">
        <f ca="1"/>
        <v>Bad</v>
      </c>
    </row>
    <row r="9213" spans="2:34">
      <c r="B9213" s="2">
        <f ca="1"/>
        <v>0.50589797450415808</v>
      </c>
      <c r="O9213" s="2">
        <f ca="1"/>
        <v>-1.6292058752854599</v>
      </c>
      <c r="X9213" s="2">
        <f ca="1"/>
        <v>73.014589972785899</v>
      </c>
      <c r="AG9213" s="2">
        <f ca="1"/>
        <v>0.59328552133515733</v>
      </c>
      <c r="AH9213" s="2" t="str">
        <f ca="1"/>
        <v>Bad</v>
      </c>
    </row>
    <row r="9214" spans="2:34">
      <c r="B9214" s="2">
        <f ca="1"/>
        <v>0.23668085262250127</v>
      </c>
      <c r="O9214" s="2">
        <f ca="1"/>
        <v>1.8199767500999624</v>
      </c>
      <c r="X9214" s="2">
        <f ca="1"/>
        <v>52.200297574081617</v>
      </c>
      <c r="AG9214" s="2">
        <f ca="1"/>
        <v>0.42779225735741133</v>
      </c>
      <c r="AH9214" s="2" t="str">
        <f ca="1"/>
        <v>Bad</v>
      </c>
    </row>
    <row r="9215" spans="2:34">
      <c r="B9215" s="2">
        <f ca="1"/>
        <v>0.2694442695817274</v>
      </c>
      <c r="O9215" s="2">
        <f ca="1"/>
        <v>0.3813450801146317</v>
      </c>
      <c r="X9215" s="2">
        <f ca="1"/>
        <v>46.079126272935731</v>
      </c>
      <c r="AG9215" s="2">
        <f ca="1"/>
        <v>0.13892027495805692</v>
      </c>
      <c r="AH9215" s="2" t="str">
        <f ca="1"/>
        <v>OK</v>
      </c>
    </row>
    <row r="9216" spans="2:34">
      <c r="B9216" s="2">
        <f ca="1"/>
        <v>5.4399345272453825E-2</v>
      </c>
      <c r="O9216" s="2">
        <f ca="1"/>
        <v>1.40170536717299</v>
      </c>
      <c r="X9216" s="2">
        <f ca="1"/>
        <v>32.756038378211258</v>
      </c>
      <c r="AG9216" s="2">
        <f ca="1"/>
        <v>0.82175271387871729</v>
      </c>
      <c r="AH9216" s="2" t="str">
        <f ca="1"/>
        <v>Bad</v>
      </c>
    </row>
    <row r="9217" spans="2:34">
      <c r="B9217" s="2">
        <f ca="1"/>
        <v>3.0736868848938004E-2</v>
      </c>
      <c r="O9217" s="2">
        <f ca="1"/>
        <v>-0.10016934922534471</v>
      </c>
      <c r="X9217" s="2">
        <f ca="1"/>
        <v>47.231074889013868</v>
      </c>
      <c r="AG9217" s="2">
        <f ca="1"/>
        <v>0.87279456479556417</v>
      </c>
      <c r="AH9217" s="2" t="str">
        <f ca="1"/>
        <v>Bad</v>
      </c>
    </row>
    <row r="9218" spans="2:34">
      <c r="B9218" s="2">
        <f ca="1"/>
        <v>0.97575377524048079</v>
      </c>
      <c r="O9218" s="2">
        <f ca="1"/>
        <v>-0.98322211071631238</v>
      </c>
      <c r="X9218" s="2">
        <f ca="1"/>
        <v>47.911213025227653</v>
      </c>
      <c r="AG9218" s="2">
        <f ca="1"/>
        <v>0.27987968828459397</v>
      </c>
      <c r="AH9218" s="2" t="str">
        <f ca="1"/>
        <v>OK</v>
      </c>
    </row>
    <row r="9219" spans="2:34">
      <c r="B9219" s="2">
        <f ca="1"/>
        <v>0.85964778261112862</v>
      </c>
      <c r="O9219" s="2">
        <f ca="1"/>
        <v>0.31588966876047703</v>
      </c>
      <c r="X9219" s="2">
        <f ca="1"/>
        <v>86.782779548239859</v>
      </c>
      <c r="AG9219" s="2">
        <f ca="1"/>
        <v>0.88604659387784612</v>
      </c>
      <c r="AH9219" s="2" t="str">
        <f ca="1"/>
        <v>Bad</v>
      </c>
    </row>
    <row r="9220" spans="2:34">
      <c r="B9220" s="2">
        <f ca="1"/>
        <v>0.76082978100208276</v>
      </c>
      <c r="O9220" s="2">
        <f ca="1"/>
        <v>0.19697804640305522</v>
      </c>
      <c r="X9220" s="2">
        <f ca="1"/>
        <v>37.235549758696322</v>
      </c>
      <c r="AG9220" s="2">
        <f ca="1"/>
        <v>0.86458450708416867</v>
      </c>
      <c r="AH9220" s="2" t="str">
        <f ca="1"/>
        <v>Bad</v>
      </c>
    </row>
    <row r="9221" spans="2:34">
      <c r="B9221" s="2">
        <f ca="1"/>
        <v>1.2496956100831902E-2</v>
      </c>
      <c r="O9221" s="2">
        <f ca="1"/>
        <v>-5.5844749403051175E-2</v>
      </c>
      <c r="X9221" s="2">
        <f ca="1"/>
        <v>65.425931121129693</v>
      </c>
      <c r="AG9221" s="2">
        <f ca="1"/>
        <v>0.29857126795053146</v>
      </c>
      <c r="AH9221" s="2" t="str">
        <f ca="1"/>
        <v>OK</v>
      </c>
    </row>
    <row r="9222" spans="2:34">
      <c r="B9222" s="2">
        <f ca="1"/>
        <v>0.31801106773311649</v>
      </c>
      <c r="O9222" s="2">
        <f ca="1"/>
        <v>-0.26595518252578743</v>
      </c>
      <c r="X9222" s="2">
        <f ca="1"/>
        <v>55.840152498962738</v>
      </c>
      <c r="AG9222" s="2">
        <f ca="1"/>
        <v>0.94726226169523153</v>
      </c>
      <c r="AH9222" s="2" t="str">
        <f ca="1"/>
        <v>Bad</v>
      </c>
    </row>
    <row r="9223" spans="2:34">
      <c r="B9223" s="2">
        <f ca="1"/>
        <v>0.53397082850998734</v>
      </c>
      <c r="O9223" s="2">
        <f ca="1"/>
        <v>-1.3131071451191723</v>
      </c>
      <c r="X9223" s="2">
        <f ca="1"/>
        <v>54.091162210567241</v>
      </c>
      <c r="AG9223" s="2">
        <f ca="1"/>
        <v>0.64383047869531151</v>
      </c>
      <c r="AH9223" s="2" t="str">
        <f ca="1"/>
        <v>Bad</v>
      </c>
    </row>
    <row r="9224" spans="2:34">
      <c r="B9224" s="2">
        <f ca="1"/>
        <v>0.41408216971739575</v>
      </c>
      <c r="O9224" s="2">
        <f ca="1"/>
        <v>0.61073989997058353</v>
      </c>
      <c r="X9224" s="2">
        <f ca="1"/>
        <v>34.264154424235478</v>
      </c>
      <c r="AG9224" s="2">
        <f ca="1"/>
        <v>0.39350579174575917</v>
      </c>
      <c r="AH9224" s="2" t="str">
        <f ca="1"/>
        <v>OK</v>
      </c>
    </row>
    <row r="9225" spans="2:34">
      <c r="B9225" s="2">
        <f ca="1"/>
        <v>0.40223660473766931</v>
      </c>
      <c r="O9225" s="2">
        <f ca="1"/>
        <v>-0.75451018444317852</v>
      </c>
      <c r="X9225" s="2">
        <f ca="1"/>
        <v>29.616750347334499</v>
      </c>
      <c r="AG9225" s="2">
        <f ca="1"/>
        <v>0.36227884715165692</v>
      </c>
      <c r="AH9225" s="2" t="str">
        <f ca="1"/>
        <v>OK</v>
      </c>
    </row>
    <row r="9226" spans="2:34">
      <c r="B9226" s="2">
        <f ca="1"/>
        <v>0.2182673871563745</v>
      </c>
      <c r="O9226" s="2">
        <f ca="1"/>
        <v>0.12706547478904542</v>
      </c>
      <c r="X9226" s="2">
        <f ca="1"/>
        <v>40.484919885110209</v>
      </c>
      <c r="AG9226" s="2">
        <f ca="1"/>
        <v>0.80580628667226817</v>
      </c>
      <c r="AH9226" s="2" t="str">
        <f ca="1"/>
        <v>Bad</v>
      </c>
    </row>
    <row r="9227" spans="2:34">
      <c r="B9227" s="2">
        <f ca="1"/>
        <v>0.35400527411342186</v>
      </c>
      <c r="O9227" s="2">
        <f ca="1"/>
        <v>-0.43251672200833907</v>
      </c>
      <c r="X9227" s="2">
        <f ca="1"/>
        <v>88.402511629466375</v>
      </c>
      <c r="AG9227" s="2">
        <f ca="1"/>
        <v>0.80230973913104053</v>
      </c>
      <c r="AH9227" s="2" t="str">
        <f ca="1"/>
        <v>Bad</v>
      </c>
    </row>
    <row r="9228" spans="2:34">
      <c r="B9228" s="2">
        <f ca="1"/>
        <v>0.80631921142719487</v>
      </c>
      <c r="O9228" s="2">
        <f ca="1"/>
        <v>-0.26434299175473613</v>
      </c>
      <c r="X9228" s="2">
        <f ca="1"/>
        <v>43.715081173478545</v>
      </c>
      <c r="AG9228" s="2">
        <f ca="1"/>
        <v>7.5242349110949291E-2</v>
      </c>
      <c r="AH9228" s="2" t="str">
        <f ca="1"/>
        <v>OK</v>
      </c>
    </row>
    <row r="9229" spans="2:34">
      <c r="B9229" s="2">
        <f ca="1"/>
        <v>0.20636312366139253</v>
      </c>
      <c r="O9229" s="2">
        <f ca="1"/>
        <v>0.5332887216443063</v>
      </c>
      <c r="X9229" s="2">
        <f ca="1"/>
        <v>31.760775295364162</v>
      </c>
      <c r="AG9229" s="2">
        <f ca="1"/>
        <v>0.63235720492359149</v>
      </c>
      <c r="AH9229" s="2" t="str">
        <f ca="1"/>
        <v>Bad</v>
      </c>
    </row>
    <row r="9230" spans="2:34">
      <c r="B9230" s="2">
        <f ca="1"/>
        <v>0.82207547033631756</v>
      </c>
      <c r="O9230" s="2">
        <f ca="1"/>
        <v>-0.18698443714030344</v>
      </c>
      <c r="X9230" s="2">
        <f ca="1"/>
        <v>59.205266841586699</v>
      </c>
      <c r="AG9230" s="2">
        <f ca="1"/>
        <v>0.83531608407758173</v>
      </c>
      <c r="AH9230" s="2" t="str">
        <f ca="1"/>
        <v>Bad</v>
      </c>
    </row>
    <row r="9231" spans="2:34">
      <c r="B9231" s="2">
        <f ca="1"/>
        <v>0.66080242411842294</v>
      </c>
      <c r="O9231" s="2">
        <f ca="1"/>
        <v>-1.9734389536585681</v>
      </c>
      <c r="X9231" s="2">
        <f ca="1"/>
        <v>18.355893980483962</v>
      </c>
      <c r="AG9231" s="2">
        <f ca="1"/>
        <v>0.88237831949900847</v>
      </c>
      <c r="AH9231" s="2" t="str">
        <f ca="1"/>
        <v>Bad</v>
      </c>
    </row>
    <row r="9232" spans="2:34">
      <c r="B9232" s="2">
        <f ca="1"/>
        <v>0.97766166674769184</v>
      </c>
      <c r="O9232" s="2">
        <f ca="1"/>
        <v>0.7374418213016295</v>
      </c>
      <c r="X9232" s="2">
        <f ca="1"/>
        <v>47.74385174255913</v>
      </c>
      <c r="AG9232" s="2">
        <f ca="1"/>
        <v>0.8883830564599593</v>
      </c>
      <c r="AH9232" s="2" t="str">
        <f ca="1"/>
        <v>Bad</v>
      </c>
    </row>
    <row r="9233" spans="2:34">
      <c r="B9233" s="2">
        <f ca="1"/>
        <v>0.90875872820669867</v>
      </c>
      <c r="O9233" s="2">
        <f ca="1"/>
        <v>1.7165595737525259</v>
      </c>
      <c r="X9233" s="2">
        <f ca="1"/>
        <v>47.845532020806367</v>
      </c>
      <c r="AG9233" s="2">
        <f ca="1"/>
        <v>0.50330826214978108</v>
      </c>
      <c r="AH9233" s="2" t="str">
        <f ca="1"/>
        <v>Bad</v>
      </c>
    </row>
    <row r="9234" spans="2:34">
      <c r="B9234" s="2">
        <f ca="1"/>
        <v>0.5571310737567241</v>
      </c>
      <c r="O9234" s="2">
        <f ca="1"/>
        <v>1.697913457813522</v>
      </c>
      <c r="X9234" s="2">
        <f ca="1"/>
        <v>47.700394523628241</v>
      </c>
      <c r="AG9234" s="2">
        <f ca="1"/>
        <v>0.47782275873435442</v>
      </c>
      <c r="AH9234" s="2" t="str">
        <f ca="1"/>
        <v>Bad</v>
      </c>
    </row>
    <row r="9235" spans="2:34">
      <c r="B9235" s="2">
        <f ca="1"/>
        <v>0.95981691169642835</v>
      </c>
      <c r="O9235" s="2">
        <f ca="1"/>
        <v>1.4738911908880588</v>
      </c>
      <c r="X9235" s="2">
        <f ca="1"/>
        <v>36.246535388649939</v>
      </c>
      <c r="AG9235" s="2">
        <f ca="1"/>
        <v>0.28222317787682538</v>
      </c>
      <c r="AH9235" s="2" t="str">
        <f ca="1"/>
        <v>OK</v>
      </c>
    </row>
    <row r="9236" spans="2:34">
      <c r="B9236" s="2">
        <f ca="1"/>
        <v>7.1804406538144683E-2</v>
      </c>
      <c r="O9236" s="2">
        <f ca="1"/>
        <v>-3.7540747233963362E-2</v>
      </c>
      <c r="X9236" s="2">
        <f ca="1"/>
        <v>41.273674615029954</v>
      </c>
      <c r="AG9236" s="2">
        <f ca="1"/>
        <v>0.57083086421934603</v>
      </c>
      <c r="AH9236" s="2" t="str">
        <f ca="1"/>
        <v>Bad</v>
      </c>
    </row>
    <row r="9237" spans="2:34">
      <c r="B9237" s="2">
        <f ca="1"/>
        <v>0.34366959936460773</v>
      </c>
      <c r="O9237" s="2">
        <f ca="1"/>
        <v>-1.7582932058897986</v>
      </c>
      <c r="X9237" s="2">
        <f ca="1"/>
        <v>47.260397509788618</v>
      </c>
      <c r="AG9237" s="2">
        <f ca="1"/>
        <v>0.12763783953412045</v>
      </c>
      <c r="AH9237" s="2" t="str">
        <f ca="1"/>
        <v>OK</v>
      </c>
    </row>
    <row r="9238" spans="2:34">
      <c r="B9238" s="2">
        <f ca="1"/>
        <v>6.351703341529924E-2</v>
      </c>
      <c r="O9238" s="2">
        <f ca="1"/>
        <v>-0.78504323114533414</v>
      </c>
      <c r="X9238" s="2">
        <f ca="1"/>
        <v>17.475614466676468</v>
      </c>
      <c r="AG9238" s="2">
        <f ca="1"/>
        <v>0.65088216547278477</v>
      </c>
      <c r="AH9238" s="2" t="str">
        <f ca="1"/>
        <v>Bad</v>
      </c>
    </row>
    <row r="9239" spans="2:34">
      <c r="B9239" s="2">
        <f ca="1"/>
        <v>0.65068845619148341</v>
      </c>
      <c r="O9239" s="2">
        <f ca="1"/>
        <v>-1.4886015214850654</v>
      </c>
      <c r="X9239" s="2">
        <f ca="1"/>
        <v>45.17417114268892</v>
      </c>
      <c r="AG9239" s="2">
        <f ca="1"/>
        <v>0.82908582955343046</v>
      </c>
      <c r="AH9239" s="2" t="str">
        <f ca="1"/>
        <v>Bad</v>
      </c>
    </row>
    <row r="9240" spans="2:34">
      <c r="B9240" s="2">
        <f ca="1"/>
        <v>0.19600098299972668</v>
      </c>
      <c r="O9240" s="2">
        <f ca="1"/>
        <v>1.8871789571002561E-2</v>
      </c>
      <c r="X9240" s="2">
        <f ca="1"/>
        <v>40.919378846362136</v>
      </c>
      <c r="AG9240" s="2">
        <f ca="1"/>
        <v>0.68243198704018848</v>
      </c>
      <c r="AH9240" s="2" t="str">
        <f ca="1"/>
        <v>Bad</v>
      </c>
    </row>
    <row r="9241" spans="2:34">
      <c r="B9241" s="2">
        <f ca="1"/>
        <v>7.3928276576773477E-4</v>
      </c>
      <c r="O9241" s="2">
        <f ca="1"/>
        <v>-1.3974907615794443</v>
      </c>
      <c r="X9241" s="2">
        <f ca="1"/>
        <v>60.857628616628183</v>
      </c>
      <c r="AG9241" s="2">
        <f ca="1"/>
        <v>0.44073150541640338</v>
      </c>
      <c r="AH9241" s="2" t="str">
        <f ca="1"/>
        <v>Bad</v>
      </c>
    </row>
    <row r="9242" spans="2:34">
      <c r="B9242" s="2">
        <f ca="1"/>
        <v>0.61188029419840073</v>
      </c>
      <c r="O9242" s="2">
        <f ca="1"/>
        <v>1.6174684540997584</v>
      </c>
      <c r="X9242" s="2">
        <f ca="1"/>
        <v>62.955867924973475</v>
      </c>
      <c r="AG9242" s="2">
        <f ca="1"/>
        <v>0.1309437828120712</v>
      </c>
      <c r="AH9242" s="2" t="str">
        <f ca="1"/>
        <v>OK</v>
      </c>
    </row>
    <row r="9243" spans="2:34">
      <c r="B9243" s="2">
        <f ca="1"/>
        <v>0.79046321329888403</v>
      </c>
      <c r="O9243" s="2">
        <f ca="1"/>
        <v>1.4440010215809882</v>
      </c>
      <c r="X9243" s="2">
        <f ca="1"/>
        <v>50.308045093310128</v>
      </c>
      <c r="AG9243" s="2">
        <f ca="1"/>
        <v>0.37607476779708238</v>
      </c>
      <c r="AH9243" s="2" t="str">
        <f ca="1"/>
        <v>OK</v>
      </c>
    </row>
    <row r="9244" spans="2:34">
      <c r="B9244" s="2">
        <f ca="1"/>
        <v>0.15270809887256376</v>
      </c>
      <c r="O9244" s="2">
        <f ca="1"/>
        <v>-0.39661124285236615</v>
      </c>
      <c r="X9244" s="2">
        <f ca="1"/>
        <v>51.968013772486856</v>
      </c>
      <c r="AG9244" s="2">
        <f ca="1"/>
        <v>0.35188191910344968</v>
      </c>
      <c r="AH9244" s="2" t="str">
        <f ca="1"/>
        <v>OK</v>
      </c>
    </row>
    <row r="9245" spans="2:34">
      <c r="B9245" s="2">
        <f ca="1"/>
        <v>0.9114609369433202</v>
      </c>
      <c r="O9245" s="2">
        <f ca="1"/>
        <v>-0.42673116084019991</v>
      </c>
      <c r="X9245" s="2">
        <f ca="1"/>
        <v>16.925673823661761</v>
      </c>
      <c r="AG9245" s="2">
        <f ca="1"/>
        <v>0.50341698062214935</v>
      </c>
      <c r="AH9245" s="2" t="str">
        <f ca="1"/>
        <v>Bad</v>
      </c>
    </row>
    <row r="9246" spans="2:34">
      <c r="B9246" s="2">
        <f ca="1"/>
        <v>0.30283440303755982</v>
      </c>
      <c r="O9246" s="2">
        <f ca="1"/>
        <v>0.61986059734254395</v>
      </c>
      <c r="X9246" s="2">
        <f ca="1"/>
        <v>40.598020593273397</v>
      </c>
      <c r="AG9246" s="2">
        <f ca="1"/>
        <v>0.71771159346749602</v>
      </c>
      <c r="AH9246" s="2" t="str">
        <f ca="1"/>
        <v>Bad</v>
      </c>
    </row>
    <row r="9247" spans="2:34">
      <c r="B9247" s="2">
        <f ca="1"/>
        <v>0.8908721312232184</v>
      </c>
      <c r="O9247" s="2">
        <f ca="1"/>
        <v>1.2372937013457059</v>
      </c>
      <c r="X9247" s="2">
        <f ca="1"/>
        <v>58.181893046819262</v>
      </c>
      <c r="AG9247" s="2">
        <f ca="1"/>
        <v>0.38085173358352131</v>
      </c>
      <c r="AH9247" s="2" t="str">
        <f ca="1"/>
        <v>OK</v>
      </c>
    </row>
    <row r="9248" spans="2:34">
      <c r="B9248" s="2">
        <f ca="1"/>
        <v>0.65343407394369901</v>
      </c>
      <c r="O9248" s="2">
        <f ca="1"/>
        <v>-1.0342723441608839</v>
      </c>
      <c r="X9248" s="2">
        <f ca="1"/>
        <v>45.125870567073171</v>
      </c>
      <c r="AG9248" s="2">
        <f ca="1"/>
        <v>0.98610351063941759</v>
      </c>
      <c r="AH9248" s="2" t="str">
        <f ca="1"/>
        <v>Bad</v>
      </c>
    </row>
    <row r="9249" spans="2:34">
      <c r="B9249" s="2">
        <f ca="1"/>
        <v>0.28085866113196367</v>
      </c>
      <c r="O9249" s="2">
        <f ca="1"/>
        <v>0.43396778863503288</v>
      </c>
      <c r="X9249" s="2">
        <f ca="1"/>
        <v>34.758020056238124</v>
      </c>
      <c r="AG9249" s="2">
        <f ca="1"/>
        <v>0.91805526105799351</v>
      </c>
      <c r="AH9249" s="2" t="str">
        <f ca="1"/>
        <v>Bad</v>
      </c>
    </row>
    <row r="9250" spans="2:34">
      <c r="B9250" s="2">
        <f ca="1"/>
        <v>0.2166263464224496</v>
      </c>
      <c r="O9250" s="2">
        <f ca="1"/>
        <v>-0.46831297597413635</v>
      </c>
      <c r="X9250" s="2">
        <f ca="1"/>
        <v>57.749815722033198</v>
      </c>
      <c r="AG9250" s="2">
        <f ca="1"/>
        <v>0.36370278512019394</v>
      </c>
      <c r="AH9250" s="2" t="str">
        <f ca="1"/>
        <v>OK</v>
      </c>
    </row>
    <row r="9251" spans="2:34">
      <c r="B9251" s="2">
        <f ca="1"/>
        <v>0.56968953951408396</v>
      </c>
      <c r="O9251" s="2">
        <f ca="1"/>
        <v>-0.61168369855299976</v>
      </c>
      <c r="X9251" s="2">
        <f ca="1"/>
        <v>60.179649491240028</v>
      </c>
      <c r="AG9251" s="2">
        <f ca="1"/>
        <v>0.49947997225641583</v>
      </c>
      <c r="AH9251" s="2" t="str">
        <f ca="1"/>
        <v>Bad</v>
      </c>
    </row>
    <row r="9252" spans="2:34">
      <c r="B9252" s="2">
        <f ca="1"/>
        <v>0.25990919140671354</v>
      </c>
      <c r="O9252" s="2">
        <f ca="1"/>
        <v>-0.16271583564140063</v>
      </c>
      <c r="X9252" s="2">
        <f ca="1"/>
        <v>31.3516378658395</v>
      </c>
      <c r="AG9252" s="2">
        <f ca="1"/>
        <v>0.66302666041182357</v>
      </c>
      <c r="AH9252" s="2" t="str">
        <f ca="1"/>
        <v>Bad</v>
      </c>
    </row>
    <row r="9253" spans="2:34">
      <c r="B9253" s="2">
        <f ca="1"/>
        <v>0.10922849076089225</v>
      </c>
      <c r="O9253" s="2">
        <f ca="1"/>
        <v>-0.92787112661023818</v>
      </c>
      <c r="X9253" s="2">
        <f ca="1"/>
        <v>74.32325072989039</v>
      </c>
      <c r="AG9253" s="2">
        <f ca="1"/>
        <v>3.8390101767570295E-2</v>
      </c>
      <c r="AH9253" s="2" t="str">
        <f ca="1"/>
        <v>Good</v>
      </c>
    </row>
    <row r="9254" spans="2:34">
      <c r="B9254" s="2">
        <f ca="1"/>
        <v>0.71828819770352559</v>
      </c>
      <c r="O9254" s="2">
        <f ca="1"/>
        <v>-1.5573527688688851</v>
      </c>
      <c r="X9254" s="2">
        <f ca="1"/>
        <v>63.26892204961667</v>
      </c>
      <c r="AG9254" s="2">
        <f ca="1"/>
        <v>0.99210851230125918</v>
      </c>
      <c r="AH9254" s="2" t="str">
        <f ca="1"/>
        <v>Bad</v>
      </c>
    </row>
    <row r="9255" spans="2:34">
      <c r="B9255" s="2">
        <f ca="1"/>
        <v>5.0394569102450992E-2</v>
      </c>
      <c r="O9255" s="2">
        <f ca="1"/>
        <v>-1.3774260933332581</v>
      </c>
      <c r="X9255" s="2">
        <f ca="1"/>
        <v>40.077511381014318</v>
      </c>
      <c r="AG9255" s="2">
        <f ca="1"/>
        <v>0.34727243937223684</v>
      </c>
      <c r="AH9255" s="2" t="str">
        <f ca="1"/>
        <v>OK</v>
      </c>
    </row>
    <row r="9256" spans="2:34">
      <c r="B9256" s="2">
        <f ca="1"/>
        <v>0.72924198673394347</v>
      </c>
      <c r="O9256" s="2">
        <f ca="1"/>
        <v>0.62775010143393195</v>
      </c>
      <c r="X9256" s="2">
        <f ca="1"/>
        <v>41.960469522091365</v>
      </c>
      <c r="AG9256" s="2">
        <f ca="1"/>
        <v>0.11932825218750054</v>
      </c>
      <c r="AH9256" s="2" t="str">
        <f ca="1"/>
        <v>OK</v>
      </c>
    </row>
    <row r="9257" spans="2:34">
      <c r="B9257" s="2">
        <f ca="1"/>
        <v>0.27124819353773777</v>
      </c>
      <c r="O9257" s="2">
        <f ca="1"/>
        <v>-0.32512568562433447</v>
      </c>
      <c r="X9257" s="2">
        <f ca="1"/>
        <v>49.199707443095321</v>
      </c>
      <c r="AG9257" s="2">
        <f ca="1"/>
        <v>0.76099286933068222</v>
      </c>
      <c r="AH9257" s="2" t="str">
        <f ca="1"/>
        <v>Bad</v>
      </c>
    </row>
    <row r="9258" spans="2:34">
      <c r="B9258" s="2">
        <f ca="1"/>
        <v>0.66333095432003497</v>
      </c>
      <c r="O9258" s="2">
        <f ca="1"/>
        <v>-1.1577783882964727</v>
      </c>
      <c r="X9258" s="2">
        <f ca="1"/>
        <v>57.056999920888778</v>
      </c>
      <c r="AG9258" s="2">
        <f ca="1"/>
        <v>0.33218972133396441</v>
      </c>
      <c r="AH9258" s="2" t="str">
        <f ca="1"/>
        <v>OK</v>
      </c>
    </row>
    <row r="9259" spans="2:34">
      <c r="B9259" s="2">
        <f ca="1"/>
        <v>0.26671236750573946</v>
      </c>
      <c r="O9259" s="2">
        <f ca="1"/>
        <v>-0.80550867235572032</v>
      </c>
      <c r="X9259" s="2">
        <f ca="1"/>
        <v>70.867786479434315</v>
      </c>
      <c r="AG9259" s="2">
        <f ca="1"/>
        <v>0.87895780734200524</v>
      </c>
      <c r="AH9259" s="2" t="str">
        <f ca="1"/>
        <v>Bad</v>
      </c>
    </row>
    <row r="9260" spans="2:34">
      <c r="B9260" s="2">
        <f ca="1"/>
        <v>0.47541513703749505</v>
      </c>
      <c r="O9260" s="2">
        <f ca="1"/>
        <v>0.38743917802308769</v>
      </c>
      <c r="X9260" s="2">
        <f ca="1"/>
        <v>68.754858247498248</v>
      </c>
      <c r="AG9260" s="2">
        <f ca="1"/>
        <v>0.32901487313729416</v>
      </c>
      <c r="AH9260" s="2" t="str">
        <f ca="1"/>
        <v>OK</v>
      </c>
    </row>
    <row r="9261" spans="2:34">
      <c r="B9261" s="2">
        <f ca="1"/>
        <v>0.35907718533327815</v>
      </c>
      <c r="O9261" s="2">
        <f ca="1"/>
        <v>-0.26671243014148877</v>
      </c>
      <c r="X9261" s="2">
        <f ca="1"/>
        <v>50.142890260512722</v>
      </c>
      <c r="AG9261" s="2">
        <f ca="1"/>
        <v>3.0437323726818732E-2</v>
      </c>
      <c r="AH9261" s="2" t="str">
        <f ca="1"/>
        <v>Good</v>
      </c>
    </row>
    <row r="9262" spans="2:34">
      <c r="B9262" s="2">
        <f ca="1"/>
        <v>0.18160686385821689</v>
      </c>
      <c r="O9262" s="2">
        <f ca="1"/>
        <v>-0.29461796896507092</v>
      </c>
      <c r="X9262" s="2">
        <f ca="1"/>
        <v>52.345229927225546</v>
      </c>
      <c r="AG9262" s="2">
        <f ca="1"/>
        <v>0.49791443871422958</v>
      </c>
      <c r="AH9262" s="2" t="str">
        <f ca="1"/>
        <v>Bad</v>
      </c>
    </row>
    <row r="9263" spans="2:34">
      <c r="B9263" s="2">
        <f ca="1"/>
        <v>8.3694308491291336E-2</v>
      </c>
      <c r="O9263" s="2">
        <f ca="1"/>
        <v>0.1162367886842982</v>
      </c>
      <c r="X9263" s="2">
        <f ca="1"/>
        <v>41.645974214126902</v>
      </c>
      <c r="AG9263" s="2">
        <f ca="1"/>
        <v>0.74484611007945678</v>
      </c>
      <c r="AH9263" s="2" t="str">
        <f ca="1"/>
        <v>Bad</v>
      </c>
    </row>
    <row r="9264" spans="2:34">
      <c r="B9264" s="2">
        <f ca="1"/>
        <v>0.34583766658237391</v>
      </c>
      <c r="O9264" s="2">
        <f ca="1"/>
        <v>3.4156843684144456E-2</v>
      </c>
      <c r="X9264" s="2">
        <f ca="1"/>
        <v>36.997084283403638</v>
      </c>
      <c r="AG9264" s="2">
        <f ca="1"/>
        <v>0.93005535482508983</v>
      </c>
      <c r="AH9264" s="2" t="str">
        <f ca="1"/>
        <v>Bad</v>
      </c>
    </row>
    <row r="9265" spans="2:34">
      <c r="B9265" s="2">
        <f ca="1"/>
        <v>0.76708042079436867</v>
      </c>
      <c r="O9265" s="2">
        <f ca="1"/>
        <v>-1.3239575434311379</v>
      </c>
      <c r="X9265" s="2">
        <f ca="1"/>
        <v>49.882737135075587</v>
      </c>
      <c r="AG9265" s="2">
        <f ca="1"/>
        <v>0.7577108172404543</v>
      </c>
      <c r="AH9265" s="2" t="str">
        <f ca="1"/>
        <v>Bad</v>
      </c>
    </row>
    <row r="9266" spans="2:34">
      <c r="B9266" s="2">
        <f ca="1"/>
        <v>0.61647428996111242</v>
      </c>
      <c r="O9266" s="2">
        <f ca="1"/>
        <v>-1.0823669544757872E-2</v>
      </c>
      <c r="X9266" s="2">
        <f ca="1"/>
        <v>45.812306410812852</v>
      </c>
      <c r="AG9266" s="2">
        <f ca="1"/>
        <v>0.52903370501694136</v>
      </c>
      <c r="AH9266" s="2" t="str">
        <f ca="1"/>
        <v>Bad</v>
      </c>
    </row>
    <row r="9267" spans="2:34">
      <c r="B9267" s="2">
        <f ca="1"/>
        <v>0.8423730032972172</v>
      </c>
      <c r="O9267" s="2">
        <f ca="1"/>
        <v>-6.7382951911312675E-2</v>
      </c>
      <c r="X9267" s="2">
        <f ca="1"/>
        <v>68.703819151398847</v>
      </c>
      <c r="AG9267" s="2">
        <f ca="1"/>
        <v>0.99995481891590021</v>
      </c>
      <c r="AH9267" s="2" t="str">
        <f ca="1"/>
        <v>Bad</v>
      </c>
    </row>
    <row r="9268" spans="2:34">
      <c r="B9268" s="2">
        <f ca="1"/>
        <v>0.53483740764949417</v>
      </c>
      <c r="O9268" s="2">
        <f ca="1"/>
        <v>0.34948615812881401</v>
      </c>
      <c r="X9268" s="2">
        <f ca="1"/>
        <v>53.638339307046934</v>
      </c>
      <c r="AG9268" s="2">
        <f ca="1"/>
        <v>0.77237404508914143</v>
      </c>
      <c r="AH9268" s="2" t="str">
        <f ca="1"/>
        <v>Bad</v>
      </c>
    </row>
    <row r="9269" spans="2:34">
      <c r="B9269" s="2">
        <f ca="1"/>
        <v>5.7070757206334477E-4</v>
      </c>
      <c r="O9269" s="2">
        <f ca="1"/>
        <v>-0.91934305506275926</v>
      </c>
      <c r="X9269" s="2">
        <f ca="1"/>
        <v>70.80723601494843</v>
      </c>
      <c r="AG9269" s="2">
        <f ca="1"/>
        <v>0.44126066803132291</v>
      </c>
      <c r="AH9269" s="2" t="str">
        <f ca="1"/>
        <v>Bad</v>
      </c>
    </row>
    <row r="9270" spans="2:34">
      <c r="B9270" s="2">
        <f ca="1"/>
        <v>0.54481272564829353</v>
      </c>
      <c r="O9270" s="2">
        <f ca="1"/>
        <v>0.53315487898316061</v>
      </c>
      <c r="X9270" s="2">
        <f ca="1"/>
        <v>62.906066173770576</v>
      </c>
      <c r="AG9270" s="2">
        <f ca="1"/>
        <v>0.94382378668284139</v>
      </c>
      <c r="AH9270" s="2" t="str">
        <f ca="1"/>
        <v>Bad</v>
      </c>
    </row>
    <row r="9271" spans="2:34">
      <c r="B9271" s="2">
        <f ca="1"/>
        <v>0.26535658950380059</v>
      </c>
      <c r="O9271" s="2">
        <f ca="1"/>
        <v>-0.2429140253590997</v>
      </c>
      <c r="X9271" s="2">
        <f ca="1"/>
        <v>56.944607280212118</v>
      </c>
      <c r="AG9271" s="2">
        <f ca="1"/>
        <v>0.49826719609647596</v>
      </c>
      <c r="AH9271" s="2" t="str">
        <f ca="1"/>
        <v>Bad</v>
      </c>
    </row>
    <row r="9272" spans="2:34">
      <c r="B9272" s="2">
        <f ca="1"/>
        <v>0.31426672383198562</v>
      </c>
      <c r="O9272" s="2">
        <f ca="1"/>
        <v>-1.2202135983780555</v>
      </c>
      <c r="X9272" s="2">
        <f ca="1"/>
        <v>51.281205181591801</v>
      </c>
      <c r="AG9272" s="2">
        <f ca="1"/>
        <v>0.72805423624257504</v>
      </c>
      <c r="AH9272" s="2" t="str">
        <f ca="1"/>
        <v>Bad</v>
      </c>
    </row>
    <row r="9273" spans="2:34">
      <c r="B9273" s="2">
        <f ca="1"/>
        <v>0.96148792934284</v>
      </c>
      <c r="O9273" s="2">
        <f ca="1"/>
        <v>-1.3974227178547869</v>
      </c>
      <c r="X9273" s="2">
        <f ca="1"/>
        <v>54.183271510031119</v>
      </c>
      <c r="AG9273" s="2">
        <f ca="1"/>
        <v>0.73682970899457612</v>
      </c>
      <c r="AH9273" s="2" t="str">
        <f ca="1"/>
        <v>Bad</v>
      </c>
    </row>
    <row r="9274" spans="2:34">
      <c r="B9274" s="2">
        <f ca="1"/>
        <v>0.80850849716068862</v>
      </c>
      <c r="O9274" s="2">
        <f ca="1"/>
        <v>0.59814178825247377</v>
      </c>
      <c r="X9274" s="2">
        <f ca="1"/>
        <v>48.052990468050602</v>
      </c>
      <c r="AG9274" s="2">
        <f ca="1"/>
        <v>5.2737226677278759E-2</v>
      </c>
      <c r="AH9274" s="2" t="str">
        <f ca="1"/>
        <v>OK</v>
      </c>
    </row>
    <row r="9275" spans="2:34">
      <c r="B9275" s="2">
        <f ca="1"/>
        <v>0.71665426669805465</v>
      </c>
      <c r="O9275" s="2">
        <f ca="1"/>
        <v>-0.21353655242892045</v>
      </c>
      <c r="X9275" s="2">
        <f ca="1"/>
        <v>30.793671266508305</v>
      </c>
      <c r="AG9275" s="2">
        <f ca="1"/>
        <v>0.31536407276790079</v>
      </c>
      <c r="AH9275" s="2" t="str">
        <f ca="1"/>
        <v>OK</v>
      </c>
    </row>
    <row r="9276" spans="2:34">
      <c r="B9276" s="2">
        <f ca="1"/>
        <v>0.91700063898067041</v>
      </c>
      <c r="O9276" s="2">
        <f ca="1"/>
        <v>-1.3564670108247456</v>
      </c>
      <c r="X9276" s="2">
        <f ca="1"/>
        <v>56.207807403192561</v>
      </c>
      <c r="AG9276" s="2">
        <f ca="1"/>
        <v>0.23272007521028493</v>
      </c>
      <c r="AH9276" s="2" t="str">
        <f ca="1"/>
        <v>OK</v>
      </c>
    </row>
    <row r="9277" spans="2:34">
      <c r="B9277" s="2">
        <f ca="1"/>
        <v>0.82478278087341272</v>
      </c>
      <c r="O9277" s="2">
        <f ca="1"/>
        <v>-0.55102858181383696</v>
      </c>
      <c r="X9277" s="2">
        <f ca="1"/>
        <v>31.74628931122264</v>
      </c>
      <c r="AG9277" s="2">
        <f ca="1"/>
        <v>0.72467056592456891</v>
      </c>
      <c r="AH9277" s="2" t="str">
        <f ca="1"/>
        <v>Bad</v>
      </c>
    </row>
    <row r="9278" spans="2:34">
      <c r="B9278" s="2">
        <f ca="1"/>
        <v>0.89433957233670625</v>
      </c>
      <c r="O9278" s="2">
        <f ca="1"/>
        <v>-2.0013888338177606</v>
      </c>
      <c r="X9278" s="2">
        <f ca="1"/>
        <v>63.538259848012196</v>
      </c>
      <c r="AG9278" s="2">
        <f ca="1"/>
        <v>0.28202817407367986</v>
      </c>
      <c r="AH9278" s="2" t="str">
        <f ca="1"/>
        <v>OK</v>
      </c>
    </row>
    <row r="9279" spans="2:34">
      <c r="B9279" s="2">
        <f ca="1"/>
        <v>0.49617197013355807</v>
      </c>
      <c r="O9279" s="2">
        <f ca="1"/>
        <v>-0.65095437705341763</v>
      </c>
      <c r="X9279" s="2">
        <f ca="1"/>
        <v>53.900074969131097</v>
      </c>
      <c r="AG9279" s="2">
        <f ca="1"/>
        <v>0.22059574243823055</v>
      </c>
      <c r="AH9279" s="2" t="str">
        <f ca="1"/>
        <v>OK</v>
      </c>
    </row>
    <row r="9280" spans="2:34">
      <c r="B9280" s="2">
        <f ca="1"/>
        <v>7.2221116528020879E-2</v>
      </c>
      <c r="O9280" s="2">
        <f ca="1"/>
        <v>-1.0403738780642033</v>
      </c>
      <c r="X9280" s="2">
        <f ca="1"/>
        <v>52.941002786765736</v>
      </c>
      <c r="AG9280" s="2">
        <f ca="1"/>
        <v>0.88933825095365138</v>
      </c>
      <c r="AH9280" s="2" t="str">
        <f ca="1"/>
        <v>Bad</v>
      </c>
    </row>
    <row r="9281" spans="2:34">
      <c r="B9281" s="2">
        <f ca="1"/>
        <v>0.83652800657325499</v>
      </c>
      <c r="O9281" s="2">
        <f ca="1"/>
        <v>-0.89863986861859102</v>
      </c>
      <c r="X9281" s="2">
        <f ca="1"/>
        <v>93.179139457962521</v>
      </c>
      <c r="AG9281" s="2">
        <f ca="1"/>
        <v>0.28570786475884691</v>
      </c>
      <c r="AH9281" s="2" t="str">
        <f ca="1"/>
        <v>OK</v>
      </c>
    </row>
    <row r="9282" spans="2:34">
      <c r="B9282" s="2">
        <f ca="1"/>
        <v>0.33289878626804681</v>
      </c>
      <c r="O9282" s="2">
        <f ca="1"/>
        <v>0.145280101703084</v>
      </c>
      <c r="X9282" s="2">
        <f ca="1"/>
        <v>44.251642800017315</v>
      </c>
      <c r="AG9282" s="2">
        <f ca="1"/>
        <v>0.53544882571104457</v>
      </c>
      <c r="AH9282" s="2" t="str">
        <f ca="1"/>
        <v>Bad</v>
      </c>
    </row>
    <row r="9283" spans="2:34">
      <c r="B9283" s="2">
        <f ca="1"/>
        <v>0.12413700102789038</v>
      </c>
      <c r="O9283" s="2">
        <f ca="1"/>
        <v>1.0166861524877382</v>
      </c>
      <c r="X9283" s="2">
        <f ca="1"/>
        <v>44.40612002521096</v>
      </c>
      <c r="AG9283" s="2">
        <f ca="1"/>
        <v>0.38005357853353017</v>
      </c>
      <c r="AH9283" s="2" t="str">
        <f ca="1"/>
        <v>OK</v>
      </c>
    </row>
    <row r="9284" spans="2:34">
      <c r="B9284" s="2">
        <f ca="1"/>
        <v>0.12403742096725034</v>
      </c>
      <c r="O9284" s="2">
        <f ca="1"/>
        <v>-1.3467139831897268</v>
      </c>
      <c r="X9284" s="2">
        <f ca="1"/>
        <v>57.855385120749787</v>
      </c>
      <c r="AG9284" s="2">
        <f ca="1"/>
        <v>0.95967252636503142</v>
      </c>
      <c r="AH9284" s="2" t="str">
        <f ca="1"/>
        <v>Bad</v>
      </c>
    </row>
    <row r="9285" spans="2:34">
      <c r="B9285" s="2">
        <f ca="1"/>
        <v>0.77949474073530078</v>
      </c>
      <c r="O9285" s="2">
        <f ca="1"/>
        <v>0.37990386113139052</v>
      </c>
      <c r="X9285" s="2">
        <f ca="1"/>
        <v>50.450996055424255</v>
      </c>
      <c r="AG9285" s="2">
        <f ca="1"/>
        <v>0.61415959942171461</v>
      </c>
      <c r="AH9285" s="2" t="str">
        <f ca="1"/>
        <v>Bad</v>
      </c>
    </row>
    <row r="9286" spans="2:34">
      <c r="B9286" s="2">
        <f ca="1"/>
        <v>0.2732052252091024</v>
      </c>
      <c r="O9286" s="2">
        <f ca="1"/>
        <v>1.4425181226619024</v>
      </c>
      <c r="X9286" s="2">
        <f ca="1"/>
        <v>54.074092891034205</v>
      </c>
      <c r="AG9286" s="2">
        <f ca="1"/>
        <v>0.97105919735975821</v>
      </c>
      <c r="AH9286" s="2" t="str">
        <f ca="1"/>
        <v>Bad</v>
      </c>
    </row>
    <row r="9287" spans="2:34">
      <c r="B9287" s="2">
        <f ca="1"/>
        <v>0.87235536814225045</v>
      </c>
      <c r="O9287" s="2">
        <f ca="1"/>
        <v>-0.85858448090764972</v>
      </c>
      <c r="X9287" s="2">
        <f ca="1"/>
        <v>40.434536561339712</v>
      </c>
      <c r="AG9287" s="2">
        <f ca="1"/>
        <v>0.27762477135349761</v>
      </c>
      <c r="AH9287" s="2" t="str">
        <f ca="1"/>
        <v>OK</v>
      </c>
    </row>
    <row r="9288" spans="2:34">
      <c r="B9288" s="2">
        <f ca="1"/>
        <v>0.58091383414981879</v>
      </c>
      <c r="O9288" s="2">
        <f ca="1"/>
        <v>0.13795203051115845</v>
      </c>
      <c r="X9288" s="2">
        <f ca="1"/>
        <v>66.983518174781949</v>
      </c>
      <c r="AG9288" s="2">
        <f ca="1"/>
        <v>7.5404498315911894E-2</v>
      </c>
      <c r="AH9288" s="2" t="str">
        <f ca="1"/>
        <v>OK</v>
      </c>
    </row>
    <row r="9289" spans="2:34">
      <c r="B9289" s="2">
        <f ca="1"/>
        <v>0.34529377919182447</v>
      </c>
      <c r="O9289" s="2">
        <f ca="1"/>
        <v>-0.75094247942386116</v>
      </c>
      <c r="X9289" s="2">
        <f ca="1"/>
        <v>25.556214658731477</v>
      </c>
      <c r="AG9289" s="2">
        <f ca="1"/>
        <v>0.82092606065672147</v>
      </c>
      <c r="AH9289" s="2" t="str">
        <f ca="1"/>
        <v>Bad</v>
      </c>
    </row>
    <row r="9290" spans="2:34">
      <c r="B9290" s="2">
        <f ca="1"/>
        <v>0.52984532499697456</v>
      </c>
      <c r="O9290" s="2">
        <f ca="1"/>
        <v>-0.20066299906535132</v>
      </c>
      <c r="X9290" s="2">
        <f ca="1"/>
        <v>45.01678854491189</v>
      </c>
      <c r="AG9290" s="2">
        <f ca="1"/>
        <v>0.85889010114932907</v>
      </c>
      <c r="AH9290" s="2" t="str">
        <f ca="1"/>
        <v>Bad</v>
      </c>
    </row>
    <row r="9291" spans="2:34">
      <c r="B9291" s="2">
        <f ca="1"/>
        <v>0.87214087443069355</v>
      </c>
      <c r="O9291" s="2">
        <f ca="1"/>
        <v>1.7820985450419171</v>
      </c>
      <c r="X9291" s="2">
        <f ca="1"/>
        <v>38.375162480284601</v>
      </c>
      <c r="AG9291" s="2">
        <f ca="1"/>
        <v>0.67937750673226582</v>
      </c>
      <c r="AH9291" s="2" t="str">
        <f ca="1"/>
        <v>Bad</v>
      </c>
    </row>
    <row r="9292" spans="2:34">
      <c r="B9292" s="2">
        <f ca="1"/>
        <v>5.6679452859660806E-2</v>
      </c>
      <c r="O9292" s="2">
        <f ca="1"/>
        <v>0.75933268942130749</v>
      </c>
      <c r="X9292" s="2">
        <f ca="1"/>
        <v>41.17496665928514</v>
      </c>
      <c r="AG9292" s="2">
        <f ca="1"/>
        <v>0.14707549716800039</v>
      </c>
      <c r="AH9292" s="2" t="str">
        <f ca="1"/>
        <v>OK</v>
      </c>
    </row>
    <row r="9293" spans="2:34">
      <c r="B9293" s="2">
        <f ca="1"/>
        <v>0.87879325979887923</v>
      </c>
      <c r="O9293" s="2">
        <f ca="1"/>
        <v>-1.54163108570084</v>
      </c>
      <c r="X9293" s="2">
        <f ca="1"/>
        <v>19.275575189401529</v>
      </c>
      <c r="AG9293" s="2">
        <f ca="1"/>
        <v>0.56460201511685937</v>
      </c>
      <c r="AH9293" s="2" t="str">
        <f ca="1"/>
        <v>Bad</v>
      </c>
    </row>
    <row r="9294" spans="2:34">
      <c r="B9294" s="2">
        <f ca="1"/>
        <v>0.18836050706082896</v>
      </c>
      <c r="O9294" s="2">
        <f ca="1"/>
        <v>-0.35119462715517907</v>
      </c>
      <c r="X9294" s="2">
        <f ca="1"/>
        <v>40.986996959375553</v>
      </c>
      <c r="AG9294" s="2">
        <f ca="1"/>
        <v>0.13179440202559589</v>
      </c>
      <c r="AH9294" s="2" t="str">
        <f ca="1"/>
        <v>OK</v>
      </c>
    </row>
    <row r="9295" spans="2:34">
      <c r="B9295" s="2">
        <f ca="1"/>
        <v>0.96058443524437864</v>
      </c>
      <c r="O9295" s="2">
        <f ca="1"/>
        <v>0.19798461568872461</v>
      </c>
      <c r="X9295" s="2">
        <f ca="1"/>
        <v>32.846266108888678</v>
      </c>
      <c r="AG9295" s="2">
        <f ca="1"/>
        <v>0.92137038114113468</v>
      </c>
      <c r="AH9295" s="2" t="str">
        <f ca="1"/>
        <v>Bad</v>
      </c>
    </row>
    <row r="9296" spans="2:34">
      <c r="B9296" s="2">
        <f ca="1"/>
        <v>0.93482274197869764</v>
      </c>
      <c r="O9296" s="2">
        <f ca="1"/>
        <v>0.81380243702114818</v>
      </c>
      <c r="X9296" s="2">
        <f ca="1"/>
        <v>70.856871155082871</v>
      </c>
      <c r="AG9296" s="2">
        <f ca="1"/>
        <v>0.55615919492202193</v>
      </c>
      <c r="AH9296" s="2" t="str">
        <f ca="1"/>
        <v>Bad</v>
      </c>
    </row>
    <row r="9297" spans="2:34">
      <c r="B9297" s="2">
        <f ca="1"/>
        <v>0.61087960599699742</v>
      </c>
      <c r="O9297" s="2">
        <f ca="1"/>
        <v>-1.5810763728741735</v>
      </c>
      <c r="X9297" s="2">
        <f ca="1"/>
        <v>45.911454486300386</v>
      </c>
      <c r="AG9297" s="2">
        <f ca="1"/>
        <v>0.39143149637083829</v>
      </c>
      <c r="AH9297" s="2" t="str">
        <f ca="1"/>
        <v>OK</v>
      </c>
    </row>
    <row r="9298" spans="2:34">
      <c r="B9298" s="2">
        <f ca="1"/>
        <v>9.138344629044215E-2</v>
      </c>
      <c r="O9298" s="2">
        <f ca="1"/>
        <v>0.29190908344171485</v>
      </c>
      <c r="X9298" s="2">
        <f ca="1"/>
        <v>66.179930856319586</v>
      </c>
      <c r="AG9298" s="2">
        <f ca="1"/>
        <v>0.18087815351736691</v>
      </c>
      <c r="AH9298" s="2" t="str">
        <f ca="1"/>
        <v>OK</v>
      </c>
    </row>
    <row r="9299" spans="2:34">
      <c r="B9299" s="2">
        <f ca="1"/>
        <v>0.23431214124274335</v>
      </c>
      <c r="O9299" s="2">
        <f ca="1"/>
        <v>0.30010014609712077</v>
      </c>
      <c r="X9299" s="2">
        <f ca="1"/>
        <v>38.588164476432837</v>
      </c>
      <c r="AG9299" s="2">
        <f ca="1"/>
        <v>0.33687040955328107</v>
      </c>
      <c r="AH9299" s="2" t="str">
        <f ca="1"/>
        <v>OK</v>
      </c>
    </row>
    <row r="9300" spans="2:34">
      <c r="B9300" s="2">
        <f ca="1"/>
        <v>0.88428002326420185</v>
      </c>
      <c r="O9300" s="2">
        <f ca="1"/>
        <v>0.93517861472918606</v>
      </c>
      <c r="X9300" s="2">
        <f ca="1"/>
        <v>31.783385579944692</v>
      </c>
      <c r="AG9300" s="2">
        <f ca="1"/>
        <v>0.86951594925359221</v>
      </c>
      <c r="AH9300" s="2" t="str">
        <f ca="1"/>
        <v>Bad</v>
      </c>
    </row>
    <row r="9301" spans="2:34">
      <c r="B9301" s="2">
        <f ca="1"/>
        <v>0.58669175674846463</v>
      </c>
      <c r="O9301" s="2">
        <f ca="1"/>
        <v>1.0157345627101668</v>
      </c>
      <c r="X9301" s="2">
        <f ca="1"/>
        <v>25.119407609265728</v>
      </c>
      <c r="AG9301" s="2">
        <f ca="1"/>
        <v>0.3970990629093647</v>
      </c>
      <c r="AH9301" s="2" t="str">
        <f ca="1"/>
        <v>OK</v>
      </c>
    </row>
    <row r="9302" spans="2:34">
      <c r="B9302" s="2">
        <f ca="1"/>
        <v>0.92147279569906049</v>
      </c>
      <c r="O9302" s="2">
        <f ca="1"/>
        <v>3.7657394057385427E-2</v>
      </c>
      <c r="X9302" s="2">
        <f ca="1"/>
        <v>48.790799212726313</v>
      </c>
      <c r="AG9302" s="2">
        <f ca="1"/>
        <v>0.40622022520272005</v>
      </c>
      <c r="AH9302" s="2" t="str">
        <f ca="1"/>
        <v>Bad</v>
      </c>
    </row>
    <row r="9303" spans="2:34">
      <c r="B9303" s="2">
        <f ca="1"/>
        <v>0.2639428578850409</v>
      </c>
      <c r="O9303" s="2">
        <f ca="1"/>
        <v>-0.27885563887983611</v>
      </c>
      <c r="X9303" s="2">
        <f ca="1"/>
        <v>51.760825518625197</v>
      </c>
      <c r="AG9303" s="2">
        <f ca="1"/>
        <v>0.26093316452697146</v>
      </c>
      <c r="AH9303" s="2" t="str">
        <f ca="1"/>
        <v>OK</v>
      </c>
    </row>
    <row r="9304" spans="2:34">
      <c r="B9304" s="2">
        <f ca="1"/>
        <v>0.31504950473322935</v>
      </c>
      <c r="O9304" s="2">
        <f ca="1"/>
        <v>-0.2892691033373615</v>
      </c>
      <c r="X9304" s="2">
        <f ca="1"/>
        <v>69.778004750269645</v>
      </c>
      <c r="AG9304" s="2">
        <f ca="1"/>
        <v>0.61686830500023682</v>
      </c>
      <c r="AH9304" s="2" t="str">
        <f ca="1"/>
        <v>Bad</v>
      </c>
    </row>
    <row r="9305" spans="2:34">
      <c r="B9305" s="2">
        <f ca="1"/>
        <v>0.9415986555285798</v>
      </c>
      <c r="O9305" s="2">
        <f ca="1"/>
        <v>-2.2189083151234352</v>
      </c>
      <c r="X9305" s="2">
        <f ca="1"/>
        <v>39.740781089929975</v>
      </c>
      <c r="AG9305" s="2">
        <f ca="1"/>
        <v>0.70919671275789153</v>
      </c>
      <c r="AH9305" s="2" t="str">
        <f ca="1"/>
        <v>Bad</v>
      </c>
    </row>
    <row r="9306" spans="2:34">
      <c r="B9306" s="2">
        <f ca="1"/>
        <v>0.20364304782701992</v>
      </c>
      <c r="O9306" s="2">
        <f ca="1"/>
        <v>1.0376431526912986</v>
      </c>
      <c r="X9306" s="2">
        <f ca="1"/>
        <v>32.098525507652695</v>
      </c>
      <c r="AG9306" s="2">
        <f ca="1"/>
        <v>0.35409764469970595</v>
      </c>
      <c r="AH9306" s="2" t="str">
        <f ca="1"/>
        <v>OK</v>
      </c>
    </row>
    <row r="9307" spans="2:34">
      <c r="B9307" s="2">
        <f ca="1"/>
        <v>0.89228033470639301</v>
      </c>
      <c r="O9307" s="2">
        <f ca="1"/>
        <v>-1.6007553824376344</v>
      </c>
      <c r="X9307" s="2">
        <f ca="1"/>
        <v>54.277372151731228</v>
      </c>
      <c r="AG9307" s="2">
        <f ca="1"/>
        <v>8.5403869721262904E-2</v>
      </c>
      <c r="AH9307" s="2" t="str">
        <f ca="1"/>
        <v>OK</v>
      </c>
    </row>
    <row r="9308" spans="2:34">
      <c r="B9308" s="2">
        <f ca="1"/>
        <v>0.37499467897495875</v>
      </c>
      <c r="O9308" s="2">
        <f ca="1"/>
        <v>0.23033742068527113</v>
      </c>
      <c r="X9308" s="2">
        <f ca="1"/>
        <v>46.779429797734394</v>
      </c>
      <c r="AG9308" s="2">
        <f ca="1"/>
        <v>0.26692390051412462</v>
      </c>
      <c r="AH9308" s="2" t="str">
        <f ca="1"/>
        <v>OK</v>
      </c>
    </row>
    <row r="9309" spans="2:34">
      <c r="B9309" s="2">
        <f ca="1"/>
        <v>0.59744449802508193</v>
      </c>
      <c r="O9309" s="2">
        <f ca="1"/>
        <v>-0.32567460765817147</v>
      </c>
      <c r="X9309" s="2">
        <f ca="1"/>
        <v>40.944910043870649</v>
      </c>
      <c r="AG9309" s="2">
        <f ca="1"/>
        <v>2.6701083446765139E-3</v>
      </c>
      <c r="AH9309" s="2" t="str">
        <f ca="1"/>
        <v>Good</v>
      </c>
    </row>
    <row r="9310" spans="2:34">
      <c r="B9310" s="2">
        <f ca="1"/>
        <v>0.84939801613046262</v>
      </c>
      <c r="O9310" s="2">
        <f ca="1"/>
        <v>0.91859136619305048</v>
      </c>
      <c r="X9310" s="2">
        <f ca="1"/>
        <v>44.990991773995475</v>
      </c>
      <c r="AG9310" s="2">
        <f ca="1"/>
        <v>0.63888983469074834</v>
      </c>
      <c r="AH9310" s="2" t="str">
        <f ca="1"/>
        <v>Bad</v>
      </c>
    </row>
    <row r="9311" spans="2:34">
      <c r="B9311" s="2">
        <f ca="1"/>
        <v>0.20685149291767346</v>
      </c>
      <c r="O9311" s="2">
        <f ca="1"/>
        <v>6.138621393623582E-2</v>
      </c>
      <c r="X9311" s="2">
        <f ca="1"/>
        <v>37.343183346374886</v>
      </c>
      <c r="AG9311" s="2">
        <f ca="1"/>
        <v>0.44189999834006799</v>
      </c>
      <c r="AH9311" s="2" t="str">
        <f ca="1"/>
        <v>Bad</v>
      </c>
    </row>
    <row r="9312" spans="2:34">
      <c r="B9312" s="2">
        <f ca="1"/>
        <v>0.52051549762423521</v>
      </c>
      <c r="O9312" s="2">
        <f ca="1"/>
        <v>-7.062374734454259E-2</v>
      </c>
      <c r="X9312" s="2">
        <f ca="1"/>
        <v>51.072276941501414</v>
      </c>
      <c r="AG9312" s="2">
        <f ca="1"/>
        <v>0.11999471926284366</v>
      </c>
      <c r="AH9312" s="2" t="str">
        <f ca="1"/>
        <v>OK</v>
      </c>
    </row>
    <row r="9313" spans="2:34">
      <c r="B9313" s="2">
        <f ca="1"/>
        <v>0.88780245682863446</v>
      </c>
      <c r="O9313" s="2">
        <f ca="1"/>
        <v>0.42307243835379676</v>
      </c>
      <c r="X9313" s="2">
        <f ca="1"/>
        <v>40.998266379348834</v>
      </c>
      <c r="AG9313" s="2">
        <f ca="1"/>
        <v>5.5092807822338274E-2</v>
      </c>
      <c r="AH9313" s="2" t="str">
        <f ca="1"/>
        <v>OK</v>
      </c>
    </row>
    <row r="9314" spans="2:34">
      <c r="B9314" s="2">
        <f ca="1"/>
        <v>0.68278689370426826</v>
      </c>
      <c r="O9314" s="2">
        <f ca="1"/>
        <v>0.64154800551893965</v>
      </c>
      <c r="X9314" s="2">
        <f ca="1"/>
        <v>56.424037379327757</v>
      </c>
      <c r="AG9314" s="2">
        <f ca="1"/>
        <v>8.4441561323962411E-3</v>
      </c>
      <c r="AH9314" s="2" t="str">
        <f ca="1"/>
        <v>Good</v>
      </c>
    </row>
    <row r="9315" spans="2:34">
      <c r="B9315" s="2">
        <f ca="1"/>
        <v>0.31298331644177813</v>
      </c>
      <c r="O9315" s="2">
        <f ca="1"/>
        <v>-0.17844012563197964</v>
      </c>
      <c r="X9315" s="2">
        <f ca="1"/>
        <v>40.770690822028953</v>
      </c>
      <c r="AG9315" s="2">
        <f ca="1"/>
        <v>0.29007142570672118</v>
      </c>
      <c r="AH9315" s="2" t="str">
        <f ca="1"/>
        <v>OK</v>
      </c>
    </row>
    <row r="9316" spans="2:34">
      <c r="B9316" s="2">
        <f ca="1"/>
        <v>0.81430867297333687</v>
      </c>
      <c r="O9316" s="2">
        <f ca="1"/>
        <v>0.43164032606053548</v>
      </c>
      <c r="X9316" s="2">
        <f ca="1"/>
        <v>46.354378115465366</v>
      </c>
      <c r="AG9316" s="2">
        <f ca="1"/>
        <v>7.3750426747894338E-2</v>
      </c>
      <c r="AH9316" s="2" t="str">
        <f ca="1"/>
        <v>OK</v>
      </c>
    </row>
    <row r="9317" spans="2:34">
      <c r="B9317" s="2">
        <f ca="1"/>
        <v>0.60566828415891472</v>
      </c>
      <c r="O9317" s="2">
        <f ca="1"/>
        <v>-0.30429171872021915</v>
      </c>
      <c r="X9317" s="2">
        <f ca="1"/>
        <v>41.579938232671395</v>
      </c>
      <c r="AG9317" s="2">
        <f ca="1"/>
        <v>0.60994345687793472</v>
      </c>
      <c r="AH9317" s="2" t="str">
        <f ca="1"/>
        <v>Bad</v>
      </c>
    </row>
    <row r="9318" spans="2:34">
      <c r="B9318" s="2">
        <f ca="1"/>
        <v>0.50152444111244288</v>
      </c>
      <c r="O9318" s="2">
        <f ca="1"/>
        <v>-1.1618609035052934</v>
      </c>
      <c r="X9318" s="2">
        <f ca="1"/>
        <v>35.446032205371296</v>
      </c>
      <c r="AG9318" s="2">
        <f ca="1"/>
        <v>0.5230734764667786</v>
      </c>
      <c r="AH9318" s="2" t="str">
        <f ca="1"/>
        <v>Bad</v>
      </c>
    </row>
    <row r="9319" spans="2:34">
      <c r="B9319" s="2">
        <f ca="1"/>
        <v>0.43361606002817887</v>
      </c>
      <c r="O9319" s="2">
        <f ca="1"/>
        <v>0.80532583296388138</v>
      </c>
      <c r="X9319" s="2">
        <f ca="1"/>
        <v>31.075597464208325</v>
      </c>
      <c r="AG9319" s="2">
        <f ca="1"/>
        <v>0.84991129936883758</v>
      </c>
      <c r="AH9319" s="2" t="str">
        <f ca="1"/>
        <v>Bad</v>
      </c>
    </row>
    <row r="9320" spans="2:34">
      <c r="B9320" s="2">
        <f ca="1"/>
        <v>0.80507260848973039</v>
      </c>
      <c r="O9320" s="2">
        <f ca="1"/>
        <v>0.2940134031531248</v>
      </c>
      <c r="X9320" s="2">
        <f ca="1"/>
        <v>13.111075304529331</v>
      </c>
      <c r="AG9320" s="2">
        <f ca="1"/>
        <v>0.79212311947229064</v>
      </c>
      <c r="AH9320" s="2" t="str">
        <f ca="1"/>
        <v>Bad</v>
      </c>
    </row>
    <row r="9321" spans="2:34">
      <c r="B9321" s="2">
        <f ca="1"/>
        <v>0.81161328615404016</v>
      </c>
      <c r="O9321" s="2">
        <f ca="1"/>
        <v>1.1189922226203395</v>
      </c>
      <c r="X9321" s="2">
        <f ca="1"/>
        <v>60.028089913565537</v>
      </c>
      <c r="AG9321" s="2">
        <f ca="1"/>
        <v>0.56515074175348956</v>
      </c>
      <c r="AH9321" s="2" t="str">
        <f ca="1"/>
        <v>Bad</v>
      </c>
    </row>
    <row r="9322" spans="2:34">
      <c r="B9322" s="2">
        <f ca="1"/>
        <v>0.82492650675825541</v>
      </c>
      <c r="O9322" s="2">
        <f ca="1"/>
        <v>0.31644424651197933</v>
      </c>
      <c r="X9322" s="2">
        <f ca="1"/>
        <v>49.376952539246545</v>
      </c>
      <c r="AG9322" s="2">
        <f ca="1"/>
        <v>0.1361156643664363</v>
      </c>
      <c r="AH9322" s="2" t="str">
        <f ca="1"/>
        <v>OK</v>
      </c>
    </row>
    <row r="9323" spans="2:34">
      <c r="B9323" s="2">
        <f ca="1"/>
        <v>3.8623272365946759E-2</v>
      </c>
      <c r="O9323" s="2">
        <f ca="1"/>
        <v>0.38636144174084808</v>
      </c>
      <c r="X9323" s="2">
        <f ca="1"/>
        <v>42.370402633738337</v>
      </c>
      <c r="AG9323" s="2">
        <f ca="1"/>
        <v>0.84549560224287079</v>
      </c>
      <c r="AH9323" s="2" t="str">
        <f ca="1"/>
        <v>Bad</v>
      </c>
    </row>
    <row r="9324" spans="2:34">
      <c r="B9324" s="2">
        <f ca="1"/>
        <v>0.71496211907677765</v>
      </c>
      <c r="O9324" s="2">
        <f ca="1"/>
        <v>0.13100353060868203</v>
      </c>
      <c r="X9324" s="2">
        <f ca="1"/>
        <v>45.063072031241489</v>
      </c>
      <c r="AG9324" s="2">
        <f ca="1"/>
        <v>0.20469058826115827</v>
      </c>
      <c r="AH9324" s="2" t="str">
        <f ca="1"/>
        <v>OK</v>
      </c>
    </row>
    <row r="9325" spans="2:34">
      <c r="B9325" s="2">
        <f ca="1"/>
        <v>0.44284733164065004</v>
      </c>
      <c r="O9325" s="2">
        <f ca="1"/>
        <v>0.29475161185705545</v>
      </c>
      <c r="X9325" s="2">
        <f ca="1"/>
        <v>40.061790798490307</v>
      </c>
      <c r="AG9325" s="2">
        <f ca="1"/>
        <v>0.6413037946936837</v>
      </c>
      <c r="AH9325" s="2" t="str">
        <f ca="1"/>
        <v>Bad</v>
      </c>
    </row>
    <row r="9326" spans="2:34">
      <c r="B9326" s="2">
        <f ca="1"/>
        <v>8.365643924879218E-2</v>
      </c>
      <c r="O9326" s="2">
        <f ca="1"/>
        <v>-1.5699146796414882</v>
      </c>
      <c r="X9326" s="2">
        <f ca="1"/>
        <v>44.167295126896178</v>
      </c>
      <c r="AG9326" s="2">
        <f ca="1"/>
        <v>0.8651452917108946</v>
      </c>
      <c r="AH9326" s="2" t="str">
        <f ca="1"/>
        <v>Bad</v>
      </c>
    </row>
    <row r="9327" spans="2:34">
      <c r="B9327" s="2">
        <f ca="1"/>
        <v>0.79263076372238772</v>
      </c>
      <c r="O9327" s="2">
        <f ca="1"/>
        <v>-1.7031599359808458</v>
      </c>
      <c r="X9327" s="2">
        <f ca="1"/>
        <v>28.604033567212475</v>
      </c>
      <c r="AG9327" s="2">
        <f ca="1"/>
        <v>0.224719272540856</v>
      </c>
      <c r="AH9327" s="2" t="str">
        <f ca="1"/>
        <v>OK</v>
      </c>
    </row>
    <row r="9328" spans="2:34">
      <c r="B9328" s="2">
        <f ca="1"/>
        <v>0.82959920366001327</v>
      </c>
      <c r="O9328" s="2">
        <f ca="1"/>
        <v>0.56340193842438169</v>
      </c>
      <c r="X9328" s="2">
        <f ca="1"/>
        <v>69.215106236406911</v>
      </c>
      <c r="AG9328" s="2">
        <f ca="1"/>
        <v>0.40599068340350497</v>
      </c>
      <c r="AH9328" s="2" t="str">
        <f ca="1"/>
        <v>Bad</v>
      </c>
    </row>
    <row r="9329" spans="2:34">
      <c r="B9329" s="2">
        <f ca="1"/>
        <v>0.95193035106802593</v>
      </c>
      <c r="O9329" s="2">
        <f ca="1"/>
        <v>-0.51237827267792058</v>
      </c>
      <c r="X9329" s="2">
        <f ca="1"/>
        <v>33.883566359590212</v>
      </c>
      <c r="AG9329" s="2">
        <f ca="1"/>
        <v>0.36574926526526363</v>
      </c>
      <c r="AH9329" s="2" t="str">
        <f ca="1"/>
        <v>OK</v>
      </c>
    </row>
    <row r="9330" spans="2:34">
      <c r="B9330" s="2">
        <f ca="1"/>
        <v>0.68503380361482136</v>
      </c>
      <c r="O9330" s="2">
        <f ca="1"/>
        <v>1.6340140730650794</v>
      </c>
      <c r="X9330" s="2">
        <f ca="1"/>
        <v>58.078308081018179</v>
      </c>
      <c r="AG9330" s="2">
        <f ca="1"/>
        <v>0.5036061169138073</v>
      </c>
      <c r="AH9330" s="2" t="str">
        <f ca="1"/>
        <v>Bad</v>
      </c>
    </row>
    <row r="9331" spans="2:34">
      <c r="B9331" s="2">
        <f ca="1"/>
        <v>0.62072375981608841</v>
      </c>
      <c r="O9331" s="2">
        <f ca="1"/>
        <v>-0.30372358177933667</v>
      </c>
      <c r="X9331" s="2">
        <f ca="1"/>
        <v>63.610156199547355</v>
      </c>
      <c r="AG9331" s="2">
        <f ca="1"/>
        <v>0.63557093255566177</v>
      </c>
      <c r="AH9331" s="2" t="str">
        <f ca="1"/>
        <v>Bad</v>
      </c>
    </row>
    <row r="9332" spans="2:34">
      <c r="B9332" s="2">
        <f ca="1"/>
        <v>0.6665753845323128</v>
      </c>
      <c r="O9332" s="2">
        <f ca="1"/>
        <v>1.099898839227295</v>
      </c>
      <c r="X9332" s="2">
        <f ca="1"/>
        <v>38.712094591096651</v>
      </c>
      <c r="AG9332" s="2">
        <f ca="1"/>
        <v>0.55658597144946076</v>
      </c>
      <c r="AH9332" s="2" t="str">
        <f ca="1"/>
        <v>Bad</v>
      </c>
    </row>
    <row r="9333" spans="2:34">
      <c r="B9333" s="2">
        <f ca="1"/>
        <v>0.41325455150951984</v>
      </c>
      <c r="O9333" s="2">
        <f ca="1"/>
        <v>1.56344885163027</v>
      </c>
      <c r="X9333" s="2">
        <f ca="1"/>
        <v>44.238496845834618</v>
      </c>
      <c r="AG9333" s="2">
        <f ca="1"/>
        <v>0.95581411013215334</v>
      </c>
      <c r="AH9333" s="2" t="str">
        <f ca="1"/>
        <v>Bad</v>
      </c>
    </row>
    <row r="9334" spans="2:34">
      <c r="B9334" s="2">
        <f ca="1"/>
        <v>0.23653761742367418</v>
      </c>
      <c r="O9334" s="2">
        <f ca="1"/>
        <v>1.25801445017654</v>
      </c>
      <c r="X9334" s="2">
        <f ca="1"/>
        <v>17.632786499357596</v>
      </c>
      <c r="AG9334" s="2">
        <f ca="1"/>
        <v>0.72208418341193736</v>
      </c>
      <c r="AH9334" s="2" t="str">
        <f ca="1"/>
        <v>Bad</v>
      </c>
    </row>
    <row r="9335" spans="2:34">
      <c r="B9335" s="2">
        <f ca="1"/>
        <v>0.3491365096152701</v>
      </c>
      <c r="O9335" s="2">
        <f ca="1"/>
        <v>-0.23595916736476444</v>
      </c>
      <c r="X9335" s="2">
        <f ca="1"/>
        <v>31.572544540701408</v>
      </c>
      <c r="AG9335" s="2">
        <f ca="1"/>
        <v>0.17453323677229937</v>
      </c>
      <c r="AH9335" s="2" t="str">
        <f ca="1"/>
        <v>OK</v>
      </c>
    </row>
    <row r="9336" spans="2:34">
      <c r="B9336" s="2">
        <f ca="1"/>
        <v>0.4465092659905372</v>
      </c>
      <c r="O9336" s="2">
        <f ca="1"/>
        <v>0.95390114104134172</v>
      </c>
      <c r="X9336" s="2">
        <f ca="1"/>
        <v>33.954972036076491</v>
      </c>
      <c r="AG9336" s="2">
        <f ca="1"/>
        <v>1.6160275845753969E-2</v>
      </c>
      <c r="AH9336" s="2" t="str">
        <f ca="1"/>
        <v>Good</v>
      </c>
    </row>
    <row r="9337" spans="2:34">
      <c r="B9337" s="2">
        <f ca="1"/>
        <v>0.33690439109161785</v>
      </c>
      <c r="O9337" s="2">
        <f ca="1"/>
        <v>0.63600779971163712</v>
      </c>
      <c r="X9337" s="2">
        <f ca="1"/>
        <v>61.981885387361558</v>
      </c>
      <c r="AG9337" s="2">
        <f ca="1"/>
        <v>0.65922413069863928</v>
      </c>
      <c r="AH9337" s="2" t="str">
        <f ca="1"/>
        <v>Bad</v>
      </c>
    </row>
    <row r="9338" spans="2:34">
      <c r="B9338" s="2">
        <f ca="1"/>
        <v>0.78383656860778506</v>
      </c>
      <c r="O9338" s="2">
        <f ca="1"/>
        <v>0.15270722223676136</v>
      </c>
      <c r="X9338" s="2">
        <f ca="1"/>
        <v>48.847700197617165</v>
      </c>
      <c r="AG9338" s="2">
        <f ca="1"/>
        <v>5.5871579642889246E-2</v>
      </c>
      <c r="AH9338" s="2" t="str">
        <f ca="1"/>
        <v>OK</v>
      </c>
    </row>
    <row r="9339" spans="2:34">
      <c r="B9339" s="2">
        <f ca="1"/>
        <v>0.21683702621721057</v>
      </c>
      <c r="O9339" s="2">
        <f ca="1"/>
        <v>0.33905245215261109</v>
      </c>
      <c r="X9339" s="2">
        <f ca="1"/>
        <v>31.048622038159227</v>
      </c>
      <c r="AG9339" s="2">
        <f ca="1"/>
        <v>0.9688278564847923</v>
      </c>
      <c r="AH9339" s="2" t="str">
        <f ca="1"/>
        <v>Bad</v>
      </c>
    </row>
    <row r="9340" spans="2:34">
      <c r="B9340" s="2">
        <f ca="1"/>
        <v>9.5208380102862478E-2</v>
      </c>
      <c r="O9340" s="2">
        <f ca="1"/>
        <v>-0.34095862337731103</v>
      </c>
      <c r="X9340" s="2">
        <f ca="1"/>
        <v>47.675839312748082</v>
      </c>
      <c r="AG9340" s="2">
        <f ca="1"/>
        <v>0.31899191041086472</v>
      </c>
      <c r="AH9340" s="2" t="str">
        <f ca="1"/>
        <v>OK</v>
      </c>
    </row>
    <row r="9341" spans="2:34">
      <c r="B9341" s="2">
        <f ca="1"/>
        <v>0.41562817060117219</v>
      </c>
      <c r="O9341" s="2">
        <f ca="1"/>
        <v>-0.75789271819018866</v>
      </c>
      <c r="X9341" s="2">
        <f ca="1"/>
        <v>52.963782756593794</v>
      </c>
      <c r="AG9341" s="2">
        <f ca="1"/>
        <v>0.9226216233645832</v>
      </c>
      <c r="AH9341" s="2" t="str">
        <f ca="1"/>
        <v>Bad</v>
      </c>
    </row>
    <row r="9342" spans="2:34">
      <c r="B9342" s="2">
        <f ca="1"/>
        <v>0.95774703964173469</v>
      </c>
      <c r="O9342" s="2">
        <f ca="1"/>
        <v>-0.92877923021565367</v>
      </c>
      <c r="X9342" s="2">
        <f ca="1"/>
        <v>48.211106535052423</v>
      </c>
      <c r="AG9342" s="2">
        <f ca="1"/>
        <v>0.94572207531672192</v>
      </c>
      <c r="AH9342" s="2" t="str">
        <f ca="1"/>
        <v>Bad</v>
      </c>
    </row>
    <row r="9343" spans="2:34">
      <c r="B9343" s="2">
        <f ca="1"/>
        <v>0.45058905722661069</v>
      </c>
      <c r="O9343" s="2">
        <f ca="1"/>
        <v>0.49509740483533859</v>
      </c>
      <c r="X9343" s="2">
        <f ca="1"/>
        <v>70.639108586624516</v>
      </c>
      <c r="AG9343" s="2">
        <f ca="1"/>
        <v>0.47237600918961098</v>
      </c>
      <c r="AH9343" s="2" t="str">
        <f ca="1"/>
        <v>Bad</v>
      </c>
    </row>
    <row r="9344" spans="2:34">
      <c r="B9344" s="2">
        <f ca="1"/>
        <v>0.79031320223575485</v>
      </c>
      <c r="O9344" s="2">
        <f ca="1"/>
        <v>0.42913437437155955</v>
      </c>
      <c r="X9344" s="2">
        <f ca="1"/>
        <v>50.462146430346237</v>
      </c>
      <c r="AG9344" s="2">
        <f ca="1"/>
        <v>0.6982541344653892</v>
      </c>
      <c r="AH9344" s="2" t="str">
        <f ca="1"/>
        <v>Bad</v>
      </c>
    </row>
    <row r="9345" spans="2:34">
      <c r="B9345" s="2">
        <f ca="1"/>
        <v>0.89396157934438403</v>
      </c>
      <c r="O9345" s="2">
        <f ca="1"/>
        <v>-0.48633639303246629</v>
      </c>
      <c r="X9345" s="2">
        <f ca="1"/>
        <v>52.137642063305904</v>
      </c>
      <c r="AG9345" s="2">
        <f ca="1"/>
        <v>0.5480649303708276</v>
      </c>
      <c r="AH9345" s="2" t="str">
        <f ca="1"/>
        <v>Bad</v>
      </c>
    </row>
    <row r="9346" spans="2:34">
      <c r="B9346" s="2">
        <f ca="1"/>
        <v>7.4457449666533559E-2</v>
      </c>
      <c r="O9346" s="2">
        <f ca="1"/>
        <v>-3.7348089645455045E-2</v>
      </c>
      <c r="X9346" s="2">
        <f ca="1"/>
        <v>58.622253114899927</v>
      </c>
      <c r="AG9346" s="2">
        <f ca="1"/>
        <v>0.81585020024095822</v>
      </c>
      <c r="AH9346" s="2" t="str">
        <f ca="1"/>
        <v>Bad</v>
      </c>
    </row>
    <row r="9347" spans="2:34">
      <c r="B9347" s="2">
        <f ca="1"/>
        <v>0.49107456612672529</v>
      </c>
      <c r="O9347" s="2">
        <f ca="1"/>
        <v>0.85413850481749554</v>
      </c>
      <c r="X9347" s="2">
        <f ca="1"/>
        <v>46.38048022294241</v>
      </c>
      <c r="AG9347" s="2">
        <f ca="1"/>
        <v>0.16246350275594712</v>
      </c>
      <c r="AH9347" s="2" t="str">
        <f ca="1"/>
        <v>OK</v>
      </c>
    </row>
    <row r="9348" spans="2:34">
      <c r="B9348" s="2">
        <f ca="1"/>
        <v>0.92510684156721457</v>
      </c>
      <c r="O9348" s="2">
        <f ca="1"/>
        <v>-1.4440944109799507</v>
      </c>
      <c r="X9348" s="2">
        <f ca="1"/>
        <v>36.241245535466092</v>
      </c>
      <c r="AG9348" s="2">
        <f ca="1"/>
        <v>0.74997793607763485</v>
      </c>
      <c r="AH9348" s="2" t="str">
        <f ca="1"/>
        <v>Bad</v>
      </c>
    </row>
    <row r="9349" spans="2:34">
      <c r="B9349" s="2">
        <f ca="1"/>
        <v>0.89316192629615232</v>
      </c>
      <c r="O9349" s="2">
        <f ca="1"/>
        <v>0.3992480052690901</v>
      </c>
      <c r="X9349" s="2">
        <f ca="1"/>
        <v>46.08696355211903</v>
      </c>
      <c r="AG9349" s="2">
        <f ca="1"/>
        <v>0.78176431315526895</v>
      </c>
      <c r="AH9349" s="2" t="str">
        <f ca="1"/>
        <v>Bad</v>
      </c>
    </row>
    <row r="9350" spans="2:34">
      <c r="B9350" s="2">
        <f ca="1"/>
        <v>0.98236031077090202</v>
      </c>
      <c r="O9350" s="2">
        <f ca="1"/>
        <v>0.52805573019980689</v>
      </c>
      <c r="X9350" s="2">
        <f ca="1"/>
        <v>55.95867444048104</v>
      </c>
      <c r="AG9350" s="2">
        <f ca="1"/>
        <v>0.52549962530843874</v>
      </c>
      <c r="AH9350" s="2" t="str">
        <f ca="1"/>
        <v>Bad</v>
      </c>
    </row>
    <row r="9351" spans="2:34">
      <c r="B9351" s="2">
        <f ca="1"/>
        <v>0.36040317230341468</v>
      </c>
      <c r="O9351" s="2">
        <f ca="1"/>
        <v>-0.10824394340061598</v>
      </c>
      <c r="X9351" s="2">
        <f ca="1"/>
        <v>61.253030672351002</v>
      </c>
      <c r="AG9351" s="2">
        <f ca="1"/>
        <v>0.23440580651184595</v>
      </c>
      <c r="AH9351" s="2" t="str">
        <f ca="1"/>
        <v>OK</v>
      </c>
    </row>
    <row r="9352" spans="2:34">
      <c r="B9352" s="2">
        <f ca="1"/>
        <v>1.4970722626197919E-2</v>
      </c>
      <c r="O9352" s="2">
        <f ca="1"/>
        <v>-0.59482057751538253</v>
      </c>
      <c r="X9352" s="2">
        <f ca="1"/>
        <v>67.061934597177654</v>
      </c>
      <c r="AG9352" s="2">
        <f ca="1"/>
        <v>0.48054518810777225</v>
      </c>
      <c r="AH9352" s="2" t="str">
        <f ca="1"/>
        <v>Bad</v>
      </c>
    </row>
    <row r="9353" spans="2:34">
      <c r="B9353" s="2">
        <f ca="1"/>
        <v>0.82250614722939153</v>
      </c>
      <c r="O9353" s="2">
        <f ca="1"/>
        <v>0.68195492480412967</v>
      </c>
      <c r="X9353" s="2">
        <f ca="1"/>
        <v>54.609087514289321</v>
      </c>
      <c r="AG9353" s="2">
        <f ca="1"/>
        <v>0.60709688097915482</v>
      </c>
      <c r="AH9353" s="2" t="str">
        <f ca="1"/>
        <v>Bad</v>
      </c>
    </row>
    <row r="9354" spans="2:34">
      <c r="B9354" s="2">
        <f ca="1"/>
        <v>0.80382821808252825</v>
      </c>
      <c r="O9354" s="2">
        <f ca="1"/>
        <v>0.65939048574130599</v>
      </c>
      <c r="X9354" s="2">
        <f ca="1"/>
        <v>45.459476986678659</v>
      </c>
      <c r="AG9354" s="2">
        <f ca="1"/>
        <v>0.20909564144082959</v>
      </c>
      <c r="AH9354" s="2" t="str">
        <f ca="1"/>
        <v>OK</v>
      </c>
    </row>
    <row r="9355" spans="2:34">
      <c r="B9355" s="2">
        <f ca="1"/>
        <v>0.10157975608567082</v>
      </c>
      <c r="O9355" s="2">
        <f ca="1"/>
        <v>1.0799292454577656</v>
      </c>
      <c r="X9355" s="2">
        <f ca="1"/>
        <v>46.957358272304774</v>
      </c>
      <c r="AG9355" s="2">
        <f ca="1"/>
        <v>0.74260404373802169</v>
      </c>
      <c r="AH9355" s="2" t="str">
        <f ca="1"/>
        <v>Bad</v>
      </c>
    </row>
    <row r="9356" spans="2:34">
      <c r="B9356" s="2">
        <f ca="1"/>
        <v>0.97547533127468555</v>
      </c>
      <c r="O9356" s="2">
        <f ca="1"/>
        <v>6.6904530654067526E-2</v>
      </c>
      <c r="X9356" s="2">
        <f ca="1"/>
        <v>53.276579514833493</v>
      </c>
      <c r="AG9356" s="2">
        <f ca="1"/>
        <v>0.7620583380380106</v>
      </c>
      <c r="AH9356" s="2" t="str">
        <f ca="1"/>
        <v>Bad</v>
      </c>
    </row>
    <row r="9357" spans="2:34">
      <c r="B9357" s="2">
        <f ca="1"/>
        <v>0.10854595309662218</v>
      </c>
      <c r="O9357" s="2">
        <f ca="1"/>
        <v>0.50400319378420111</v>
      </c>
      <c r="X9357" s="2">
        <f ca="1"/>
        <v>76.330617790665116</v>
      </c>
      <c r="AG9357" s="2">
        <f ca="1"/>
        <v>0.88865174277452086</v>
      </c>
      <c r="AH9357" s="2" t="str">
        <f ca="1"/>
        <v>Bad</v>
      </c>
    </row>
    <row r="9358" spans="2:34">
      <c r="B9358" s="2">
        <f ca="1"/>
        <v>0.91460745483574857</v>
      </c>
      <c r="O9358" s="2">
        <f ca="1"/>
        <v>1.2906245978507984</v>
      </c>
      <c r="X9358" s="2">
        <f ca="1"/>
        <v>55.977824197443091</v>
      </c>
      <c r="AG9358" s="2">
        <f ca="1"/>
        <v>0.39049765841041406</v>
      </c>
      <c r="AH9358" s="2" t="str">
        <f ca="1"/>
        <v>OK</v>
      </c>
    </row>
    <row r="9359" spans="2:34">
      <c r="B9359" s="2">
        <f ca="1"/>
        <v>0.30823482785706768</v>
      </c>
      <c r="O9359" s="2">
        <f ca="1"/>
        <v>1.0735494742702489</v>
      </c>
      <c r="X9359" s="2">
        <f ca="1"/>
        <v>44.596119156064951</v>
      </c>
      <c r="AG9359" s="2">
        <f ca="1"/>
        <v>0.99871843214427258</v>
      </c>
      <c r="AH9359" s="2" t="str">
        <f ca="1"/>
        <v>Bad</v>
      </c>
    </row>
    <row r="9360" spans="2:34">
      <c r="B9360" s="2">
        <f ca="1"/>
        <v>0.21773799283650552</v>
      </c>
      <c r="O9360" s="2">
        <f ca="1"/>
        <v>-4.9911374361620867E-2</v>
      </c>
      <c r="X9360" s="2">
        <f ca="1"/>
        <v>48.690136405330414</v>
      </c>
      <c r="AG9360" s="2">
        <f ca="1"/>
        <v>0.71398128329580079</v>
      </c>
      <c r="AH9360" s="2" t="str">
        <f ca="1"/>
        <v>Bad</v>
      </c>
    </row>
    <row r="9361" spans="2:34">
      <c r="B9361" s="2">
        <f ca="1"/>
        <v>0.72140745307491727</v>
      </c>
      <c r="O9361" s="2">
        <f ca="1"/>
        <v>-0.3356762376757032</v>
      </c>
      <c r="X9361" s="2">
        <f ca="1"/>
        <v>33.591799153640373</v>
      </c>
      <c r="AG9361" s="2">
        <f ca="1"/>
        <v>0.81136712328282479</v>
      </c>
      <c r="AH9361" s="2" t="str">
        <f ca="1"/>
        <v>Bad</v>
      </c>
    </row>
    <row r="9362" spans="2:34">
      <c r="B9362" s="2">
        <f ca="1"/>
        <v>0.42113840855442408</v>
      </c>
      <c r="O9362" s="2">
        <f ca="1"/>
        <v>0.35616601747942828</v>
      </c>
      <c r="X9362" s="2">
        <f ca="1"/>
        <v>38.667259589566868</v>
      </c>
      <c r="AG9362" s="2">
        <f ca="1"/>
        <v>0.2147351718931354</v>
      </c>
      <c r="AH9362" s="2" t="str">
        <f ca="1"/>
        <v>OK</v>
      </c>
    </row>
    <row r="9363" spans="2:34">
      <c r="B9363" s="2">
        <f ca="1"/>
        <v>0.53688895143267445</v>
      </c>
      <c r="O9363" s="2">
        <f ca="1"/>
        <v>-7.1275596730710572E-2</v>
      </c>
      <c r="X9363" s="2">
        <f ca="1"/>
        <v>36.500587971121504</v>
      </c>
      <c r="AG9363" s="2">
        <f ca="1"/>
        <v>0.65627823552162545</v>
      </c>
      <c r="AH9363" s="2" t="str">
        <f ca="1"/>
        <v>Bad</v>
      </c>
    </row>
    <row r="9364" spans="2:34">
      <c r="B9364" s="2">
        <f ca="1"/>
        <v>0.33361267679779538</v>
      </c>
      <c r="O9364" s="2">
        <f ca="1"/>
        <v>0.91024550088549172</v>
      </c>
      <c r="X9364" s="2">
        <f ca="1"/>
        <v>63.59629524694337</v>
      </c>
      <c r="AG9364" s="2">
        <f ca="1"/>
        <v>0.85184295684617517</v>
      </c>
      <c r="AH9364" s="2" t="str">
        <f ca="1"/>
        <v>Bad</v>
      </c>
    </row>
    <row r="9365" spans="2:34">
      <c r="B9365" s="2">
        <f ca="1"/>
        <v>0.69558835512163841</v>
      </c>
      <c r="O9365" s="2">
        <f ca="1"/>
        <v>0.22814007781221454</v>
      </c>
      <c r="X9365" s="2">
        <f ca="1"/>
        <v>38.360733111545443</v>
      </c>
      <c r="AG9365" s="2">
        <f ca="1"/>
        <v>0.92508588353337839</v>
      </c>
      <c r="AH9365" s="2" t="str">
        <f ca="1"/>
        <v>Bad</v>
      </c>
    </row>
    <row r="9366" spans="2:34">
      <c r="B9366" s="2">
        <f ca="1"/>
        <v>0.45764100239239669</v>
      </c>
      <c r="O9366" s="2">
        <f ca="1"/>
        <v>1.130858301654958</v>
      </c>
      <c r="X9366" s="2">
        <f ca="1"/>
        <v>67.468781865532904</v>
      </c>
      <c r="AG9366" s="2">
        <f ca="1"/>
        <v>0.34825775568905293</v>
      </c>
      <c r="AH9366" s="2" t="str">
        <f ca="1"/>
        <v>OK</v>
      </c>
    </row>
    <row r="9367" spans="2:34">
      <c r="B9367" s="2">
        <f ca="1"/>
        <v>0.47634484944016742</v>
      </c>
      <c r="O9367" s="2">
        <f ca="1"/>
        <v>0.99614889608454693</v>
      </c>
      <c r="X9367" s="2">
        <f ca="1"/>
        <v>71.417891407769275</v>
      </c>
      <c r="AG9367" s="2">
        <f ca="1"/>
        <v>0.22603827565636481</v>
      </c>
      <c r="AH9367" s="2" t="str">
        <f ca="1"/>
        <v>OK</v>
      </c>
    </row>
    <row r="9368" spans="2:34">
      <c r="B9368" s="2">
        <f ca="1"/>
        <v>0.21531475353372653</v>
      </c>
      <c r="O9368" s="2">
        <f ca="1"/>
        <v>-0.84514456556834161</v>
      </c>
      <c r="X9368" s="2">
        <f ca="1"/>
        <v>49.773978617550021</v>
      </c>
      <c r="AG9368" s="2">
        <f ca="1"/>
        <v>0.19807993588814887</v>
      </c>
      <c r="AH9368" s="2" t="str">
        <f ca="1"/>
        <v>OK</v>
      </c>
    </row>
    <row r="9369" spans="2:34">
      <c r="B9369" s="2">
        <f ca="1"/>
        <v>0.79711900561781501</v>
      </c>
      <c r="O9369" s="2">
        <f ca="1"/>
        <v>-0.80161272757583857</v>
      </c>
      <c r="X9369" s="2">
        <f ca="1"/>
        <v>25.532675075458783</v>
      </c>
      <c r="AG9369" s="2">
        <f ca="1"/>
        <v>5.4481953418421103E-2</v>
      </c>
      <c r="AH9369" s="2" t="str">
        <f ca="1"/>
        <v>OK</v>
      </c>
    </row>
    <row r="9370" spans="2:34">
      <c r="B9370" s="2">
        <f ca="1"/>
        <v>0.23950220646533071</v>
      </c>
      <c r="O9370" s="2">
        <f ca="1"/>
        <v>-0.19697456531120583</v>
      </c>
      <c r="X9370" s="2">
        <f ca="1"/>
        <v>68.543196568443918</v>
      </c>
      <c r="AG9370" s="2">
        <f ca="1"/>
        <v>0.59624789905125053</v>
      </c>
      <c r="AH9370" s="2" t="str">
        <f ca="1"/>
        <v>Bad</v>
      </c>
    </row>
    <row r="9371" spans="2:34">
      <c r="B9371" s="2">
        <f ca="1"/>
        <v>0.45086175344025792</v>
      </c>
      <c r="O9371" s="2">
        <f ca="1"/>
        <v>1.1387042277988748</v>
      </c>
      <c r="X9371" s="2">
        <f ca="1"/>
        <v>43.547977263980506</v>
      </c>
      <c r="AG9371" s="2">
        <f ca="1"/>
        <v>0.62454158558483241</v>
      </c>
      <c r="AH9371" s="2" t="str">
        <f ca="1"/>
        <v>Bad</v>
      </c>
    </row>
    <row r="9372" spans="2:34">
      <c r="B9372" s="2">
        <f ca="1"/>
        <v>0.46847077198530185</v>
      </c>
      <c r="O9372" s="2">
        <f ca="1"/>
        <v>-0.17853997124046625</v>
      </c>
      <c r="X9372" s="2">
        <f ca="1"/>
        <v>40.993811786570021</v>
      </c>
      <c r="AG9372" s="2">
        <f ca="1"/>
        <v>0.94523304791676388</v>
      </c>
      <c r="AH9372" s="2" t="str">
        <f ca="1"/>
        <v>Bad</v>
      </c>
    </row>
    <row r="9373" spans="2:34">
      <c r="B9373" s="2">
        <f ca="1"/>
        <v>0.10245926477352119</v>
      </c>
      <c r="O9373" s="2">
        <f ca="1"/>
        <v>0.87174477284206875</v>
      </c>
      <c r="X9373" s="2">
        <f ca="1"/>
        <v>72.124853060490139</v>
      </c>
      <c r="AG9373" s="2">
        <f ca="1"/>
        <v>0.2613792629943521</v>
      </c>
      <c r="AH9373" s="2" t="str">
        <f ca="1"/>
        <v>OK</v>
      </c>
    </row>
    <row r="9374" spans="2:34">
      <c r="B9374" s="2">
        <f ca="1"/>
        <v>0.71960155043988183</v>
      </c>
      <c r="O9374" s="2">
        <f ca="1"/>
        <v>0.5852723091752503</v>
      </c>
      <c r="X9374" s="2">
        <f ca="1"/>
        <v>57.087621538608452</v>
      </c>
      <c r="AG9374" s="2">
        <f ca="1"/>
        <v>0.93698622869177783</v>
      </c>
      <c r="AH9374" s="2" t="str">
        <f ca="1"/>
        <v>Bad</v>
      </c>
    </row>
    <row r="9375" spans="2:34">
      <c r="B9375" s="2">
        <f ca="1"/>
        <v>0.71236457945417553</v>
      </c>
      <c r="O9375" s="2">
        <f ca="1"/>
        <v>-0.90916278282605845</v>
      </c>
      <c r="X9375" s="2">
        <f ca="1"/>
        <v>47.868467890531441</v>
      </c>
      <c r="AG9375" s="2">
        <f ca="1"/>
        <v>0.47676902172116953</v>
      </c>
      <c r="AH9375" s="2" t="str">
        <f ca="1"/>
        <v>Bad</v>
      </c>
    </row>
    <row r="9376" spans="2:34">
      <c r="B9376" s="2">
        <f ca="1"/>
        <v>0.24833450126667933</v>
      </c>
      <c r="O9376" s="2">
        <f ca="1"/>
        <v>1.0807009988441099</v>
      </c>
      <c r="X9376" s="2">
        <f ca="1"/>
        <v>24.324045393510794</v>
      </c>
      <c r="AG9376" s="2">
        <f ca="1"/>
        <v>0.52969238973818245</v>
      </c>
      <c r="AH9376" s="2" t="str">
        <f ca="1"/>
        <v>Bad</v>
      </c>
    </row>
    <row r="9377" spans="2:34">
      <c r="B9377" s="2">
        <f ca="1"/>
        <v>0.52181525839204279</v>
      </c>
      <c r="O9377" s="2">
        <f ca="1"/>
        <v>-8.936785976622473E-2</v>
      </c>
      <c r="X9377" s="2">
        <f ca="1"/>
        <v>32.318768817569541</v>
      </c>
      <c r="AG9377" s="2">
        <f ca="1"/>
        <v>0.86235672588556778</v>
      </c>
      <c r="AH9377" s="2" t="str">
        <f ca="1"/>
        <v>Bad</v>
      </c>
    </row>
    <row r="9378" spans="2:34">
      <c r="B9378" s="2">
        <f ca="1"/>
        <v>8.6367255981301128E-4</v>
      </c>
      <c r="O9378" s="2">
        <f ca="1"/>
        <v>-0.32170387050108395</v>
      </c>
      <c r="X9378" s="2">
        <f ca="1"/>
        <v>41.213611120121783</v>
      </c>
      <c r="AG9378" s="2">
        <f ca="1"/>
        <v>0.47204527023163023</v>
      </c>
      <c r="AH9378" s="2" t="str">
        <f ca="1"/>
        <v>Bad</v>
      </c>
    </row>
    <row r="9379" spans="2:34">
      <c r="B9379" s="2">
        <f ca="1"/>
        <v>0.74163225676326916</v>
      </c>
      <c r="O9379" s="2">
        <f ca="1"/>
        <v>-0.53607046792809288</v>
      </c>
      <c r="X9379" s="2">
        <f ca="1"/>
        <v>85.483382546025112</v>
      </c>
      <c r="AG9379" s="2">
        <f ca="1"/>
        <v>0.81423624494320701</v>
      </c>
      <c r="AH9379" s="2" t="str">
        <f ca="1"/>
        <v>Bad</v>
      </c>
    </row>
    <row r="9380" spans="2:34">
      <c r="B9380" s="2">
        <f ca="1"/>
        <v>0.60617312605681484</v>
      </c>
      <c r="O9380" s="2">
        <f ca="1"/>
        <v>2.1998486875876373</v>
      </c>
      <c r="X9380" s="2">
        <f ca="1"/>
        <v>62.961379692037568</v>
      </c>
      <c r="AG9380" s="2">
        <f ca="1"/>
        <v>0.53463165383776845</v>
      </c>
      <c r="AH9380" s="2" t="str">
        <f ca="1"/>
        <v>Bad</v>
      </c>
    </row>
    <row r="9381" spans="2:34">
      <c r="B9381" s="2">
        <f ca="1"/>
        <v>0.42314994915885906</v>
      </c>
      <c r="O9381" s="2">
        <f ca="1"/>
        <v>-0.96672802819923331</v>
      </c>
      <c r="X9381" s="2">
        <f ca="1"/>
        <v>61.255801410292491</v>
      </c>
      <c r="AG9381" s="2">
        <f ca="1"/>
        <v>0.68575242533135072</v>
      </c>
      <c r="AH9381" s="2" t="str">
        <f ca="1"/>
        <v>Bad</v>
      </c>
    </row>
    <row r="9382" spans="2:34">
      <c r="B9382" s="2">
        <f ca="1"/>
        <v>0.89655611675005908</v>
      </c>
      <c r="O9382" s="2">
        <f ca="1"/>
        <v>0.1405442600677643</v>
      </c>
      <c r="X9382" s="2">
        <f ca="1"/>
        <v>64.453404854378718</v>
      </c>
      <c r="AG9382" s="2">
        <f ca="1"/>
        <v>0.84835683758184088</v>
      </c>
      <c r="AH9382" s="2" t="str">
        <f ca="1"/>
        <v>Bad</v>
      </c>
    </row>
    <row r="9383" spans="2:34">
      <c r="B9383" s="2">
        <f ca="1"/>
        <v>0.3222024187871757</v>
      </c>
      <c r="O9383" s="2">
        <f ca="1"/>
        <v>0.46059052379696258</v>
      </c>
      <c r="X9383" s="2">
        <f ca="1"/>
        <v>42.484315700511047</v>
      </c>
      <c r="AG9383" s="2">
        <f ca="1"/>
        <v>0.53857796852171558</v>
      </c>
      <c r="AH9383" s="2" t="str">
        <f ca="1"/>
        <v>Bad</v>
      </c>
    </row>
    <row r="9384" spans="2:34">
      <c r="B9384" s="2">
        <f ca="1"/>
        <v>0.44079504457676899</v>
      </c>
      <c r="O9384" s="2">
        <f ca="1"/>
        <v>-0.23508957191644292</v>
      </c>
      <c r="X9384" s="2">
        <f ca="1"/>
        <v>70.187893983407008</v>
      </c>
      <c r="AG9384" s="2">
        <f ca="1"/>
        <v>0.86603415074401502</v>
      </c>
      <c r="AH9384" s="2" t="str">
        <f ca="1"/>
        <v>Bad</v>
      </c>
    </row>
    <row r="9385" spans="2:34">
      <c r="B9385" s="2">
        <f ca="1"/>
        <v>0.36850307868198895</v>
      </c>
      <c r="O9385" s="2">
        <f ca="1"/>
        <v>1.4290864419047578</v>
      </c>
      <c r="X9385" s="2">
        <f ca="1"/>
        <v>50.362474603187799</v>
      </c>
      <c r="AG9385" s="2">
        <f ca="1"/>
        <v>9.582660144512789E-2</v>
      </c>
      <c r="AH9385" s="2" t="str">
        <f ca="1"/>
        <v>OK</v>
      </c>
    </row>
    <row r="9386" spans="2:34">
      <c r="B9386" s="2">
        <f ca="1"/>
        <v>3.9693528224540309E-3</v>
      </c>
      <c r="O9386" s="2">
        <f ca="1"/>
        <v>1.1305034245096164</v>
      </c>
      <c r="X9386" s="2">
        <f ca="1"/>
        <v>22.416498275919757</v>
      </c>
      <c r="AG9386" s="2">
        <f ca="1"/>
        <v>0.97501425234618466</v>
      </c>
      <c r="AH9386" s="2" t="str">
        <f ca="1"/>
        <v>Bad</v>
      </c>
    </row>
    <row r="9387" spans="2:34">
      <c r="B9387" s="2">
        <f ca="1"/>
        <v>0.8376135339569899</v>
      </c>
      <c r="O9387" s="2">
        <f ca="1"/>
        <v>0.55650356487942287</v>
      </c>
      <c r="X9387" s="2">
        <f ca="1"/>
        <v>40.113832860801068</v>
      </c>
      <c r="AG9387" s="2">
        <f ca="1"/>
        <v>0.62211306968853886</v>
      </c>
      <c r="AH9387" s="2" t="str">
        <f ca="1"/>
        <v>Bad</v>
      </c>
    </row>
    <row r="9388" spans="2:34">
      <c r="B9388" s="2">
        <f ca="1"/>
        <v>0.33554083737832596</v>
      </c>
      <c r="O9388" s="2">
        <f ca="1"/>
        <v>2.242719279974632E-2</v>
      </c>
      <c r="X9388" s="2">
        <f ca="1"/>
        <v>60.05110514492138</v>
      </c>
      <c r="AG9388" s="2">
        <f ca="1"/>
        <v>0.42467434131572013</v>
      </c>
      <c r="AH9388" s="2" t="str">
        <f ca="1"/>
        <v>Bad</v>
      </c>
    </row>
    <row r="9389" spans="2:34">
      <c r="B9389" s="2">
        <f ca="1"/>
        <v>0.19787236655411533</v>
      </c>
      <c r="O9389" s="2">
        <f ca="1"/>
        <v>0.2409196949029026</v>
      </c>
      <c r="X9389" s="2">
        <f ca="1"/>
        <v>43.984268332932629</v>
      </c>
      <c r="AG9389" s="2">
        <f ca="1"/>
        <v>0.76508787585077731</v>
      </c>
      <c r="AH9389" s="2" t="str">
        <f ca="1"/>
        <v>Bad</v>
      </c>
    </row>
    <row r="9390" spans="2:34">
      <c r="B9390" s="2">
        <f ca="1"/>
        <v>0.35384127221442396</v>
      </c>
      <c r="O9390" s="2">
        <f ca="1"/>
        <v>-8.0048134108414201E-2</v>
      </c>
      <c r="X9390" s="2">
        <f ca="1"/>
        <v>96.451186466951356</v>
      </c>
      <c r="AG9390" s="2">
        <f ca="1"/>
        <v>0.85507977718997519</v>
      </c>
      <c r="AH9390" s="2" t="str">
        <f ca="1"/>
        <v>Bad</v>
      </c>
    </row>
    <row r="9391" spans="2:34">
      <c r="B9391" s="2">
        <f ca="1"/>
        <v>0.21909326520868388</v>
      </c>
      <c r="O9391" s="2">
        <f ca="1"/>
        <v>7.3794422273393306E-2</v>
      </c>
      <c r="X9391" s="2">
        <f ca="1"/>
        <v>26.11722678798461</v>
      </c>
      <c r="AG9391" s="2">
        <f ca="1"/>
        <v>0.56634894159051008</v>
      </c>
      <c r="AH9391" s="2" t="str">
        <f ca="1"/>
        <v>Bad</v>
      </c>
    </row>
    <row r="9392" spans="2:34">
      <c r="B9392" s="2">
        <f ca="1"/>
        <v>0.25271171203197085</v>
      </c>
      <c r="O9392" s="2">
        <f ca="1"/>
        <v>-0.15262775716168883</v>
      </c>
      <c r="X9392" s="2">
        <f ca="1"/>
        <v>36.39884559997239</v>
      </c>
      <c r="AG9392" s="2">
        <f ca="1"/>
        <v>0.55574829052115349</v>
      </c>
      <c r="AH9392" s="2" t="str">
        <f ca="1"/>
        <v>Bad</v>
      </c>
    </row>
    <row r="9393" spans="2:34">
      <c r="B9393" s="2">
        <f ca="1"/>
        <v>0.28470784226356871</v>
      </c>
      <c r="O9393" s="2">
        <f ca="1"/>
        <v>-0.90479372202572694</v>
      </c>
      <c r="X9393" s="2">
        <f ca="1"/>
        <v>55.720996965109322</v>
      </c>
      <c r="AG9393" s="2">
        <f ca="1"/>
        <v>0.94468948113353135</v>
      </c>
      <c r="AH9393" s="2" t="str">
        <f ca="1"/>
        <v>Bad</v>
      </c>
    </row>
    <row r="9394" spans="2:34">
      <c r="B9394" s="2">
        <f ca="1"/>
        <v>0.69702860312658799</v>
      </c>
      <c r="O9394" s="2">
        <f ca="1"/>
        <v>2.3096656671575984</v>
      </c>
      <c r="X9394" s="2">
        <f ca="1"/>
        <v>29.378480778393655</v>
      </c>
      <c r="AG9394" s="2">
        <f ca="1"/>
        <v>0.59693217777882124</v>
      </c>
      <c r="AH9394" s="2" t="str">
        <f ca="1"/>
        <v>Bad</v>
      </c>
    </row>
    <row r="9395" spans="2:34">
      <c r="B9395" s="2">
        <f ca="1"/>
        <v>0.78714874312864813</v>
      </c>
      <c r="O9395" s="2">
        <f ca="1"/>
        <v>1.1978569419247724</v>
      </c>
      <c r="X9395" s="2">
        <f ca="1"/>
        <v>34.675253562585084</v>
      </c>
      <c r="AG9395" s="2">
        <f ca="1"/>
        <v>0.91897176221233212</v>
      </c>
      <c r="AH9395" s="2" t="str">
        <f ca="1"/>
        <v>Bad</v>
      </c>
    </row>
    <row r="9396" spans="2:34">
      <c r="B9396" s="2">
        <f ca="1"/>
        <v>0.32687210829405866</v>
      </c>
      <c r="O9396" s="2">
        <f ca="1"/>
        <v>-0.37810656404435511</v>
      </c>
      <c r="X9396" s="2">
        <f ca="1"/>
        <v>46.544935979453051</v>
      </c>
      <c r="AG9396" s="2">
        <f ca="1"/>
        <v>9.092957937862467E-3</v>
      </c>
      <c r="AH9396" s="2" t="str">
        <f ca="1"/>
        <v>Good</v>
      </c>
    </row>
    <row r="9397" spans="2:34">
      <c r="B9397" s="2">
        <f ca="1"/>
        <v>0.4300550888058392</v>
      </c>
      <c r="O9397" s="2">
        <f ca="1"/>
        <v>1.1911758180368797</v>
      </c>
      <c r="X9397" s="2">
        <f ca="1"/>
        <v>64.037111682212753</v>
      </c>
      <c r="AG9397" s="2">
        <f ca="1"/>
        <v>0.16157494751164481</v>
      </c>
      <c r="AH9397" s="2" t="str">
        <f ca="1"/>
        <v>OK</v>
      </c>
    </row>
    <row r="9398" spans="2:34">
      <c r="B9398" s="2">
        <f ca="1"/>
        <v>0.8356496704283316</v>
      </c>
      <c r="O9398" s="2">
        <f ca="1"/>
        <v>-1.7314747920396809</v>
      </c>
      <c r="X9398" s="2">
        <f ca="1"/>
        <v>16.053440517649751</v>
      </c>
      <c r="AG9398" s="2">
        <f ca="1"/>
        <v>9.3629689707572128E-2</v>
      </c>
      <c r="AH9398" s="2" t="str">
        <f ca="1"/>
        <v>OK</v>
      </c>
    </row>
    <row r="9399" spans="2:34">
      <c r="B9399" s="2">
        <f ca="1"/>
        <v>0.66146186463223144</v>
      </c>
      <c r="O9399" s="2">
        <f ca="1"/>
        <v>0.23685760334691741</v>
      </c>
      <c r="X9399" s="2">
        <f ca="1"/>
        <v>57.96721690482439</v>
      </c>
      <c r="AG9399" s="2">
        <f ca="1"/>
        <v>0.13243833621954937</v>
      </c>
      <c r="AH9399" s="2" t="str">
        <f ca="1"/>
        <v>OK</v>
      </c>
    </row>
    <row r="9400" spans="2:34">
      <c r="B9400" s="2">
        <f ca="1"/>
        <v>0.4109091836437424</v>
      </c>
      <c r="O9400" s="2">
        <f ca="1"/>
        <v>-1.4945647369183794</v>
      </c>
      <c r="X9400" s="2">
        <f ca="1"/>
        <v>32.417612443561346</v>
      </c>
      <c r="AG9400" s="2">
        <f ca="1"/>
        <v>3.5351955592176854E-2</v>
      </c>
      <c r="AH9400" s="2" t="str">
        <f ca="1"/>
        <v>Good</v>
      </c>
    </row>
    <row r="9401" spans="2:34">
      <c r="B9401" s="2">
        <f ca="1"/>
        <v>0.38055568190556088</v>
      </c>
      <c r="O9401" s="2">
        <f ca="1"/>
        <v>-0.81083966369547178</v>
      </c>
      <c r="X9401" s="2">
        <f ca="1"/>
        <v>83.966229046654576</v>
      </c>
      <c r="AG9401" s="2">
        <f ca="1"/>
        <v>0.95789979615981236</v>
      </c>
      <c r="AH9401" s="2" t="str">
        <f ca="1"/>
        <v>Bad</v>
      </c>
    </row>
    <row r="9402" spans="2:34">
      <c r="B9402" s="2">
        <f ca="1"/>
        <v>0.9481365127773993</v>
      </c>
      <c r="O9402" s="2">
        <f ca="1"/>
        <v>1.7897476122001188</v>
      </c>
      <c r="X9402" s="2">
        <f ca="1"/>
        <v>33.460461833893746</v>
      </c>
      <c r="AG9402" s="2">
        <f ca="1"/>
        <v>0.54387023286991965</v>
      </c>
      <c r="AH9402" s="2" t="str">
        <f ca="1"/>
        <v>Bad</v>
      </c>
    </row>
    <row r="9403" spans="2:34">
      <c r="B9403" s="2">
        <f ca="1"/>
        <v>0.53086247127575703</v>
      </c>
      <c r="O9403" s="2">
        <f ca="1"/>
        <v>0.13675601938356233</v>
      </c>
      <c r="X9403" s="2">
        <f ca="1"/>
        <v>45.107357204381273</v>
      </c>
      <c r="AG9403" s="2">
        <f ca="1"/>
        <v>0.14596770907909962</v>
      </c>
      <c r="AH9403" s="2" t="str">
        <f ca="1"/>
        <v>OK</v>
      </c>
    </row>
    <row r="9404" spans="2:34">
      <c r="B9404" s="2">
        <f ca="1"/>
        <v>0.74750302622807707</v>
      </c>
      <c r="O9404" s="2">
        <f ca="1"/>
        <v>-1.066766218077003</v>
      </c>
      <c r="X9404" s="2">
        <f ca="1"/>
        <v>60.943017999881874</v>
      </c>
      <c r="AG9404" s="2">
        <f ca="1"/>
        <v>0.22057227158019144</v>
      </c>
      <c r="AH9404" s="2" t="str">
        <f ca="1"/>
        <v>OK</v>
      </c>
    </row>
    <row r="9405" spans="2:34">
      <c r="B9405" s="2">
        <f ca="1"/>
        <v>7.5108066038526378E-2</v>
      </c>
      <c r="O9405" s="2">
        <f ca="1"/>
        <v>1.7049527754164604</v>
      </c>
      <c r="X9405" s="2">
        <f ca="1"/>
        <v>40.075200705703537</v>
      </c>
      <c r="AG9405" s="2">
        <f ca="1"/>
        <v>0.79771665999202068</v>
      </c>
      <c r="AH9405" s="2" t="str">
        <f ca="1"/>
        <v>Bad</v>
      </c>
    </row>
    <row r="9406" spans="2:34">
      <c r="B9406" s="2">
        <f ca="1"/>
        <v>0.65048007020056553</v>
      </c>
      <c r="O9406" s="2">
        <f ca="1"/>
        <v>1.2915009998447058</v>
      </c>
      <c r="X9406" s="2">
        <f ca="1"/>
        <v>47.442059183970429</v>
      </c>
      <c r="AG9406" s="2">
        <f ca="1"/>
        <v>0.57789198321544055</v>
      </c>
      <c r="AH9406" s="2" t="str">
        <f ca="1"/>
        <v>Bad</v>
      </c>
    </row>
    <row r="9407" spans="2:34">
      <c r="B9407" s="2">
        <f ca="1"/>
        <v>1.0162630841726417E-2</v>
      </c>
      <c r="O9407" s="2">
        <f ca="1"/>
        <v>-2.2685618435120762</v>
      </c>
      <c r="X9407" s="2">
        <f ca="1"/>
        <v>60.628123480987455</v>
      </c>
      <c r="AG9407" s="2">
        <f ca="1"/>
        <v>0.33301663783095514</v>
      </c>
      <c r="AH9407" s="2" t="str">
        <f ca="1"/>
        <v>OK</v>
      </c>
    </row>
    <row r="9408" spans="2:34">
      <c r="B9408" s="2">
        <f ca="1"/>
        <v>0.35798569497803001</v>
      </c>
      <c r="O9408" s="2">
        <f ca="1"/>
        <v>-0.43598892483323742</v>
      </c>
      <c r="X9408" s="2">
        <f ca="1"/>
        <v>52.269946691947517</v>
      </c>
      <c r="AG9408" s="2">
        <f ca="1"/>
        <v>0.4592880044039076</v>
      </c>
      <c r="AH9408" s="2" t="str">
        <f ca="1"/>
        <v>Bad</v>
      </c>
    </row>
    <row r="9409" spans="2:34">
      <c r="B9409" s="2">
        <f ca="1"/>
        <v>0.97365777569319301</v>
      </c>
      <c r="O9409" s="2">
        <f ca="1"/>
        <v>0.41079317930636872</v>
      </c>
      <c r="X9409" s="2">
        <f ca="1"/>
        <v>27.908299449934965</v>
      </c>
      <c r="AG9409" s="2">
        <f ca="1"/>
        <v>0.45691425369988004</v>
      </c>
      <c r="AH9409" s="2" t="str">
        <f ca="1"/>
        <v>Bad</v>
      </c>
    </row>
    <row r="9410" spans="2:34">
      <c r="B9410" s="2">
        <f ca="1"/>
        <v>0.54765762297043308</v>
      </c>
      <c r="O9410" s="2">
        <f ca="1"/>
        <v>1.3389162054960013</v>
      </c>
      <c r="X9410" s="2">
        <f ca="1"/>
        <v>35.744155159342853</v>
      </c>
      <c r="AG9410" s="2">
        <f ca="1"/>
        <v>0.20409014528583036</v>
      </c>
      <c r="AH9410" s="2" t="str">
        <f ca="1"/>
        <v>OK</v>
      </c>
    </row>
    <row r="9411" spans="2:34">
      <c r="B9411" s="2">
        <f ca="1"/>
        <v>0.74848967923317566</v>
      </c>
      <c r="O9411" s="2">
        <f ca="1"/>
        <v>0.98384658511465328</v>
      </c>
      <c r="X9411" s="2">
        <f ca="1"/>
        <v>48.54135372629748</v>
      </c>
      <c r="AG9411" s="2">
        <f ca="1"/>
        <v>0.57144944517406127</v>
      </c>
      <c r="AH9411" s="2" t="str">
        <f ca="1"/>
        <v>Bad</v>
      </c>
    </row>
    <row r="9412" spans="2:34">
      <c r="B9412" s="2">
        <f ca="1"/>
        <v>0.28972009669312615</v>
      </c>
      <c r="O9412" s="2">
        <f ca="1"/>
        <v>0.45782214572948049</v>
      </c>
      <c r="X9412" s="2">
        <f ca="1"/>
        <v>44.663004454796237</v>
      </c>
      <c r="AG9412" s="2">
        <f ca="1"/>
        <v>0.29775206826504119</v>
      </c>
      <c r="AH9412" s="2" t="str">
        <f ca="1"/>
        <v>OK</v>
      </c>
    </row>
    <row r="9413" spans="2:34">
      <c r="B9413" s="2">
        <f ca="1"/>
        <v>1.0212878338796472E-2</v>
      </c>
      <c r="O9413" s="2">
        <f ca="1"/>
        <v>-0.24128897367836918</v>
      </c>
      <c r="X9413" s="2">
        <f ca="1"/>
        <v>48.030815996789407</v>
      </c>
      <c r="AG9413" s="2">
        <f ca="1"/>
        <v>0.84877360658523382</v>
      </c>
      <c r="AH9413" s="2" t="str">
        <f ca="1"/>
        <v>Bad</v>
      </c>
    </row>
    <row r="9414" spans="2:34">
      <c r="B9414" s="2">
        <f ca="1"/>
        <v>1.4312248239641168E-2</v>
      </c>
      <c r="O9414" s="2">
        <f ca="1"/>
        <v>1.4145834307412388</v>
      </c>
      <c r="X9414" s="2">
        <f ca="1"/>
        <v>63.016396693403458</v>
      </c>
      <c r="AG9414" s="2">
        <f ca="1"/>
        <v>0.866092092035744</v>
      </c>
      <c r="AH9414" s="2" t="str">
        <f ca="1"/>
        <v>Bad</v>
      </c>
    </row>
    <row r="9415" spans="2:34">
      <c r="B9415" s="2">
        <f ca="1"/>
        <v>0.25995490107327157</v>
      </c>
      <c r="O9415" s="2">
        <f ca="1"/>
        <v>1.1167338045899868</v>
      </c>
      <c r="X9415" s="2">
        <f ca="1"/>
        <v>47.333790668544509</v>
      </c>
      <c r="AG9415" s="2">
        <f ca="1"/>
        <v>0.74292828686244361</v>
      </c>
      <c r="AH9415" s="2" t="str">
        <f ca="1"/>
        <v>Bad</v>
      </c>
    </row>
    <row r="9416" spans="2:34">
      <c r="B9416" s="2">
        <f ca="1"/>
        <v>0.74068139213764472</v>
      </c>
      <c r="O9416" s="2">
        <f ca="1"/>
        <v>1.2205362444075198</v>
      </c>
      <c r="X9416" s="2">
        <f ca="1"/>
        <v>65.968558747105959</v>
      </c>
      <c r="AG9416" s="2">
        <f ca="1"/>
        <v>0.93480810400976289</v>
      </c>
      <c r="AH9416" s="2" t="str">
        <f ca="1"/>
        <v>Bad</v>
      </c>
    </row>
    <row r="9417" spans="2:34">
      <c r="B9417" s="2">
        <f ca="1"/>
        <v>0.44860791903093933</v>
      </c>
      <c r="O9417" s="2">
        <f ca="1"/>
        <v>0.82441911078020913</v>
      </c>
      <c r="X9417" s="2">
        <f ca="1"/>
        <v>93.486333022320039</v>
      </c>
      <c r="AG9417" s="2">
        <f ca="1"/>
        <v>0.81762618914316887</v>
      </c>
      <c r="AH9417" s="2" t="str">
        <f ca="1"/>
        <v>Bad</v>
      </c>
    </row>
    <row r="9418" spans="2:34">
      <c r="B9418" s="2">
        <f ca="1"/>
        <v>0.53441690280493193</v>
      </c>
      <c r="O9418" s="2">
        <f ca="1"/>
        <v>-7.5514062759485773E-2</v>
      </c>
      <c r="X9418" s="2">
        <f ca="1"/>
        <v>48.699046252340786</v>
      </c>
      <c r="AG9418" s="2">
        <f ca="1"/>
        <v>0.65330826140534692</v>
      </c>
      <c r="AH9418" s="2" t="str">
        <f ca="1"/>
        <v>Bad</v>
      </c>
    </row>
    <row r="9419" spans="2:34">
      <c r="B9419" s="2">
        <f ca="1"/>
        <v>0.76075523946783385</v>
      </c>
      <c r="O9419" s="2">
        <f ca="1"/>
        <v>1.0886384807871874</v>
      </c>
      <c r="X9419" s="2">
        <f ca="1"/>
        <v>51.588806928284249</v>
      </c>
      <c r="AG9419" s="2">
        <f ca="1"/>
        <v>0.89652145354718349</v>
      </c>
      <c r="AH9419" s="2" t="str">
        <f ca="1"/>
        <v>Bad</v>
      </c>
    </row>
    <row r="9420" spans="2:34">
      <c r="B9420" s="2">
        <f ca="1"/>
        <v>0.33696445867321145</v>
      </c>
      <c r="O9420" s="2">
        <f ca="1"/>
        <v>-0.50779241421860177</v>
      </c>
      <c r="X9420" s="2">
        <f ca="1"/>
        <v>63.297459350989087</v>
      </c>
      <c r="AG9420" s="2">
        <f ca="1"/>
        <v>0.26982820140586039</v>
      </c>
      <c r="AH9420" s="2" t="str">
        <f ca="1"/>
        <v>OK</v>
      </c>
    </row>
    <row r="9421" spans="2:34">
      <c r="B9421" s="2">
        <f ca="1"/>
        <v>0.81179340847110559</v>
      </c>
      <c r="O9421" s="2">
        <f ca="1"/>
        <v>-1.861817362041567</v>
      </c>
      <c r="X9421" s="2">
        <f ca="1"/>
        <v>31.263608916807705</v>
      </c>
      <c r="AG9421" s="2">
        <f ca="1"/>
        <v>0.19010477037012863</v>
      </c>
      <c r="AH9421" s="2" t="str">
        <f ca="1"/>
        <v>OK</v>
      </c>
    </row>
    <row r="9422" spans="2:34">
      <c r="B9422" s="2">
        <f ca="1"/>
        <v>0.67352320024311196</v>
      </c>
      <c r="O9422" s="2">
        <f ca="1"/>
        <v>-0.7662656623177716</v>
      </c>
      <c r="X9422" s="2">
        <f ca="1"/>
        <v>29.912271120301956</v>
      </c>
      <c r="AG9422" s="2">
        <f ca="1"/>
        <v>0.18237558625904815</v>
      </c>
      <c r="AH9422" s="2" t="str">
        <f ca="1"/>
        <v>OK</v>
      </c>
    </row>
    <row r="9423" spans="2:34">
      <c r="B9423" s="2">
        <f ca="1"/>
        <v>0.92948458298153125</v>
      </c>
      <c r="O9423" s="2">
        <f ca="1"/>
        <v>0.18772696393739094</v>
      </c>
      <c r="X9423" s="2">
        <f ca="1"/>
        <v>78.430448818843587</v>
      </c>
      <c r="AG9423" s="2">
        <f ca="1"/>
        <v>0.57065821363402103</v>
      </c>
      <c r="AH9423" s="2" t="str">
        <f ca="1"/>
        <v>Bad</v>
      </c>
    </row>
    <row r="9424" spans="2:34">
      <c r="B9424" s="2">
        <f ca="1"/>
        <v>0.52752302609544333</v>
      </c>
      <c r="O9424" s="2">
        <f ca="1"/>
        <v>-1.213013282502118</v>
      </c>
      <c r="X9424" s="2">
        <f ca="1"/>
        <v>52.415473904535503</v>
      </c>
      <c r="AG9424" s="2">
        <f ca="1"/>
        <v>5.0903925089719193E-2</v>
      </c>
      <c r="AH9424" s="2" t="str">
        <f ca="1"/>
        <v>OK</v>
      </c>
    </row>
    <row r="9425" spans="2:34">
      <c r="B9425" s="2">
        <f ca="1"/>
        <v>0.79905742336120733</v>
      </c>
      <c r="O9425" s="2">
        <f ca="1"/>
        <v>0.94239931730387583</v>
      </c>
      <c r="X9425" s="2">
        <f ca="1"/>
        <v>49.031494648056288</v>
      </c>
      <c r="AG9425" s="2">
        <f ca="1"/>
        <v>0.80020099706962045</v>
      </c>
      <c r="AH9425" s="2" t="str">
        <f ca="1"/>
        <v>Bad</v>
      </c>
    </row>
    <row r="9426" spans="2:34">
      <c r="B9426" s="2">
        <f ca="1"/>
        <v>0.57936385340573904</v>
      </c>
      <c r="O9426" s="2">
        <f ca="1"/>
        <v>0.87143791750103361</v>
      </c>
      <c r="X9426" s="2">
        <f ca="1"/>
        <v>87.156566567543962</v>
      </c>
      <c r="AG9426" s="2">
        <f ca="1"/>
        <v>0.17076777985244807</v>
      </c>
      <c r="AH9426" s="2" t="str">
        <f ca="1"/>
        <v>OK</v>
      </c>
    </row>
    <row r="9427" spans="2:34">
      <c r="B9427" s="2">
        <f ca="1"/>
        <v>0.35228424516108681</v>
      </c>
      <c r="O9427" s="2">
        <f ca="1"/>
        <v>9.6930360736147164E-2</v>
      </c>
      <c r="X9427" s="2">
        <f ca="1"/>
        <v>22.809219119394019</v>
      </c>
      <c r="AG9427" s="2">
        <f ca="1"/>
        <v>0.80047336020859761</v>
      </c>
      <c r="AH9427" s="2" t="str">
        <f ca="1"/>
        <v>Bad</v>
      </c>
    </row>
    <row r="9428" spans="2:34">
      <c r="B9428" s="2">
        <f ca="1"/>
        <v>0.8072498002541153</v>
      </c>
      <c r="O9428" s="2">
        <f ca="1"/>
        <v>-0.70028659980633368</v>
      </c>
      <c r="X9428" s="2">
        <f ca="1"/>
        <v>47.593991731451062</v>
      </c>
      <c r="AG9428" s="2">
        <f ca="1"/>
        <v>0.46979407932328821</v>
      </c>
      <c r="AH9428" s="2" t="str">
        <f ca="1"/>
        <v>Bad</v>
      </c>
    </row>
    <row r="9429" spans="2:34">
      <c r="B9429" s="2">
        <f ca="1"/>
        <v>0.68108907513300898</v>
      </c>
      <c r="O9429" s="2">
        <f ca="1"/>
        <v>0.25859035907448125</v>
      </c>
      <c r="X9429" s="2">
        <f ca="1"/>
        <v>33.787342135521556</v>
      </c>
      <c r="AG9429" s="2">
        <f ca="1"/>
        <v>0.40794157294763078</v>
      </c>
      <c r="AH9429" s="2" t="str">
        <f ca="1"/>
        <v>Bad</v>
      </c>
    </row>
    <row r="9430" spans="2:34">
      <c r="B9430" s="2">
        <f ca="1"/>
        <v>0.14498197832816762</v>
      </c>
      <c r="O9430" s="2">
        <f ca="1"/>
        <v>0.9310435036929795</v>
      </c>
      <c r="X9430" s="2">
        <f ca="1"/>
        <v>54.976159370008723</v>
      </c>
      <c r="AG9430" s="2">
        <f ca="1"/>
        <v>1.1590532182045976E-2</v>
      </c>
      <c r="AH9430" s="2" t="str">
        <f ca="1"/>
        <v>Good</v>
      </c>
    </row>
    <row r="9431" spans="2:34">
      <c r="B9431" s="2">
        <f ca="1"/>
        <v>0.13904221703237329</v>
      </c>
      <c r="O9431" s="2">
        <f ca="1"/>
        <v>0.57610841172499316</v>
      </c>
      <c r="X9431" s="2">
        <f ca="1"/>
        <v>43.607969817686161</v>
      </c>
      <c r="AG9431" s="2">
        <f ca="1"/>
        <v>0.66933783490536247</v>
      </c>
      <c r="AH9431" s="2" t="str">
        <f ca="1"/>
        <v>Bad</v>
      </c>
    </row>
    <row r="9432" spans="2:34">
      <c r="B9432" s="2">
        <f ca="1"/>
        <v>0.95807243875323622</v>
      </c>
      <c r="O9432" s="2">
        <f ca="1"/>
        <v>6.5090557544428135E-2</v>
      </c>
      <c r="X9432" s="2">
        <f ca="1"/>
        <v>40.077139347022019</v>
      </c>
      <c r="AG9432" s="2">
        <f ca="1"/>
        <v>0.99834384597274184</v>
      </c>
      <c r="AH9432" s="2" t="str">
        <f ca="1"/>
        <v>Bad</v>
      </c>
    </row>
    <row r="9433" spans="2:34">
      <c r="B9433" s="2">
        <f ca="1"/>
        <v>0.38881780748113615</v>
      </c>
      <c r="O9433" s="2">
        <f ca="1"/>
        <v>1.6605942503988977</v>
      </c>
      <c r="X9433" s="2">
        <f ca="1"/>
        <v>53.325636311638647</v>
      </c>
      <c r="AG9433" s="2">
        <f ca="1"/>
        <v>0.10539083364366331</v>
      </c>
      <c r="AH9433" s="2" t="str">
        <f ca="1"/>
        <v>OK</v>
      </c>
    </row>
    <row r="9434" spans="2:34">
      <c r="B9434" s="2">
        <f ca="1"/>
        <v>0.45864715670322798</v>
      </c>
      <c r="O9434" s="2">
        <f ca="1"/>
        <v>-2.2420223144692519</v>
      </c>
      <c r="X9434" s="2">
        <f ca="1"/>
        <v>71.884794478811941</v>
      </c>
      <c r="AG9434" s="2">
        <f ca="1"/>
        <v>0.382064774339538</v>
      </c>
      <c r="AH9434" s="2" t="str">
        <f ca="1"/>
        <v>OK</v>
      </c>
    </row>
    <row r="9435" spans="2:34">
      <c r="B9435" s="2">
        <f ca="1"/>
        <v>0.36635230642758154</v>
      </c>
      <c r="O9435" s="2">
        <f ca="1"/>
        <v>0.59858134696092169</v>
      </c>
      <c r="X9435" s="2">
        <f ca="1"/>
        <v>45.09093155000761</v>
      </c>
      <c r="AG9435" s="2">
        <f ca="1"/>
        <v>0.36624052465753421</v>
      </c>
      <c r="AH9435" s="2" t="str">
        <f ca="1"/>
        <v>OK</v>
      </c>
    </row>
    <row r="9436" spans="2:34">
      <c r="B9436" s="2">
        <f ca="1"/>
        <v>0.70441465160046368</v>
      </c>
      <c r="O9436" s="2">
        <f ca="1"/>
        <v>-0.60948594417808277</v>
      </c>
      <c r="X9436" s="2">
        <f ca="1"/>
        <v>89.049966468769753</v>
      </c>
      <c r="AG9436" s="2">
        <f ca="1"/>
        <v>0.53469668190576636</v>
      </c>
      <c r="AH9436" s="2" t="str">
        <f ca="1"/>
        <v>Bad</v>
      </c>
    </row>
    <row r="9437" spans="2:34">
      <c r="B9437" s="2">
        <f ca="1"/>
        <v>0.22316535596203502</v>
      </c>
      <c r="O9437" s="2">
        <f ca="1"/>
        <v>0.77436235169043655</v>
      </c>
      <c r="X9437" s="2">
        <f ca="1"/>
        <v>40.60060302836029</v>
      </c>
      <c r="AG9437" s="2">
        <f ca="1"/>
        <v>0.8145561305348783</v>
      </c>
      <c r="AH9437" s="2" t="str">
        <f ca="1"/>
        <v>Bad</v>
      </c>
    </row>
    <row r="9438" spans="2:34">
      <c r="B9438" s="2">
        <f ca="1"/>
        <v>0.81974372750101065</v>
      </c>
      <c r="O9438" s="2">
        <f ca="1"/>
        <v>1.6362916244742749</v>
      </c>
      <c r="X9438" s="2">
        <f ca="1"/>
        <v>28.325678126617312</v>
      </c>
      <c r="AG9438" s="2">
        <f ca="1"/>
        <v>0.69893941047926433</v>
      </c>
      <c r="AH9438" s="2" t="str">
        <f ca="1"/>
        <v>Bad</v>
      </c>
    </row>
    <row r="9439" spans="2:34">
      <c r="B9439" s="2">
        <f ca="1"/>
        <v>0.69026059107347448</v>
      </c>
      <c r="O9439" s="2">
        <f ca="1"/>
        <v>-0.15730131073845491</v>
      </c>
      <c r="X9439" s="2">
        <f ca="1"/>
        <v>32.022004533099661</v>
      </c>
      <c r="AG9439" s="2">
        <f ca="1"/>
        <v>1.0878929231257883E-2</v>
      </c>
      <c r="AH9439" s="2" t="str">
        <f ca="1"/>
        <v>Good</v>
      </c>
    </row>
    <row r="9440" spans="2:34">
      <c r="B9440" s="2">
        <f ca="1"/>
        <v>0.46933770662657559</v>
      </c>
      <c r="O9440" s="2">
        <f ca="1"/>
        <v>-0.20981384104144299</v>
      </c>
      <c r="X9440" s="2">
        <f ca="1"/>
        <v>67.751473925155722</v>
      </c>
      <c r="AG9440" s="2">
        <f ca="1"/>
        <v>0.78122679742295165</v>
      </c>
      <c r="AH9440" s="2" t="str">
        <f ca="1"/>
        <v>Bad</v>
      </c>
    </row>
    <row r="9441" spans="2:34">
      <c r="B9441" s="2">
        <f ca="1"/>
        <v>0.23319401874430046</v>
      </c>
      <c r="O9441" s="2">
        <f ca="1"/>
        <v>1.3837183972558185</v>
      </c>
      <c r="X9441" s="2">
        <f ca="1"/>
        <v>31.115052959845549</v>
      </c>
      <c r="AG9441" s="2">
        <f ca="1"/>
        <v>0.15522896569931799</v>
      </c>
      <c r="AH9441" s="2" t="str">
        <f ca="1"/>
        <v>OK</v>
      </c>
    </row>
    <row r="9442" spans="2:34">
      <c r="B9442" s="2">
        <f ca="1"/>
        <v>0.14720460568048455</v>
      </c>
      <c r="O9442" s="2">
        <f ca="1"/>
        <v>-1.6808862889327025</v>
      </c>
      <c r="X9442" s="2">
        <f ca="1"/>
        <v>28.867170680917035</v>
      </c>
      <c r="AG9442" s="2">
        <f ca="1"/>
        <v>2.487212094598279E-2</v>
      </c>
      <c r="AH9442" s="2" t="str">
        <f ca="1"/>
        <v>Good</v>
      </c>
    </row>
    <row r="9443" spans="2:34">
      <c r="B9443" s="2">
        <f ca="1"/>
        <v>0.1993550848474126</v>
      </c>
      <c r="O9443" s="2">
        <f ca="1"/>
        <v>-0.71479222361485095</v>
      </c>
      <c r="X9443" s="2">
        <f ca="1"/>
        <v>29.825547918252685</v>
      </c>
      <c r="AG9443" s="2">
        <f ca="1"/>
        <v>0.37283949578097597</v>
      </c>
      <c r="AH9443" s="2" t="str">
        <f ca="1"/>
        <v>OK</v>
      </c>
    </row>
    <row r="9444" spans="2:34">
      <c r="B9444" s="2">
        <f ca="1"/>
        <v>0.76246104136868564</v>
      </c>
      <c r="O9444" s="2">
        <f ca="1"/>
        <v>-0.32214811050310366</v>
      </c>
      <c r="X9444" s="2">
        <f ca="1"/>
        <v>54.252351864248567</v>
      </c>
      <c r="AG9444" s="2">
        <f ca="1"/>
        <v>0.22674243085991042</v>
      </c>
      <c r="AH9444" s="2" t="str">
        <f ca="1"/>
        <v>OK</v>
      </c>
    </row>
    <row r="9445" spans="2:34">
      <c r="B9445" s="2">
        <f ca="1"/>
        <v>0.5791576388886488</v>
      </c>
      <c r="O9445" s="2">
        <f ca="1"/>
        <v>-2.135810524159111</v>
      </c>
      <c r="X9445" s="2">
        <f ca="1"/>
        <v>40.237053821577859</v>
      </c>
      <c r="AG9445" s="2">
        <f ca="1"/>
        <v>0.78504582484209062</v>
      </c>
      <c r="AH9445" s="2" t="str">
        <f ca="1"/>
        <v>Bad</v>
      </c>
    </row>
    <row r="9446" spans="2:34">
      <c r="B9446" s="2">
        <f ca="1"/>
        <v>0.21936392998224941</v>
      </c>
      <c r="O9446" s="2">
        <f ca="1"/>
        <v>1.379480931000886</v>
      </c>
      <c r="X9446" s="2">
        <f ca="1"/>
        <v>47.673485956658695</v>
      </c>
      <c r="AG9446" s="2">
        <f ca="1"/>
        <v>0.14167367719958524</v>
      </c>
      <c r="AH9446" s="2" t="str">
        <f ca="1"/>
        <v>OK</v>
      </c>
    </row>
    <row r="9447" spans="2:34">
      <c r="B9447" s="2">
        <f ca="1"/>
        <v>0.38932805689021155</v>
      </c>
      <c r="O9447" s="2">
        <f ca="1"/>
        <v>0.10756599053114414</v>
      </c>
      <c r="X9447" s="2">
        <f ca="1"/>
        <v>75.368391206646365</v>
      </c>
      <c r="AG9447" s="2">
        <f ca="1"/>
        <v>0.14723450500758606</v>
      </c>
      <c r="AH9447" s="2" t="str">
        <f ca="1"/>
        <v>OK</v>
      </c>
    </row>
    <row r="9448" spans="2:34">
      <c r="B9448" s="2">
        <f ca="1"/>
        <v>0.30295384337571041</v>
      </c>
      <c r="O9448" s="2">
        <f ca="1"/>
        <v>-0.82449959473202405</v>
      </c>
      <c r="X9448" s="2">
        <f ca="1"/>
        <v>55.599214507019326</v>
      </c>
      <c r="AG9448" s="2">
        <f ca="1"/>
        <v>0.68887654690554179</v>
      </c>
      <c r="AH9448" s="2" t="str">
        <f ca="1"/>
        <v>Bad</v>
      </c>
    </row>
    <row r="9449" spans="2:34">
      <c r="B9449" s="2">
        <f ca="1"/>
        <v>0.75189239090370519</v>
      </c>
      <c r="O9449" s="2">
        <f ca="1"/>
        <v>-1.8830411676041094</v>
      </c>
      <c r="X9449" s="2">
        <f ca="1"/>
        <v>54.601187365870949</v>
      </c>
      <c r="AG9449" s="2">
        <f ca="1"/>
        <v>0.21729625283402609</v>
      </c>
      <c r="AH9449" s="2" t="str">
        <f ca="1"/>
        <v>OK</v>
      </c>
    </row>
    <row r="9450" spans="2:34">
      <c r="B9450" s="2">
        <f ca="1"/>
        <v>0.21386533694396093</v>
      </c>
      <c r="O9450" s="2">
        <f ca="1"/>
        <v>-8.2187163565937069E-2</v>
      </c>
      <c r="X9450" s="2">
        <f ca="1"/>
        <v>26.246844545959203</v>
      </c>
      <c r="AG9450" s="2">
        <f ca="1"/>
        <v>0.5296897030032317</v>
      </c>
      <c r="AH9450" s="2" t="str">
        <f ca="1"/>
        <v>Bad</v>
      </c>
    </row>
    <row r="9451" spans="2:34">
      <c r="B9451" s="2">
        <f ca="1"/>
        <v>0.17740567840503219</v>
      </c>
      <c r="O9451" s="2">
        <f ca="1"/>
        <v>0.94229639508670071</v>
      </c>
      <c r="X9451" s="2">
        <f ca="1"/>
        <v>68.507134893470905</v>
      </c>
      <c r="AG9451" s="2">
        <f ca="1"/>
        <v>0.73810735574058506</v>
      </c>
      <c r="AH9451" s="2" t="str">
        <f ca="1"/>
        <v>Bad</v>
      </c>
    </row>
    <row r="9452" spans="2:34">
      <c r="B9452" s="2">
        <f ca="1"/>
        <v>0.96449450800843173</v>
      </c>
      <c r="O9452" s="2">
        <f ca="1"/>
        <v>-0.19180224832748247</v>
      </c>
      <c r="X9452" s="2">
        <f ca="1"/>
        <v>76.404188219855328</v>
      </c>
      <c r="AG9452" s="2">
        <f ca="1"/>
        <v>0.47365455656621869</v>
      </c>
      <c r="AH9452" s="2" t="str">
        <f ca="1"/>
        <v>Bad</v>
      </c>
    </row>
    <row r="9453" spans="2:34">
      <c r="B9453" s="2">
        <f ca="1"/>
        <v>0.9963791654495695</v>
      </c>
      <c r="O9453" s="2">
        <f ca="1"/>
        <v>-0.18872447860011865</v>
      </c>
      <c r="X9453" s="2">
        <f ca="1"/>
        <v>46.607631800685965</v>
      </c>
      <c r="AG9453" s="2">
        <f ca="1"/>
        <v>0.30364453473039643</v>
      </c>
      <c r="AH9453" s="2" t="str">
        <f ca="1"/>
        <v>OK</v>
      </c>
    </row>
    <row r="9454" spans="2:34">
      <c r="B9454" s="2">
        <f ca="1"/>
        <v>0.4350982310068825</v>
      </c>
      <c r="O9454" s="2">
        <f ca="1"/>
        <v>-0.41728692276577217</v>
      </c>
      <c r="X9454" s="2">
        <f ca="1"/>
        <v>47.924515601925947</v>
      </c>
      <c r="AG9454" s="2">
        <f ca="1"/>
        <v>0.23949721841480365</v>
      </c>
      <c r="AH9454" s="2" t="str">
        <f ca="1"/>
        <v>OK</v>
      </c>
    </row>
    <row r="9455" spans="2:34">
      <c r="B9455" s="2">
        <f ca="1"/>
        <v>0.45176392857829861</v>
      </c>
      <c r="O9455" s="2">
        <f ca="1"/>
        <v>0.59507574455484102</v>
      </c>
      <c r="X9455" s="2">
        <f ca="1"/>
        <v>49.555427899682307</v>
      </c>
      <c r="AG9455" s="2">
        <f ca="1"/>
        <v>0.93603057544421109</v>
      </c>
      <c r="AH9455" s="2" t="str">
        <f ca="1"/>
        <v>Bad</v>
      </c>
    </row>
    <row r="9456" spans="2:34">
      <c r="B9456" s="2">
        <f ca="1"/>
        <v>0.82938241513551803</v>
      </c>
      <c r="O9456" s="2">
        <f ca="1"/>
        <v>6.3210903981859606E-2</v>
      </c>
      <c r="X9456" s="2">
        <f ca="1"/>
        <v>42.544598006099179</v>
      </c>
      <c r="AG9456" s="2">
        <f ca="1"/>
        <v>0.507605180302378</v>
      </c>
      <c r="AH9456" s="2" t="str">
        <f ca="1"/>
        <v>Bad</v>
      </c>
    </row>
    <row r="9457" spans="2:34">
      <c r="B9457" s="2">
        <f ca="1"/>
        <v>0.2117762927884097</v>
      </c>
      <c r="O9457" s="2">
        <f ca="1"/>
        <v>-0.68355215170631023</v>
      </c>
      <c r="X9457" s="2">
        <f ca="1"/>
        <v>50.319453892144622</v>
      </c>
      <c r="AG9457" s="2">
        <f ca="1"/>
        <v>6.8331434753170495E-3</v>
      </c>
      <c r="AH9457" s="2" t="str">
        <f ca="1"/>
        <v>Good</v>
      </c>
    </row>
    <row r="9458" spans="2:34">
      <c r="B9458" s="2">
        <f ca="1"/>
        <v>0.94545056110875381</v>
      </c>
      <c r="O9458" s="2">
        <f ca="1"/>
        <v>1.711089614095223</v>
      </c>
      <c r="X9458" s="2">
        <f ca="1"/>
        <v>102.91537098055174</v>
      </c>
      <c r="AG9458" s="2">
        <f ca="1"/>
        <v>0.17562014769151402</v>
      </c>
      <c r="AH9458" s="2" t="str">
        <f ca="1"/>
        <v>OK</v>
      </c>
    </row>
    <row r="9459" spans="2:34">
      <c r="B9459" s="2">
        <f ca="1"/>
        <v>0.67218478731338993</v>
      </c>
      <c r="O9459" s="2">
        <f ca="1"/>
        <v>-0.19857548279529111</v>
      </c>
      <c r="X9459" s="2">
        <f ca="1"/>
        <v>38.56815813186715</v>
      </c>
      <c r="AG9459" s="2">
        <f ca="1"/>
        <v>0.73033009635525792</v>
      </c>
      <c r="AH9459" s="2" t="str">
        <f ca="1"/>
        <v>Bad</v>
      </c>
    </row>
    <row r="9460" spans="2:34">
      <c r="B9460" s="2">
        <f ca="1"/>
        <v>0.72703205930898052</v>
      </c>
      <c r="O9460" s="2">
        <f ca="1"/>
        <v>0.33429876158326027</v>
      </c>
      <c r="X9460" s="2">
        <f ca="1"/>
        <v>23.737219066235674</v>
      </c>
      <c r="AG9460" s="2">
        <f ca="1"/>
        <v>5.1325877591108293E-2</v>
      </c>
      <c r="AH9460" s="2" t="str">
        <f ca="1"/>
        <v>OK</v>
      </c>
    </row>
    <row r="9461" spans="2:34">
      <c r="B9461" s="2">
        <f ca="1"/>
        <v>0.70406297756266634</v>
      </c>
      <c r="O9461" s="2">
        <f ca="1"/>
        <v>7.8186242170775785E-2</v>
      </c>
      <c r="X9461" s="2">
        <f ca="1"/>
        <v>58.844890046708862</v>
      </c>
      <c r="AG9461" s="2">
        <f ca="1"/>
        <v>0.21724320269022357</v>
      </c>
      <c r="AH9461" s="2" t="str">
        <f ca="1"/>
        <v>OK</v>
      </c>
    </row>
    <row r="9462" spans="2:34">
      <c r="B9462" s="2">
        <f ca="1"/>
        <v>0.17190299210012583</v>
      </c>
      <c r="O9462" s="2">
        <f ca="1"/>
        <v>1.5112473838594846</v>
      </c>
      <c r="X9462" s="2">
        <f ca="1"/>
        <v>33.830265571551394</v>
      </c>
      <c r="AG9462" s="2">
        <f ca="1"/>
        <v>0.29081146901598243</v>
      </c>
      <c r="AH9462" s="2" t="str">
        <f ca="1"/>
        <v>OK</v>
      </c>
    </row>
    <row r="9463" spans="2:34">
      <c r="B9463" s="2">
        <f ca="1"/>
        <v>0.73082714867019116</v>
      </c>
      <c r="O9463" s="2">
        <f ca="1"/>
        <v>-1.3257412917391727</v>
      </c>
      <c r="X9463" s="2">
        <f ca="1"/>
        <v>41.279088605996776</v>
      </c>
      <c r="AG9463" s="2">
        <f ca="1"/>
        <v>0.56211132521547169</v>
      </c>
      <c r="AH9463" s="2" t="str">
        <f ca="1"/>
        <v>Bad</v>
      </c>
    </row>
    <row r="9464" spans="2:34">
      <c r="B9464" s="2">
        <f ca="1"/>
        <v>0.68791552122120514</v>
      </c>
      <c r="O9464" s="2">
        <f ca="1"/>
        <v>0.42224665967904812</v>
      </c>
      <c r="X9464" s="2">
        <f ca="1"/>
        <v>77.856820305587874</v>
      </c>
      <c r="AG9464" s="2">
        <f ca="1"/>
        <v>0.20798628539301522</v>
      </c>
      <c r="AH9464" s="2" t="str">
        <f ca="1"/>
        <v>OK</v>
      </c>
    </row>
    <row r="9465" spans="2:34">
      <c r="B9465" s="2">
        <f ca="1"/>
        <v>0.19787087345123866</v>
      </c>
      <c r="O9465" s="2">
        <f ca="1"/>
        <v>-0.85380330210526634</v>
      </c>
      <c r="X9465" s="2">
        <f ca="1"/>
        <v>35.246287277261949</v>
      </c>
      <c r="AG9465" s="2">
        <f ca="1"/>
        <v>0.75342536407674054</v>
      </c>
      <c r="AH9465" s="2" t="str">
        <f ca="1"/>
        <v>Bad</v>
      </c>
    </row>
    <row r="9466" spans="2:34">
      <c r="B9466" s="2">
        <f ca="1"/>
        <v>0.98194176798129917</v>
      </c>
      <c r="O9466" s="2">
        <f ca="1"/>
        <v>0.39047022184757496</v>
      </c>
      <c r="X9466" s="2">
        <f ca="1"/>
        <v>60.734313762050746</v>
      </c>
      <c r="AG9466" s="2">
        <f ca="1"/>
        <v>0.32425831868015176</v>
      </c>
      <c r="AH9466" s="2" t="str">
        <f ca="1"/>
        <v>OK</v>
      </c>
    </row>
    <row r="9467" spans="2:34">
      <c r="B9467" s="2">
        <f ca="1"/>
        <v>0.78798325396144375</v>
      </c>
      <c r="O9467" s="2">
        <f ca="1"/>
        <v>-0.15711590587244201</v>
      </c>
      <c r="X9467" s="2">
        <f ca="1"/>
        <v>72.925354204897332</v>
      </c>
      <c r="AG9467" s="2">
        <f ca="1"/>
        <v>0.34735993377256391</v>
      </c>
      <c r="AH9467" s="2" t="str">
        <f ca="1"/>
        <v>OK</v>
      </c>
    </row>
    <row r="9468" spans="2:34">
      <c r="B9468" s="2">
        <f ca="1"/>
        <v>0.21329869241982036</v>
      </c>
      <c r="O9468" s="2">
        <f ca="1"/>
        <v>1.7864635616458897</v>
      </c>
      <c r="X9468" s="2">
        <f ca="1"/>
        <v>39.073267309220007</v>
      </c>
      <c r="AG9468" s="2">
        <f ca="1"/>
        <v>0.9716387722336115</v>
      </c>
      <c r="AH9468" s="2" t="str">
        <f ca="1"/>
        <v>Bad</v>
      </c>
    </row>
    <row r="9469" spans="2:34">
      <c r="B9469" s="2">
        <f ca="1"/>
        <v>0.24793030551528417</v>
      </c>
      <c r="O9469" s="2">
        <f ca="1"/>
        <v>-0.26401554285344148</v>
      </c>
      <c r="X9469" s="2">
        <f ca="1"/>
        <v>32.321049572522419</v>
      </c>
      <c r="AG9469" s="2">
        <f ca="1"/>
        <v>0.16663192697467233</v>
      </c>
      <c r="AH9469" s="2" t="str">
        <f ca="1"/>
        <v>OK</v>
      </c>
    </row>
    <row r="9470" spans="2:34">
      <c r="B9470" s="2">
        <f ca="1"/>
        <v>0.88281251961586338</v>
      </c>
      <c r="O9470" s="2">
        <f ca="1"/>
        <v>0.76913655210618648</v>
      </c>
      <c r="X9470" s="2">
        <f ca="1"/>
        <v>20.539268869364893</v>
      </c>
      <c r="AG9470" s="2">
        <f ca="1"/>
        <v>0.20960635438137687</v>
      </c>
      <c r="AH9470" s="2" t="str">
        <f ca="1"/>
        <v>OK</v>
      </c>
    </row>
    <row r="9471" spans="2:34">
      <c r="B9471" s="2">
        <f ca="1"/>
        <v>0.89317894912657536</v>
      </c>
      <c r="O9471" s="2">
        <f ca="1"/>
        <v>-0.63996399067898879</v>
      </c>
      <c r="X9471" s="2">
        <f ca="1"/>
        <v>23.768308660812423</v>
      </c>
      <c r="AG9471" s="2">
        <f ca="1"/>
        <v>0.10824881999138292</v>
      </c>
      <c r="AH9471" s="2" t="str">
        <f ca="1"/>
        <v>OK</v>
      </c>
    </row>
    <row r="9472" spans="2:34">
      <c r="B9472" s="2">
        <f ca="1"/>
        <v>0.29016376399011401</v>
      </c>
      <c r="O9472" s="2">
        <f ca="1"/>
        <v>1.4153902722762488</v>
      </c>
      <c r="X9472" s="2">
        <f ca="1"/>
        <v>55.265011803776105</v>
      </c>
      <c r="AG9472" s="2">
        <f ca="1"/>
        <v>0.3704230306627363</v>
      </c>
      <c r="AH9472" s="2" t="str">
        <f ca="1"/>
        <v>OK</v>
      </c>
    </row>
    <row r="9473" spans="2:34">
      <c r="B9473" s="2">
        <f ca="1"/>
        <v>0.45353719197904829</v>
      </c>
      <c r="O9473" s="2">
        <f ca="1"/>
        <v>-0.1918200274500631</v>
      </c>
      <c r="X9473" s="2">
        <f ca="1"/>
        <v>40.974310737241062</v>
      </c>
      <c r="AG9473" s="2">
        <f ca="1"/>
        <v>0.14529978128251275</v>
      </c>
      <c r="AH9473" s="2" t="str">
        <f ca="1"/>
        <v>OK</v>
      </c>
    </row>
    <row r="9474" spans="2:34">
      <c r="B9474" s="2">
        <f ca="1"/>
        <v>0.25589995947942001</v>
      </c>
      <c r="O9474" s="2">
        <f ca="1"/>
        <v>1.8772583968285654</v>
      </c>
      <c r="X9474" s="2">
        <f ca="1"/>
        <v>39.709497707318128</v>
      </c>
      <c r="AG9474" s="2">
        <f ca="1"/>
        <v>0.23620026904801095</v>
      </c>
      <c r="AH9474" s="2" t="str">
        <f ca="1"/>
        <v>OK</v>
      </c>
    </row>
    <row r="9475" spans="2:34">
      <c r="B9475" s="2">
        <f ca="1"/>
        <v>0.8314898741607657</v>
      </c>
      <c r="O9475" s="2">
        <f ca="1"/>
        <v>-0.21970104361837223</v>
      </c>
      <c r="X9475" s="2">
        <f ca="1"/>
        <v>54.75900804734637</v>
      </c>
      <c r="AG9475" s="2">
        <f ca="1"/>
        <v>0.41773563551283543</v>
      </c>
      <c r="AH9475" s="2" t="str">
        <f ca="1"/>
        <v>Bad</v>
      </c>
    </row>
    <row r="9476" spans="2:34">
      <c r="B9476" s="2">
        <f ca="1"/>
        <v>0.73534812049593201</v>
      </c>
      <c r="O9476" s="2">
        <f ca="1"/>
        <v>0.86509137620419863</v>
      </c>
      <c r="X9476" s="2">
        <f ca="1"/>
        <v>75.016668907040099</v>
      </c>
      <c r="AG9476" s="2">
        <f ca="1"/>
        <v>0.425406591272667</v>
      </c>
      <c r="AH9476" s="2" t="str">
        <f ca="1"/>
        <v>Bad</v>
      </c>
    </row>
    <row r="9477" spans="2:34">
      <c r="B9477" s="2">
        <f ca="1"/>
        <v>0.49992075240994094</v>
      </c>
      <c r="O9477" s="2">
        <f ca="1"/>
        <v>-1.2241786515856834</v>
      </c>
      <c r="X9477" s="2">
        <f ca="1"/>
        <v>34.114635401374251</v>
      </c>
      <c r="AG9477" s="2">
        <f ca="1"/>
        <v>0.19220970263503578</v>
      </c>
      <c r="AH9477" s="2" t="str">
        <f ca="1"/>
        <v>OK</v>
      </c>
    </row>
    <row r="9478" spans="2:34">
      <c r="B9478" s="2">
        <f ca="1"/>
        <v>0.25097989796889153</v>
      </c>
      <c r="O9478" s="2">
        <f ca="1"/>
        <v>0.66606954261833007</v>
      </c>
      <c r="X9478" s="2">
        <f ca="1"/>
        <v>61.188499146985393</v>
      </c>
      <c r="AG9478" s="2">
        <f ca="1"/>
        <v>0.62151119486509243</v>
      </c>
      <c r="AH9478" s="2" t="str">
        <f ca="1"/>
        <v>Bad</v>
      </c>
    </row>
    <row r="9479" spans="2:34">
      <c r="B9479" s="2">
        <f ca="1"/>
        <v>0.2519618656419691</v>
      </c>
      <c r="O9479" s="2">
        <f ca="1"/>
        <v>-6.5666684908697995E-2</v>
      </c>
      <c r="X9479" s="2">
        <f ca="1"/>
        <v>58.459495399987958</v>
      </c>
      <c r="AG9479" s="2">
        <f ca="1"/>
        <v>0.21269586265114526</v>
      </c>
      <c r="AH9479" s="2" t="str">
        <f ca="1"/>
        <v>OK</v>
      </c>
    </row>
    <row r="9480" spans="2:34">
      <c r="B9480" s="2">
        <f ca="1"/>
        <v>0.42320839982446423</v>
      </c>
      <c r="O9480" s="2">
        <f ca="1"/>
        <v>-0.88590345803357928</v>
      </c>
      <c r="X9480" s="2">
        <f ca="1"/>
        <v>51.309608962957604</v>
      </c>
      <c r="AG9480" s="2">
        <f ca="1"/>
        <v>0.52673634533119773</v>
      </c>
      <c r="AH9480" s="2" t="str">
        <f ca="1"/>
        <v>Bad</v>
      </c>
    </row>
    <row r="9481" spans="2:34">
      <c r="B9481" s="2">
        <f ca="1"/>
        <v>0.24557490252401437</v>
      </c>
      <c r="O9481" s="2">
        <f ca="1"/>
        <v>-8.8100689717817496E-2</v>
      </c>
      <c r="X9481" s="2">
        <f ca="1"/>
        <v>79.804366519318606</v>
      </c>
      <c r="AG9481" s="2">
        <f ca="1"/>
        <v>0.59414235550301719</v>
      </c>
      <c r="AH9481" s="2" t="str">
        <f ca="1"/>
        <v>Bad</v>
      </c>
    </row>
    <row r="9482" spans="2:34">
      <c r="B9482" s="2">
        <f ca="1"/>
        <v>0.46797899121473652</v>
      </c>
      <c r="O9482" s="2">
        <f ca="1"/>
        <v>-0.67326378416554677</v>
      </c>
      <c r="X9482" s="2">
        <f ca="1"/>
        <v>57.181592304601843</v>
      </c>
      <c r="AG9482" s="2">
        <f ca="1"/>
        <v>0.71647267813710558</v>
      </c>
      <c r="AH9482" s="2" t="str">
        <f ca="1"/>
        <v>Bad</v>
      </c>
    </row>
    <row r="9483" spans="2:34">
      <c r="B9483" s="2">
        <f ca="1"/>
        <v>0.20086157765610446</v>
      </c>
      <c r="O9483" s="2">
        <f ca="1"/>
        <v>-1.208047851732154</v>
      </c>
      <c r="X9483" s="2">
        <f ca="1"/>
        <v>61.807721979588727</v>
      </c>
      <c r="AG9483" s="2">
        <f ca="1"/>
        <v>0.54507585783390256</v>
      </c>
      <c r="AH9483" s="2" t="str">
        <f ca="1"/>
        <v>Bad</v>
      </c>
    </row>
    <row r="9484" spans="2:34">
      <c r="B9484" s="2">
        <f ca="1"/>
        <v>0.57683611541206692</v>
      </c>
      <c r="O9484" s="2">
        <f ca="1"/>
        <v>-0.43136522489295975</v>
      </c>
      <c r="X9484" s="2">
        <f ca="1"/>
        <v>51.685563555910761</v>
      </c>
      <c r="AG9484" s="2">
        <f ca="1"/>
        <v>0.86345702937115543</v>
      </c>
      <c r="AH9484" s="2" t="str">
        <f ca="1"/>
        <v>Bad</v>
      </c>
    </row>
    <row r="9485" spans="2:34">
      <c r="B9485" s="2">
        <f ca="1"/>
        <v>0.44788267429469353</v>
      </c>
      <c r="O9485" s="2">
        <f ca="1"/>
        <v>-1.0871340088330745</v>
      </c>
      <c r="X9485" s="2">
        <f ca="1"/>
        <v>22.381295844765994</v>
      </c>
      <c r="AG9485" s="2">
        <f ca="1"/>
        <v>0.81346586242758612</v>
      </c>
      <c r="AH9485" s="2" t="str">
        <f ca="1"/>
        <v>Bad</v>
      </c>
    </row>
    <row r="9486" spans="2:34">
      <c r="B9486" s="2">
        <f ca="1"/>
        <v>0.430163112858029</v>
      </c>
      <c r="O9486" s="2">
        <f ca="1"/>
        <v>0.45059155640964077</v>
      </c>
      <c r="X9486" s="2">
        <f ca="1"/>
        <v>71.464379493837413</v>
      </c>
      <c r="AG9486" s="2">
        <f ca="1"/>
        <v>0.99504199651107306</v>
      </c>
      <c r="AH9486" s="2" t="str">
        <f ca="1"/>
        <v>Bad</v>
      </c>
    </row>
    <row r="9487" spans="2:34">
      <c r="B9487" s="2">
        <f ca="1"/>
        <v>0.91923747103716691</v>
      </c>
      <c r="O9487" s="2">
        <f ca="1"/>
        <v>-0.86934616058638359</v>
      </c>
      <c r="X9487" s="2">
        <f ca="1"/>
        <v>74.562275820242732</v>
      </c>
      <c r="AG9487" s="2">
        <f ca="1"/>
        <v>0.62811182515805508</v>
      </c>
      <c r="AH9487" s="2" t="str">
        <f ca="1"/>
        <v>Bad</v>
      </c>
    </row>
    <row r="9488" spans="2:34">
      <c r="B9488" s="2">
        <f ca="1"/>
        <v>0.45078602376245747</v>
      </c>
      <c r="O9488" s="2">
        <f ca="1"/>
        <v>0.57021291578849831</v>
      </c>
      <c r="X9488" s="2">
        <f ca="1"/>
        <v>54.025974879882824</v>
      </c>
      <c r="AG9488" s="2">
        <f ca="1"/>
        <v>0.43618421697389342</v>
      </c>
      <c r="AH9488" s="2" t="str">
        <f ca="1"/>
        <v>Bad</v>
      </c>
    </row>
    <row r="9489" spans="2:34">
      <c r="B9489" s="2">
        <f ca="1"/>
        <v>0.62868783135335793</v>
      </c>
      <c r="O9489" s="2">
        <f ca="1"/>
        <v>-1.677749716020033</v>
      </c>
      <c r="X9489" s="2">
        <f ca="1"/>
        <v>62.214995667309481</v>
      </c>
      <c r="AG9489" s="2">
        <f ca="1"/>
        <v>0.94301062608713893</v>
      </c>
      <c r="AH9489" s="2" t="str">
        <f ca="1"/>
        <v>Bad</v>
      </c>
    </row>
    <row r="9490" spans="2:34">
      <c r="B9490" s="2">
        <f ca="1"/>
        <v>0.57723163381203868</v>
      </c>
      <c r="O9490" s="2">
        <f ca="1"/>
        <v>0.49438998500646958</v>
      </c>
      <c r="X9490" s="2">
        <f ca="1"/>
        <v>59.509259010367927</v>
      </c>
      <c r="AG9490" s="2">
        <f ca="1"/>
        <v>0.5698768706482642</v>
      </c>
      <c r="AH9490" s="2" t="str">
        <f ca="1"/>
        <v>Bad</v>
      </c>
    </row>
    <row r="9491" spans="2:34">
      <c r="B9491" s="2">
        <f ca="1"/>
        <v>0.97955914568255853</v>
      </c>
      <c r="O9491" s="2">
        <f ca="1"/>
        <v>-0.30722269300665056</v>
      </c>
      <c r="X9491" s="2">
        <f ca="1"/>
        <v>53.201054297562813</v>
      </c>
      <c r="AG9491" s="2">
        <f ca="1"/>
        <v>0.52887941464391131</v>
      </c>
      <c r="AH9491" s="2" t="str">
        <f ca="1"/>
        <v>Bad</v>
      </c>
    </row>
    <row r="9492" spans="2:34">
      <c r="B9492" s="2">
        <f ca="1"/>
        <v>0.12598370019693395</v>
      </c>
      <c r="O9492" s="2">
        <f ca="1"/>
        <v>0.45571594541001925</v>
      </c>
      <c r="X9492" s="2">
        <f ca="1"/>
        <v>38.842333216120302</v>
      </c>
      <c r="AG9492" s="2">
        <f ca="1"/>
        <v>0.11531409520161984</v>
      </c>
      <c r="AH9492" s="2" t="str">
        <f ca="1"/>
        <v>OK</v>
      </c>
    </row>
    <row r="9493" spans="2:34">
      <c r="B9493" s="2">
        <f ca="1"/>
        <v>0.74694449209214175</v>
      </c>
      <c r="O9493" s="2">
        <f ca="1"/>
        <v>-0.8629516884288092</v>
      </c>
      <c r="X9493" s="2">
        <f ca="1"/>
        <v>54.259545858211062</v>
      </c>
      <c r="AG9493" s="2">
        <f ca="1"/>
        <v>0.46034409365675732</v>
      </c>
      <c r="AH9493" s="2" t="str">
        <f ca="1"/>
        <v>Bad</v>
      </c>
    </row>
    <row r="9494" spans="2:34">
      <c r="B9494" s="2">
        <f ca="1"/>
        <v>0.95923316764613831</v>
      </c>
      <c r="O9494" s="2">
        <f ca="1"/>
        <v>0.58671178246352762</v>
      </c>
      <c r="X9494" s="2">
        <f ca="1"/>
        <v>70.630259295298615</v>
      </c>
      <c r="AG9494" s="2">
        <f ca="1"/>
        <v>0.66031751998364641</v>
      </c>
      <c r="AH9494" s="2" t="str">
        <f ca="1"/>
        <v>Bad</v>
      </c>
    </row>
    <row r="9495" spans="2:34">
      <c r="B9495" s="2">
        <f ca="1"/>
        <v>0.40800527864170388</v>
      </c>
      <c r="O9495" s="2">
        <f ca="1"/>
        <v>0.44701742000589834</v>
      </c>
      <c r="X9495" s="2">
        <f ca="1"/>
        <v>85.3662141420522</v>
      </c>
      <c r="AG9495" s="2">
        <f ca="1"/>
        <v>0.23965106194096375</v>
      </c>
      <c r="AH9495" s="2" t="str">
        <f ca="1"/>
        <v>OK</v>
      </c>
    </row>
    <row r="9496" spans="2:34">
      <c r="B9496" s="2">
        <f ca="1"/>
        <v>7.6027932555951194E-2</v>
      </c>
      <c r="O9496" s="2">
        <f ca="1"/>
        <v>0.23494806263521889</v>
      </c>
      <c r="X9496" s="2">
        <f ca="1"/>
        <v>33.731904306110074</v>
      </c>
      <c r="AG9496" s="2">
        <f ca="1"/>
        <v>0.21382685247678235</v>
      </c>
      <c r="AH9496" s="2" t="str">
        <f ca="1"/>
        <v>OK</v>
      </c>
    </row>
    <row r="9497" spans="2:34">
      <c r="B9497" s="2">
        <f ca="1"/>
        <v>0.16361407446741683</v>
      </c>
      <c r="O9497" s="2">
        <f ca="1"/>
        <v>-0.10062322952503649</v>
      </c>
      <c r="X9497" s="2">
        <f ca="1"/>
        <v>35.705201930820721</v>
      </c>
      <c r="AG9497" s="2">
        <f ca="1"/>
        <v>0.17027065013228437</v>
      </c>
      <c r="AH9497" s="2" t="str">
        <f ca="1"/>
        <v>OK</v>
      </c>
    </row>
    <row r="9498" spans="2:34">
      <c r="B9498" s="2">
        <f ca="1"/>
        <v>0.46670851187362095</v>
      </c>
      <c r="O9498" s="2">
        <f ca="1"/>
        <v>0.17222613812467577</v>
      </c>
      <c r="X9498" s="2">
        <f ca="1"/>
        <v>39.912814803500986</v>
      </c>
      <c r="AG9498" s="2">
        <f ca="1"/>
        <v>0.9642356445613296</v>
      </c>
      <c r="AH9498" s="2" t="str">
        <f ca="1"/>
        <v>Bad</v>
      </c>
    </row>
    <row r="9499" spans="2:34">
      <c r="B9499" s="2">
        <f ca="1"/>
        <v>0.87510627192641866</v>
      </c>
      <c r="O9499" s="2">
        <f ca="1"/>
        <v>-0.26230058556871921</v>
      </c>
      <c r="X9499" s="2">
        <f ca="1"/>
        <v>63.848108331668215</v>
      </c>
      <c r="AG9499" s="2">
        <f ca="1"/>
        <v>0.88446105642649409</v>
      </c>
      <c r="AH9499" s="2" t="str">
        <f ca="1"/>
        <v>Bad</v>
      </c>
    </row>
    <row r="9500" spans="2:34">
      <c r="B9500" s="2">
        <f ca="1"/>
        <v>0.73085160845119179</v>
      </c>
      <c r="O9500" s="2">
        <f ca="1"/>
        <v>-1.6196880918767982</v>
      </c>
      <c r="X9500" s="2">
        <f ca="1"/>
        <v>44.236378977133398</v>
      </c>
      <c r="AG9500" s="2">
        <f ca="1"/>
        <v>0.51702378310138886</v>
      </c>
      <c r="AH9500" s="2" t="str">
        <f ca="1"/>
        <v>Bad</v>
      </c>
    </row>
    <row r="9501" spans="2:34">
      <c r="B9501" s="2">
        <f ca="1"/>
        <v>0.14376526628087638</v>
      </c>
      <c r="O9501" s="2">
        <f ca="1"/>
        <v>-0.4897699428375748</v>
      </c>
      <c r="X9501" s="2">
        <f ca="1"/>
        <v>52.435478604338819</v>
      </c>
      <c r="AG9501" s="2">
        <f ca="1"/>
        <v>0.15948819920530855</v>
      </c>
      <c r="AH9501" s="2" t="str">
        <f ca="1"/>
        <v>OK</v>
      </c>
    </row>
    <row r="9502" spans="2:34">
      <c r="B9502" s="2">
        <f ca="1"/>
        <v>0.98837263122352725</v>
      </c>
      <c r="O9502" s="2">
        <f ca="1"/>
        <v>-0.19067666063116406</v>
      </c>
      <c r="X9502" s="2">
        <f ca="1"/>
        <v>31.083219241364837</v>
      </c>
      <c r="AG9502" s="2">
        <f ca="1"/>
        <v>0.34982894918583551</v>
      </c>
      <c r="AH9502" s="2" t="str">
        <f ca="1"/>
        <v>OK</v>
      </c>
    </row>
    <row r="9503" spans="2:34">
      <c r="B9503" s="2">
        <f ca="1"/>
        <v>0.11530002515934612</v>
      </c>
      <c r="O9503" s="2">
        <f ca="1"/>
        <v>-0.37347174268396732</v>
      </c>
      <c r="X9503" s="2">
        <f ca="1"/>
        <v>42.800103360279998</v>
      </c>
      <c r="AG9503" s="2">
        <f ca="1"/>
        <v>0.8676436669887444</v>
      </c>
      <c r="AH9503" s="2" t="str">
        <f ca="1"/>
        <v>Bad</v>
      </c>
    </row>
    <row r="9504" spans="2:34">
      <c r="B9504" s="2">
        <f ca="1"/>
        <v>0.54694671923177074</v>
      </c>
      <c r="O9504" s="2">
        <f ca="1"/>
        <v>-2.5618580305024907</v>
      </c>
      <c r="X9504" s="2">
        <f ca="1"/>
        <v>62.247730601304269</v>
      </c>
      <c r="AG9504" s="2">
        <f ca="1"/>
        <v>0.99694029397430217</v>
      </c>
      <c r="AH9504" s="2" t="str">
        <f ca="1"/>
        <v>Bad</v>
      </c>
    </row>
    <row r="9505" spans="2:34">
      <c r="B9505" s="2">
        <f ca="1"/>
        <v>0.8953601020791484</v>
      </c>
      <c r="O9505" s="2">
        <f ca="1"/>
        <v>-0.86555885124675813</v>
      </c>
      <c r="X9505" s="2">
        <f ca="1"/>
        <v>62.423396227835084</v>
      </c>
      <c r="AG9505" s="2">
        <f ca="1"/>
        <v>0.38596861824160578</v>
      </c>
      <c r="AH9505" s="2" t="str">
        <f ca="1"/>
        <v>OK</v>
      </c>
    </row>
    <row r="9506" spans="2:34">
      <c r="B9506" s="2">
        <f ca="1"/>
        <v>0.72909841060751668</v>
      </c>
      <c r="O9506" s="2">
        <f ca="1"/>
        <v>-0.34105209056255847</v>
      </c>
      <c r="X9506" s="2">
        <f ca="1"/>
        <v>52.998026721712428</v>
      </c>
      <c r="AG9506" s="2">
        <f ca="1"/>
        <v>2.7490712060145972E-2</v>
      </c>
      <c r="AH9506" s="2" t="str">
        <f ca="1"/>
        <v>Good</v>
      </c>
    </row>
    <row r="9507" spans="2:34">
      <c r="B9507" s="2">
        <f ca="1"/>
        <v>0.33155670969336781</v>
      </c>
      <c r="O9507" s="2">
        <f ca="1"/>
        <v>-0.21017683346805599</v>
      </c>
      <c r="X9507" s="2">
        <f ca="1"/>
        <v>79.062330455834086</v>
      </c>
      <c r="AG9507" s="2">
        <f ca="1"/>
        <v>0.59710404129106487</v>
      </c>
      <c r="AH9507" s="2" t="str">
        <f ca="1"/>
        <v>Bad</v>
      </c>
    </row>
    <row r="9508" spans="2:34">
      <c r="B9508" s="2">
        <f ca="1"/>
        <v>0.40647108579554714</v>
      </c>
      <c r="O9508" s="2">
        <f ca="1"/>
        <v>-0.21508833814703454</v>
      </c>
      <c r="X9508" s="2">
        <f ca="1"/>
        <v>33.703688552130615</v>
      </c>
      <c r="AG9508" s="2">
        <f ca="1"/>
        <v>0.34536718540311329</v>
      </c>
      <c r="AH9508" s="2" t="str">
        <f ca="1"/>
        <v>OK</v>
      </c>
    </row>
    <row r="9509" spans="2:34">
      <c r="B9509" s="2">
        <f ca="1"/>
        <v>0.13464146895120344</v>
      </c>
      <c r="O9509" s="2">
        <f ca="1"/>
        <v>-0.13629137577755074</v>
      </c>
      <c r="X9509" s="2">
        <f ca="1"/>
        <v>81.986353645900437</v>
      </c>
      <c r="AG9509" s="2">
        <f ca="1"/>
        <v>0.16842927479083447</v>
      </c>
      <c r="AH9509" s="2" t="str">
        <f ca="1"/>
        <v>OK</v>
      </c>
    </row>
    <row r="9510" spans="2:34">
      <c r="B9510" s="2">
        <f ca="1"/>
        <v>0.3612371578509237</v>
      </c>
      <c r="O9510" s="2">
        <f ca="1"/>
        <v>2.7853209791218991</v>
      </c>
      <c r="X9510" s="2">
        <f ca="1"/>
        <v>77.343370062050724</v>
      </c>
      <c r="AG9510" s="2">
        <f ca="1"/>
        <v>2.8714851808600006E-3</v>
      </c>
      <c r="AH9510" s="2" t="str">
        <f ca="1"/>
        <v>Good</v>
      </c>
    </row>
    <row r="9511" spans="2:34">
      <c r="B9511" s="2">
        <f ca="1"/>
        <v>0.89850195012921708</v>
      </c>
      <c r="O9511" s="2">
        <f ca="1"/>
        <v>-0.24177509144754888</v>
      </c>
      <c r="X9511" s="2">
        <f ca="1"/>
        <v>85.304104779075374</v>
      </c>
      <c r="AG9511" s="2">
        <f ca="1"/>
        <v>0.1698292270788837</v>
      </c>
      <c r="AH9511" s="2" t="str">
        <f ca="1"/>
        <v>OK</v>
      </c>
    </row>
    <row r="9512" spans="2:34">
      <c r="B9512" s="2">
        <f ca="1"/>
        <v>0.19150185332076042</v>
      </c>
      <c r="O9512" s="2">
        <f ca="1"/>
        <v>2.154631623250939</v>
      </c>
      <c r="X9512" s="2">
        <f ca="1"/>
        <v>45.217525254244897</v>
      </c>
      <c r="AG9512" s="2">
        <f ca="1"/>
        <v>0.70173848987523013</v>
      </c>
      <c r="AH9512" s="2" t="str">
        <f ca="1"/>
        <v>Bad</v>
      </c>
    </row>
    <row r="9513" spans="2:34">
      <c r="B9513" s="2">
        <f ca="1"/>
        <v>0.62195609006854746</v>
      </c>
      <c r="O9513" s="2">
        <f ca="1"/>
        <v>-0.24861643149192145</v>
      </c>
      <c r="X9513" s="2">
        <f ca="1"/>
        <v>56.614118941820479</v>
      </c>
      <c r="AG9513" s="2">
        <f ca="1"/>
        <v>0.22763193381727054</v>
      </c>
      <c r="AH9513" s="2" t="str">
        <f ca="1"/>
        <v>OK</v>
      </c>
    </row>
    <row r="9514" spans="2:34">
      <c r="B9514" s="2">
        <f ca="1"/>
        <v>0.27504934270313997</v>
      </c>
      <c r="O9514" s="2">
        <f ca="1"/>
        <v>-0.40858677215729317</v>
      </c>
      <c r="X9514" s="2">
        <f ca="1"/>
        <v>51.076637250585257</v>
      </c>
      <c r="AG9514" s="2">
        <f ca="1"/>
        <v>0.50714719537199437</v>
      </c>
      <c r="AH9514" s="2" t="str">
        <f ca="1"/>
        <v>Bad</v>
      </c>
    </row>
    <row r="9515" spans="2:34">
      <c r="B9515" s="2">
        <f ca="1"/>
        <v>0.42410485686634192</v>
      </c>
      <c r="O9515" s="2">
        <f ca="1"/>
        <v>2.2338055220645132</v>
      </c>
      <c r="X9515" s="2">
        <f ca="1"/>
        <v>53.633542856066789</v>
      </c>
      <c r="AG9515" s="2">
        <f ca="1"/>
        <v>0.13825893516094556</v>
      </c>
      <c r="AH9515" s="2" t="str">
        <f ca="1"/>
        <v>OK</v>
      </c>
    </row>
    <row r="9516" spans="2:34">
      <c r="B9516" s="2">
        <f ca="1"/>
        <v>0.77033399083258969</v>
      </c>
      <c r="O9516" s="2">
        <f ca="1"/>
        <v>-0.68544289712958439</v>
      </c>
      <c r="X9516" s="2">
        <f ca="1"/>
        <v>41.398986666299244</v>
      </c>
      <c r="AG9516" s="2">
        <f ca="1"/>
        <v>6.3352398829906509E-2</v>
      </c>
      <c r="AH9516" s="2" t="str">
        <f ca="1"/>
        <v>OK</v>
      </c>
    </row>
    <row r="9517" spans="2:34">
      <c r="B9517" s="2">
        <f ca="1"/>
        <v>0.74862832354185915</v>
      </c>
      <c r="O9517" s="2">
        <f ca="1"/>
        <v>-1.4726217632535965</v>
      </c>
      <c r="X9517" s="2">
        <f ca="1"/>
        <v>22.614438886978732</v>
      </c>
      <c r="AG9517" s="2">
        <f ca="1"/>
        <v>0.40902442314663934</v>
      </c>
      <c r="AH9517" s="2" t="str">
        <f ca="1"/>
        <v>Bad</v>
      </c>
    </row>
    <row r="9518" spans="2:34">
      <c r="B9518" s="2">
        <f ca="1"/>
        <v>0.78848411176127264</v>
      </c>
      <c r="O9518" s="2">
        <f ca="1"/>
        <v>0.14222622989819994</v>
      </c>
      <c r="X9518" s="2">
        <f ca="1"/>
        <v>62.084659833293642</v>
      </c>
      <c r="AG9518" s="2">
        <f ca="1"/>
        <v>0.82766489759430462</v>
      </c>
      <c r="AH9518" s="2" t="str">
        <f ca="1"/>
        <v>Bad</v>
      </c>
    </row>
    <row r="9519" spans="2:34">
      <c r="B9519" s="2">
        <f ca="1"/>
        <v>0.30323387562749682</v>
      </c>
      <c r="O9519" s="2">
        <f ca="1"/>
        <v>-1.8136574844779851</v>
      </c>
      <c r="X9519" s="2">
        <f ca="1"/>
        <v>37.674585006499463</v>
      </c>
      <c r="AG9519" s="2">
        <f ca="1"/>
        <v>0.6448748528588033</v>
      </c>
      <c r="AH9519" s="2" t="str">
        <f ca="1"/>
        <v>Bad</v>
      </c>
    </row>
    <row r="9520" spans="2:34">
      <c r="B9520" s="2">
        <f ca="1"/>
        <v>0.65243349602344369</v>
      </c>
      <c r="O9520" s="2">
        <f ca="1"/>
        <v>0.44543531157705091</v>
      </c>
      <c r="X9520" s="2">
        <f ca="1"/>
        <v>55.370545483553499</v>
      </c>
      <c r="AG9520" s="2">
        <f ca="1"/>
        <v>0.36713186765341566</v>
      </c>
      <c r="AH9520" s="2" t="str">
        <f ca="1"/>
        <v>OK</v>
      </c>
    </row>
    <row r="9521" spans="2:34">
      <c r="B9521" s="2">
        <f ca="1"/>
        <v>0.36984468796080749</v>
      </c>
      <c r="O9521" s="2">
        <f ca="1"/>
        <v>-0.74320137454965118</v>
      </c>
      <c r="X9521" s="2">
        <f ca="1"/>
        <v>26.913489776616832</v>
      </c>
      <c r="AG9521" s="2">
        <f ca="1"/>
        <v>0.90218748405200322</v>
      </c>
      <c r="AH9521" s="2" t="str">
        <f ca="1"/>
        <v>Bad</v>
      </c>
    </row>
    <row r="9522" spans="2:34">
      <c r="B9522" s="2">
        <f ca="1"/>
        <v>0.16126027064595716</v>
      </c>
      <c r="O9522" s="2">
        <f ca="1"/>
        <v>2.0930043799384035</v>
      </c>
      <c r="X9522" s="2">
        <f ca="1"/>
        <v>56.11427697634003</v>
      </c>
      <c r="AG9522" s="2">
        <f ca="1"/>
        <v>0.4615082163976203</v>
      </c>
      <c r="AH9522" s="2" t="str">
        <f ca="1"/>
        <v>Bad</v>
      </c>
    </row>
    <row r="9523" spans="2:34">
      <c r="B9523" s="2">
        <f ca="1"/>
        <v>0.19868129056948547</v>
      </c>
      <c r="O9523" s="2">
        <f ca="1"/>
        <v>-0.53505583967779724</v>
      </c>
      <c r="X9523" s="2">
        <f ca="1"/>
        <v>46.764487621395276</v>
      </c>
      <c r="AG9523" s="2">
        <f ca="1"/>
        <v>0.29646914293538473</v>
      </c>
      <c r="AH9523" s="2" t="str">
        <f ca="1"/>
        <v>OK</v>
      </c>
    </row>
    <row r="9524" spans="2:34">
      <c r="B9524" s="2">
        <f ca="1"/>
        <v>0.49454837435280696</v>
      </c>
      <c r="O9524" s="2">
        <f ca="1"/>
        <v>-1.0683033832006601</v>
      </c>
      <c r="X9524" s="2">
        <f ca="1"/>
        <v>53.142175019650246</v>
      </c>
      <c r="AG9524" s="2">
        <f ca="1"/>
        <v>9.9935990171413192E-2</v>
      </c>
      <c r="AH9524" s="2" t="str">
        <f ca="1"/>
        <v>OK</v>
      </c>
    </row>
    <row r="9525" spans="2:34">
      <c r="B9525" s="2">
        <f ca="1"/>
        <v>0.51317339171431575</v>
      </c>
      <c r="O9525" s="2">
        <f ca="1"/>
        <v>-0.62739467265399851</v>
      </c>
      <c r="X9525" s="2">
        <f ca="1"/>
        <v>40.18116386350583</v>
      </c>
      <c r="AG9525" s="2">
        <f ca="1"/>
        <v>0.15255212230076776</v>
      </c>
      <c r="AH9525" s="2" t="str">
        <f ca="1"/>
        <v>OK</v>
      </c>
    </row>
    <row r="9526" spans="2:34">
      <c r="B9526" s="2">
        <f ca="1"/>
        <v>0.41979306707217767</v>
      </c>
      <c r="O9526" s="2">
        <f ca="1"/>
        <v>1.652794199406135</v>
      </c>
      <c r="X9526" s="2">
        <f ca="1"/>
        <v>67.408238131798413</v>
      </c>
      <c r="AG9526" s="2">
        <f ca="1"/>
        <v>0.58431401866996757</v>
      </c>
      <c r="AH9526" s="2" t="str">
        <f ca="1"/>
        <v>Bad</v>
      </c>
    </row>
    <row r="9527" spans="2:34">
      <c r="B9527" s="2">
        <f ca="1"/>
        <v>0.60869124043919398</v>
      </c>
      <c r="O9527" s="2">
        <f ca="1"/>
        <v>4.0432357446261093E-2</v>
      </c>
      <c r="X9527" s="2">
        <f ca="1"/>
        <v>47.93849429935635</v>
      </c>
      <c r="AG9527" s="2">
        <f ca="1"/>
        <v>0.2763499839600001</v>
      </c>
      <c r="AH9527" s="2" t="str">
        <f ca="1"/>
        <v>OK</v>
      </c>
    </row>
    <row r="9528" spans="2:34">
      <c r="B9528" s="2">
        <f ca="1"/>
        <v>0.87113431379600925</v>
      </c>
      <c r="O9528" s="2">
        <f ca="1"/>
        <v>0.60839064607173465</v>
      </c>
      <c r="X9528" s="2">
        <f ca="1"/>
        <v>60.138671684065592</v>
      </c>
      <c r="AG9528" s="2">
        <f ca="1"/>
        <v>0.85185975527821123</v>
      </c>
      <c r="AH9528" s="2" t="str">
        <f ca="1"/>
        <v>Bad</v>
      </c>
    </row>
    <row r="9529" spans="2:34">
      <c r="B9529" s="2">
        <f ca="1"/>
        <v>0.76043896474100414</v>
      </c>
      <c r="O9529" s="2">
        <f ca="1"/>
        <v>-0.73988283281490574</v>
      </c>
      <c r="X9529" s="2">
        <f ca="1"/>
        <v>40.221704899007307</v>
      </c>
      <c r="AG9529" s="2">
        <f ca="1"/>
        <v>3.2988228100374606E-3</v>
      </c>
      <c r="AH9529" s="2" t="str">
        <f ca="1"/>
        <v>Good</v>
      </c>
    </row>
    <row r="9530" spans="2:34">
      <c r="B9530" s="2">
        <f ca="1"/>
        <v>0.60206245883251586</v>
      </c>
      <c r="O9530" s="2">
        <f ca="1"/>
        <v>-0.63242051447402303</v>
      </c>
      <c r="X9530" s="2">
        <f ca="1"/>
        <v>34.167378292719789</v>
      </c>
      <c r="AG9530" s="2">
        <f ca="1"/>
        <v>0.37751104382094214</v>
      </c>
      <c r="AH9530" s="2" t="str">
        <f ca="1"/>
        <v>OK</v>
      </c>
    </row>
    <row r="9531" spans="2:34">
      <c r="B9531" s="2">
        <f ca="1"/>
        <v>0.60700873744314321</v>
      </c>
      <c r="O9531" s="2">
        <f ca="1"/>
        <v>3.7400705099989606E-2</v>
      </c>
      <c r="X9531" s="2">
        <f ca="1"/>
        <v>25.30262318825152</v>
      </c>
      <c r="AG9531" s="2">
        <f ca="1"/>
        <v>9.8087119390086963E-2</v>
      </c>
      <c r="AH9531" s="2" t="str">
        <f ca="1"/>
        <v>OK</v>
      </c>
    </row>
    <row r="9532" spans="2:34">
      <c r="B9532" s="2">
        <f ca="1"/>
        <v>0.77713850710609322</v>
      </c>
      <c r="O9532" s="2">
        <f ca="1"/>
        <v>-0.97175888145413025</v>
      </c>
      <c r="X9532" s="2">
        <f ca="1"/>
        <v>58.087703500967926</v>
      </c>
      <c r="AG9532" s="2">
        <f ca="1"/>
        <v>8.6806961086828505E-2</v>
      </c>
      <c r="AH9532" s="2" t="str">
        <f ca="1"/>
        <v>OK</v>
      </c>
    </row>
    <row r="9533" spans="2:34">
      <c r="B9533" s="2">
        <f ca="1"/>
        <v>0.72052425978341561</v>
      </c>
      <c r="O9533" s="2">
        <f ca="1"/>
        <v>1.4721526332284869</v>
      </c>
      <c r="X9533" s="2">
        <f ca="1"/>
        <v>87.825076617031229</v>
      </c>
      <c r="AG9533" s="2">
        <f ca="1"/>
        <v>0.41076971834950804</v>
      </c>
      <c r="AH9533" s="2" t="str">
        <f ca="1"/>
        <v>Bad</v>
      </c>
    </row>
    <row r="9534" spans="2:34">
      <c r="B9534" s="2">
        <f ca="1"/>
        <v>2.9685785350976879E-3</v>
      </c>
      <c r="O9534" s="2">
        <f ca="1"/>
        <v>-1.1217312292666255</v>
      </c>
      <c r="X9534" s="2">
        <f ca="1"/>
        <v>52.089017438571183</v>
      </c>
      <c r="AG9534" s="2">
        <f ca="1"/>
        <v>0.92335401753914392</v>
      </c>
      <c r="AH9534" s="2" t="str">
        <f ca="1"/>
        <v>Bad</v>
      </c>
    </row>
    <row r="9535" spans="2:34">
      <c r="B9535" s="2">
        <f ca="1"/>
        <v>0.58567381524016726</v>
      </c>
      <c r="O9535" s="2">
        <f ca="1"/>
        <v>-1.7106911650407031</v>
      </c>
      <c r="X9535" s="2">
        <f ca="1"/>
        <v>40.375851936932598</v>
      </c>
      <c r="AG9535" s="2">
        <f ca="1"/>
        <v>0.91457225986072777</v>
      </c>
      <c r="AH9535" s="2" t="str">
        <f ca="1"/>
        <v>Bad</v>
      </c>
    </row>
    <row r="9536" spans="2:34">
      <c r="B9536" s="2">
        <f ca="1"/>
        <v>0.21428145767235884</v>
      </c>
      <c r="O9536" s="2">
        <f ca="1"/>
        <v>-0.50305893106906907</v>
      </c>
      <c r="X9536" s="2">
        <f ca="1"/>
        <v>56.791110153695399</v>
      </c>
      <c r="AG9536" s="2">
        <f ca="1"/>
        <v>0.82749944299019029</v>
      </c>
      <c r="AH9536" s="2" t="str">
        <f ca="1"/>
        <v>Bad</v>
      </c>
    </row>
    <row r="9537" spans="2:34">
      <c r="B9537" s="2">
        <f ca="1"/>
        <v>0.26279254806013808</v>
      </c>
      <c r="O9537" s="2">
        <f ca="1"/>
        <v>2.8583110194006291</v>
      </c>
      <c r="X9537" s="2">
        <f ca="1"/>
        <v>53.563280953357612</v>
      </c>
      <c r="AG9537" s="2">
        <f ca="1"/>
        <v>0.15058175856293232</v>
      </c>
      <c r="AH9537" s="2" t="str">
        <f ca="1"/>
        <v>OK</v>
      </c>
    </row>
    <row r="9538" spans="2:34">
      <c r="B9538" s="2">
        <f ca="1"/>
        <v>7.4113911479178451E-2</v>
      </c>
      <c r="O9538" s="2">
        <f ca="1"/>
        <v>-1.382278570679462</v>
      </c>
      <c r="X9538" s="2">
        <f ca="1"/>
        <v>34.790456527786567</v>
      </c>
      <c r="AG9538" s="2">
        <f ca="1"/>
        <v>0.70283435610732248</v>
      </c>
      <c r="AH9538" s="2" t="str">
        <f ca="1"/>
        <v>Bad</v>
      </c>
    </row>
    <row r="9539" spans="2:34">
      <c r="B9539" s="2">
        <f ca="1"/>
        <v>0.45885155558313651</v>
      </c>
      <c r="O9539" s="2">
        <f ca="1"/>
        <v>-1.1914945945708997</v>
      </c>
      <c r="X9539" s="2">
        <f ca="1"/>
        <v>59.879753162063025</v>
      </c>
      <c r="AG9539" s="2">
        <f ca="1"/>
        <v>0.33039702562473927</v>
      </c>
      <c r="AH9539" s="2" t="str">
        <f ca="1"/>
        <v>OK</v>
      </c>
    </row>
    <row r="9540" spans="2:34">
      <c r="B9540" s="2">
        <f ca="1"/>
        <v>0.81824509099710996</v>
      </c>
      <c r="O9540" s="2">
        <f ca="1"/>
        <v>0.74082199453911757</v>
      </c>
      <c r="X9540" s="2">
        <f ca="1"/>
        <v>33.501825818380901</v>
      </c>
      <c r="AG9540" s="2">
        <f ca="1"/>
        <v>0.5259413842157652</v>
      </c>
      <c r="AH9540" s="2" t="str">
        <f ca="1"/>
        <v>Bad</v>
      </c>
    </row>
    <row r="9541" spans="2:34">
      <c r="B9541" s="2">
        <f ca="1"/>
        <v>0.85393888299188547</v>
      </c>
      <c r="O9541" s="2">
        <f ca="1"/>
        <v>0.87378781885198775</v>
      </c>
      <c r="X9541" s="2">
        <f ca="1"/>
        <v>64.657158356855092</v>
      </c>
      <c r="AG9541" s="2">
        <f ca="1"/>
        <v>0.97824846510433194</v>
      </c>
      <c r="AH9541" s="2" t="str">
        <f ca="1"/>
        <v>Bad</v>
      </c>
    </row>
    <row r="9542" spans="2:34">
      <c r="B9542" s="2">
        <f ca="1"/>
        <v>0.36319617194251785</v>
      </c>
      <c r="O9542" s="2">
        <f ca="1"/>
        <v>0.82839599400772357</v>
      </c>
      <c r="X9542" s="2">
        <f ca="1"/>
        <v>79.776193824701181</v>
      </c>
      <c r="AG9542" s="2">
        <f ca="1"/>
        <v>0.7646092232205135</v>
      </c>
      <c r="AH9542" s="2" t="str">
        <f ca="1"/>
        <v>Bad</v>
      </c>
    </row>
    <row r="9543" spans="2:34">
      <c r="B9543" s="2">
        <f ca="1"/>
        <v>0.7524261606769862</v>
      </c>
      <c r="O9543" s="2">
        <f ca="1"/>
        <v>-0.10984005783619022</v>
      </c>
      <c r="X9543" s="2">
        <f ca="1"/>
        <v>31.371625511371999</v>
      </c>
      <c r="AG9543" s="2">
        <f ca="1"/>
        <v>0.47466129703336568</v>
      </c>
      <c r="AH9543" s="2" t="str">
        <f ca="1"/>
        <v>Bad</v>
      </c>
    </row>
    <row r="9544" spans="2:34">
      <c r="B9544" s="2">
        <f ca="1"/>
        <v>0.60844452709567998</v>
      </c>
      <c r="O9544" s="2">
        <f ca="1"/>
        <v>0.71194393496619202</v>
      </c>
      <c r="X9544" s="2">
        <f ca="1"/>
        <v>48.924796836001896</v>
      </c>
      <c r="AG9544" s="2">
        <f ca="1"/>
        <v>0.3734168424054789</v>
      </c>
      <c r="AH9544" s="2" t="str">
        <f ca="1"/>
        <v>OK</v>
      </c>
    </row>
    <row r="9545" spans="2:34">
      <c r="B9545" s="2">
        <f ca="1"/>
        <v>0.52592818236976879</v>
      </c>
      <c r="O9545" s="2">
        <f ca="1"/>
        <v>1.4573136463731398</v>
      </c>
      <c r="X9545" s="2">
        <f ca="1"/>
        <v>62.371008851711792</v>
      </c>
      <c r="AG9545" s="2">
        <f ca="1"/>
        <v>0.91263190142067696</v>
      </c>
      <c r="AH9545" s="2" t="str">
        <f ca="1"/>
        <v>Bad</v>
      </c>
    </row>
    <row r="9546" spans="2:34">
      <c r="B9546" s="2">
        <f ca="1"/>
        <v>8.7340758086157155E-2</v>
      </c>
      <c r="O9546" s="2">
        <f ca="1"/>
        <v>-0.49981828484206409</v>
      </c>
      <c r="X9546" s="2">
        <f ca="1"/>
        <v>72.284279935958153</v>
      </c>
      <c r="AG9546" s="2">
        <f ca="1"/>
        <v>0.77377059271318638</v>
      </c>
      <c r="AH9546" s="2" t="str">
        <f ca="1"/>
        <v>Bad</v>
      </c>
    </row>
    <row r="9547" spans="2:34">
      <c r="B9547" s="2">
        <f ca="1"/>
        <v>0.81227277513004448</v>
      </c>
      <c r="O9547" s="2">
        <f ca="1"/>
        <v>0.49950690958147531</v>
      </c>
      <c r="X9547" s="2">
        <f ca="1"/>
        <v>56.961538364571602</v>
      </c>
      <c r="AG9547" s="2">
        <f ca="1"/>
        <v>0.90349535866714059</v>
      </c>
      <c r="AH9547" s="2" t="str">
        <f ca="1"/>
        <v>Bad</v>
      </c>
    </row>
    <row r="9548" spans="2:34">
      <c r="B9548" s="2">
        <f ca="1"/>
        <v>0.84473231991306297</v>
      </c>
      <c r="O9548" s="2">
        <f ca="1"/>
        <v>-5.4656296195373703E-2</v>
      </c>
      <c r="X9548" s="2">
        <f ca="1"/>
        <v>33.832695214987979</v>
      </c>
      <c r="AG9548" s="2">
        <f ca="1"/>
        <v>0.64297804251498447</v>
      </c>
      <c r="AH9548" s="2" t="str">
        <f ca="1"/>
        <v>Bad</v>
      </c>
    </row>
    <row r="9549" spans="2:34">
      <c r="B9549" s="2">
        <f ca="1"/>
        <v>0.31267029183826378</v>
      </c>
      <c r="O9549" s="2">
        <f ca="1"/>
        <v>0.27127105289184034</v>
      </c>
      <c r="X9549" s="2">
        <f ca="1"/>
        <v>48.378323972176744</v>
      </c>
      <c r="AG9549" s="2">
        <f ca="1"/>
        <v>2.4583398736502726E-2</v>
      </c>
      <c r="AH9549" s="2" t="str">
        <f ca="1"/>
        <v>Good</v>
      </c>
    </row>
    <row r="9550" spans="2:34">
      <c r="B9550" s="2">
        <f ca="1"/>
        <v>0.26440679391098909</v>
      </c>
      <c r="O9550" s="2">
        <f ca="1"/>
        <v>2.1274582416654013</v>
      </c>
      <c r="X9550" s="2">
        <f ca="1"/>
        <v>30.696822055524834</v>
      </c>
      <c r="AG9550" s="2">
        <f ca="1"/>
        <v>0.34635525768406605</v>
      </c>
      <c r="AH9550" s="2" t="str">
        <f ca="1"/>
        <v>OK</v>
      </c>
    </row>
    <row r="9551" spans="2:34">
      <c r="B9551" s="2">
        <f ca="1"/>
        <v>6.0461667258206564E-2</v>
      </c>
      <c r="O9551" s="2">
        <f ca="1"/>
        <v>2.510029150076011</v>
      </c>
      <c r="X9551" s="2">
        <f ca="1"/>
        <v>42.702583184957078</v>
      </c>
      <c r="AG9551" s="2">
        <f ca="1"/>
        <v>0.87957662652012636</v>
      </c>
      <c r="AH9551" s="2" t="str">
        <f ca="1"/>
        <v>Bad</v>
      </c>
    </row>
    <row r="9552" spans="2:34">
      <c r="B9552" s="2">
        <f ca="1"/>
        <v>0.70915892922106982</v>
      </c>
      <c r="O9552" s="2">
        <f ca="1"/>
        <v>-2.3455329400112759</v>
      </c>
      <c r="X9552" s="2">
        <f ca="1"/>
        <v>34.781680474511411</v>
      </c>
      <c r="AG9552" s="2">
        <f ca="1"/>
        <v>0.78408925335943702</v>
      </c>
      <c r="AH9552" s="2" t="str">
        <f ca="1"/>
        <v>Bad</v>
      </c>
    </row>
    <row r="9553" spans="2:34">
      <c r="B9553" s="2">
        <f ca="1"/>
        <v>0.96207913711777437</v>
      </c>
      <c r="O9553" s="2">
        <f ca="1"/>
        <v>-0.88556400524678014</v>
      </c>
      <c r="X9553" s="2">
        <f ca="1"/>
        <v>49.195722101709443</v>
      </c>
      <c r="AG9553" s="2">
        <f ca="1"/>
        <v>0.6128472916926222</v>
      </c>
      <c r="AH9553" s="2" t="str">
        <f ca="1"/>
        <v>Bad</v>
      </c>
    </row>
    <row r="9554" spans="2:34">
      <c r="B9554" s="2">
        <f ca="1"/>
        <v>0.41950080286641134</v>
      </c>
      <c r="O9554" s="2">
        <f ca="1"/>
        <v>0.83484822266734626</v>
      </c>
      <c r="X9554" s="2">
        <f ca="1"/>
        <v>74.534662987551684</v>
      </c>
      <c r="AG9554" s="2">
        <f ca="1"/>
        <v>0.53196696836472923</v>
      </c>
      <c r="AH9554" s="2" t="str">
        <f ca="1"/>
        <v>Bad</v>
      </c>
    </row>
    <row r="9555" spans="2:34">
      <c r="B9555" s="2">
        <f ca="1"/>
        <v>1.9761118274625122E-2</v>
      </c>
      <c r="O9555" s="2">
        <f ca="1"/>
        <v>0.23380707096814249</v>
      </c>
      <c r="X9555" s="2">
        <f ca="1"/>
        <v>86.16409160759018</v>
      </c>
      <c r="AG9555" s="2">
        <f ca="1"/>
        <v>0.19242940547641485</v>
      </c>
      <c r="AH9555" s="2" t="str">
        <f ca="1"/>
        <v>OK</v>
      </c>
    </row>
    <row r="9556" spans="2:34">
      <c r="B9556" s="2">
        <f ca="1"/>
        <v>0.28430049826095893</v>
      </c>
      <c r="O9556" s="2">
        <f ca="1"/>
        <v>0.53438894430838602</v>
      </c>
      <c r="X9556" s="2">
        <f ca="1"/>
        <v>45.913914745916458</v>
      </c>
      <c r="AG9556" s="2">
        <f ca="1"/>
        <v>0.3441510956636169</v>
      </c>
      <c r="AH9556" s="2" t="str">
        <f ca="1"/>
        <v>OK</v>
      </c>
    </row>
    <row r="9557" spans="2:34">
      <c r="B9557" s="2">
        <f ca="1"/>
        <v>0.48086921924250636</v>
      </c>
      <c r="O9557" s="2">
        <f ca="1"/>
        <v>-1.0285327359453633</v>
      </c>
      <c r="X9557" s="2">
        <f ca="1"/>
        <v>47.175116297119359</v>
      </c>
      <c r="AG9557" s="2">
        <f ca="1"/>
        <v>0.99961398691854453</v>
      </c>
      <c r="AH9557" s="2" t="str">
        <f ca="1"/>
        <v>Bad</v>
      </c>
    </row>
    <row r="9558" spans="2:34">
      <c r="B9558" s="2">
        <f ca="1"/>
        <v>0.56972735633939031</v>
      </c>
      <c r="O9558" s="2">
        <f ca="1"/>
        <v>-0.98470141184110616</v>
      </c>
      <c r="X9558" s="2">
        <f ca="1"/>
        <v>47.116818374129579</v>
      </c>
      <c r="AG9558" s="2">
        <f ca="1"/>
        <v>0.61584463821390778</v>
      </c>
      <c r="AH9558" s="2" t="str">
        <f ca="1"/>
        <v>Bad</v>
      </c>
    </row>
    <row r="9559" spans="2:34">
      <c r="B9559" s="2">
        <f ca="1"/>
        <v>0.14858557804624795</v>
      </c>
      <c r="O9559" s="2">
        <f ca="1"/>
        <v>0.55768659511293139</v>
      </c>
      <c r="X9559" s="2">
        <f ca="1"/>
        <v>59.876636883871591</v>
      </c>
      <c r="AG9559" s="2">
        <f ca="1"/>
        <v>0.42677810660858251</v>
      </c>
      <c r="AH9559" s="2" t="str">
        <f ca="1"/>
        <v>Bad</v>
      </c>
    </row>
    <row r="9560" spans="2:34">
      <c r="B9560" s="2">
        <f ca="1"/>
        <v>0.31191893180689179</v>
      </c>
      <c r="O9560" s="2">
        <f ca="1"/>
        <v>-2.3448758561575787</v>
      </c>
      <c r="X9560" s="2">
        <f ca="1"/>
        <v>60.358776258599676</v>
      </c>
      <c r="AG9560" s="2">
        <f ca="1"/>
        <v>0.25980035443095595</v>
      </c>
      <c r="AH9560" s="2" t="str">
        <f ca="1"/>
        <v>OK</v>
      </c>
    </row>
    <row r="9561" spans="2:34">
      <c r="B9561" s="2">
        <f ca="1"/>
        <v>0.36909766342214811</v>
      </c>
      <c r="O9561" s="2">
        <f ca="1"/>
        <v>0.29643390683580023</v>
      </c>
      <c r="X9561" s="2">
        <f ca="1"/>
        <v>44.802734088993802</v>
      </c>
      <c r="AG9561" s="2">
        <f ca="1"/>
        <v>0.21860710063085498</v>
      </c>
      <c r="AH9561" s="2" t="str">
        <f ca="1"/>
        <v>OK</v>
      </c>
    </row>
    <row r="9562" spans="2:34">
      <c r="B9562" s="2">
        <f ca="1"/>
        <v>0.57485954872658618</v>
      </c>
      <c r="O9562" s="2">
        <f ca="1"/>
        <v>-0.95507760988528789</v>
      </c>
      <c r="X9562" s="2">
        <f ca="1"/>
        <v>41.843015990483863</v>
      </c>
      <c r="AG9562" s="2">
        <f ca="1"/>
        <v>0.48582885320101443</v>
      </c>
      <c r="AH9562" s="2" t="str">
        <f ca="1"/>
        <v>Bad</v>
      </c>
    </row>
    <row r="9563" spans="2:34">
      <c r="B9563" s="2">
        <f ca="1"/>
        <v>0.12180027147925054</v>
      </c>
      <c r="O9563" s="2">
        <f ca="1"/>
        <v>0.737503837170566</v>
      </c>
      <c r="X9563" s="2">
        <f ca="1"/>
        <v>65.756932271333795</v>
      </c>
      <c r="AG9563" s="2">
        <f ca="1"/>
        <v>0.72385457422632649</v>
      </c>
      <c r="AH9563" s="2" t="str">
        <f ca="1"/>
        <v>Bad</v>
      </c>
    </row>
    <row r="9564" spans="2:34">
      <c r="B9564" s="2">
        <f ca="1"/>
        <v>0.909703976720039</v>
      </c>
      <c r="O9564" s="2">
        <f ca="1"/>
        <v>-1.3763619453290579</v>
      </c>
      <c r="X9564" s="2">
        <f ca="1"/>
        <v>73.897016335319876</v>
      </c>
      <c r="AG9564" s="2">
        <f ca="1"/>
        <v>0.78835143241688233</v>
      </c>
      <c r="AH9564" s="2" t="str">
        <f ca="1"/>
        <v>Bad</v>
      </c>
    </row>
    <row r="9565" spans="2:34">
      <c r="B9565" s="2">
        <f ca="1"/>
        <v>0.36227602805094983</v>
      </c>
      <c r="O9565" s="2">
        <f ca="1"/>
        <v>0.66095929929125641</v>
      </c>
      <c r="X9565" s="2">
        <f ca="1"/>
        <v>57.013928721411588</v>
      </c>
      <c r="AG9565" s="2">
        <f ca="1"/>
        <v>1.1903692349086725E-2</v>
      </c>
      <c r="AH9565" s="2" t="str">
        <f ca="1"/>
        <v>Good</v>
      </c>
    </row>
    <row r="9566" spans="2:34">
      <c r="B9566" s="2">
        <f ca="1"/>
        <v>0.92219483953672854</v>
      </c>
      <c r="O9566" s="2">
        <f ca="1"/>
        <v>-1.0846443580593719</v>
      </c>
      <c r="X9566" s="2">
        <f ca="1"/>
        <v>34.974185843381548</v>
      </c>
      <c r="AG9566" s="2">
        <f ca="1"/>
        <v>0.22786549321751859</v>
      </c>
      <c r="AH9566" s="2" t="str">
        <f ca="1"/>
        <v>OK</v>
      </c>
    </row>
    <row r="9567" spans="2:34">
      <c r="B9567" s="2">
        <f ca="1"/>
        <v>0.65976695485503756</v>
      </c>
      <c r="O9567" s="2">
        <f ca="1"/>
        <v>-0.32596628047379012</v>
      </c>
      <c r="X9567" s="2">
        <f ca="1"/>
        <v>71.414997385932239</v>
      </c>
      <c r="AG9567" s="2">
        <f ca="1"/>
        <v>0.36500548899510354</v>
      </c>
      <c r="AH9567" s="2" t="str">
        <f ca="1"/>
        <v>OK</v>
      </c>
    </row>
    <row r="9568" spans="2:34">
      <c r="B9568" s="2">
        <f ca="1"/>
        <v>0.13861259373396084</v>
      </c>
      <c r="O9568" s="2">
        <f ca="1"/>
        <v>-0.70438843284405472</v>
      </c>
      <c r="X9568" s="2">
        <f ca="1"/>
        <v>50.103963305374002</v>
      </c>
      <c r="AG9568" s="2">
        <f ca="1"/>
        <v>0.43649116910085173</v>
      </c>
      <c r="AH9568" s="2" t="str">
        <f ca="1"/>
        <v>Bad</v>
      </c>
    </row>
    <row r="9569" spans="2:34">
      <c r="B9569" s="2">
        <f ca="1"/>
        <v>0.17607119850826947</v>
      </c>
      <c r="O9569" s="2">
        <f ca="1"/>
        <v>-0.63417021559322084</v>
      </c>
      <c r="X9569" s="2">
        <f ca="1"/>
        <v>50.851534742861631</v>
      </c>
      <c r="AG9569" s="2">
        <f ca="1"/>
        <v>0.18353079965849073</v>
      </c>
      <c r="AH9569" s="2" t="str">
        <f ca="1"/>
        <v>OK</v>
      </c>
    </row>
    <row r="9570" spans="2:34">
      <c r="B9570" s="2">
        <f ca="1"/>
        <v>0.28821272193920944</v>
      </c>
      <c r="O9570" s="2">
        <f ca="1"/>
        <v>0.1641653384567415</v>
      </c>
      <c r="X9570" s="2">
        <f ca="1"/>
        <v>52.018798925624232</v>
      </c>
      <c r="AG9570" s="2">
        <f ca="1"/>
        <v>0.60520312357997064</v>
      </c>
      <c r="AH9570" s="2" t="str">
        <f ca="1"/>
        <v>Bad</v>
      </c>
    </row>
    <row r="9571" spans="2:34">
      <c r="B9571" s="2">
        <f ca="1"/>
        <v>0.61351624518414982</v>
      </c>
      <c r="O9571" s="2">
        <f ca="1"/>
        <v>-0.46444911456029736</v>
      </c>
      <c r="X9571" s="2">
        <f ca="1"/>
        <v>79.478095298892384</v>
      </c>
      <c r="AG9571" s="2">
        <f ca="1"/>
        <v>0.68712358046134669</v>
      </c>
      <c r="AH9571" s="2" t="str">
        <f ca="1"/>
        <v>Bad</v>
      </c>
    </row>
    <row r="9572" spans="2:34">
      <c r="B9572" s="2">
        <f ca="1"/>
        <v>0.64079856484054942</v>
      </c>
      <c r="O9572" s="2">
        <f ca="1"/>
        <v>-0.53218863894011426</v>
      </c>
      <c r="X9572" s="2">
        <f ca="1"/>
        <v>42.91333066239406</v>
      </c>
      <c r="AG9572" s="2">
        <f ca="1"/>
        <v>0.3119858441706358</v>
      </c>
      <c r="AH9572" s="2" t="str">
        <f ca="1"/>
        <v>OK</v>
      </c>
    </row>
    <row r="9573" spans="2:34">
      <c r="B9573" s="2">
        <f ca="1"/>
        <v>0.63279853186865509</v>
      </c>
      <c r="O9573" s="2">
        <f ca="1"/>
        <v>-1.2309544367943654</v>
      </c>
      <c r="X9573" s="2">
        <f ca="1"/>
        <v>54.424929447392188</v>
      </c>
      <c r="AG9573" s="2">
        <f ca="1"/>
        <v>0.46641950129704801</v>
      </c>
      <c r="AH9573" s="2" t="str">
        <f ca="1"/>
        <v>Bad</v>
      </c>
    </row>
    <row r="9574" spans="2:34">
      <c r="B9574" s="2">
        <f ca="1"/>
        <v>0.42978872791030942</v>
      </c>
      <c r="O9574" s="2">
        <f ca="1"/>
        <v>0.47487883073963133</v>
      </c>
      <c r="X9574" s="2">
        <f ca="1"/>
        <v>85.073168987016686</v>
      </c>
      <c r="AG9574" s="2">
        <f ca="1"/>
        <v>0.73775281458627306</v>
      </c>
      <c r="AH9574" s="2" t="str">
        <f ca="1"/>
        <v>Bad</v>
      </c>
    </row>
    <row r="9575" spans="2:34">
      <c r="B9575" s="2">
        <f ca="1"/>
        <v>0.76660488751794542</v>
      </c>
      <c r="O9575" s="2">
        <f ca="1"/>
        <v>-0.55692284892827171</v>
      </c>
      <c r="X9575" s="2">
        <f ca="1"/>
        <v>80.037720798962013</v>
      </c>
      <c r="AG9575" s="2">
        <f ca="1"/>
        <v>0.99858202683708019</v>
      </c>
      <c r="AH9575" s="2" t="str">
        <f ca="1"/>
        <v>Bad</v>
      </c>
    </row>
    <row r="9576" spans="2:34">
      <c r="B9576" s="2">
        <f ca="1"/>
        <v>0.16546743143331</v>
      </c>
      <c r="O9576" s="2">
        <f ca="1"/>
        <v>9.3862003427706578E-2</v>
      </c>
      <c r="X9576" s="2">
        <f ca="1"/>
        <v>64.924393566268719</v>
      </c>
      <c r="AG9576" s="2">
        <f ca="1"/>
        <v>0.24922505533927897</v>
      </c>
      <c r="AH9576" s="2" t="str">
        <f ca="1"/>
        <v>OK</v>
      </c>
    </row>
    <row r="9577" spans="2:34">
      <c r="B9577" s="2">
        <f ca="1"/>
        <v>0.64896424258593632</v>
      </c>
      <c r="O9577" s="2">
        <f ca="1"/>
        <v>-2.8031484240008595</v>
      </c>
      <c r="X9577" s="2">
        <f ca="1"/>
        <v>48.489434430116383</v>
      </c>
      <c r="AG9577" s="2">
        <f ca="1"/>
        <v>0.70452015042922489</v>
      </c>
      <c r="AH9577" s="2" t="str">
        <f ca="1"/>
        <v>Bad</v>
      </c>
    </row>
    <row r="9578" spans="2:34">
      <c r="B9578" s="2">
        <f ca="1"/>
        <v>0.56037898867183</v>
      </c>
      <c r="O9578" s="2">
        <f ca="1"/>
        <v>-1.564013545335855</v>
      </c>
      <c r="X9578" s="2">
        <f ca="1"/>
        <v>29.395154672162075</v>
      </c>
      <c r="AG9578" s="2">
        <f ca="1"/>
        <v>0.77965112668379066</v>
      </c>
      <c r="AH9578" s="2" t="str">
        <f ca="1"/>
        <v>Bad</v>
      </c>
    </row>
    <row r="9579" spans="2:34">
      <c r="B9579" s="2">
        <f ca="1"/>
        <v>6.8291672421033844E-2</v>
      </c>
      <c r="O9579" s="2">
        <f ca="1"/>
        <v>0.32155853908600612</v>
      </c>
      <c r="X9579" s="2">
        <f ca="1"/>
        <v>45.014164722975309</v>
      </c>
      <c r="AG9579" s="2">
        <f ca="1"/>
        <v>0.14207813921554768</v>
      </c>
      <c r="AH9579" s="2" t="str">
        <f ca="1"/>
        <v>OK</v>
      </c>
    </row>
    <row r="9580" spans="2:34">
      <c r="B9580" s="2">
        <f ca="1"/>
        <v>0.59531941988819193</v>
      </c>
      <c r="O9580" s="2">
        <f ca="1"/>
        <v>-0.84450917428047578</v>
      </c>
      <c r="X9580" s="2">
        <f ca="1"/>
        <v>55.316900730677894</v>
      </c>
      <c r="AG9580" s="2">
        <f ca="1"/>
        <v>0.98120650667904541</v>
      </c>
      <c r="AH9580" s="2" t="str">
        <f ca="1"/>
        <v>Bad</v>
      </c>
    </row>
    <row r="9581" spans="2:34">
      <c r="B9581" s="2">
        <f ca="1"/>
        <v>0.67530049598834552</v>
      </c>
      <c r="O9581" s="2">
        <f ca="1"/>
        <v>-1.1978617619580076</v>
      </c>
      <c r="X9581" s="2">
        <f ca="1"/>
        <v>40.834419543024786</v>
      </c>
      <c r="AG9581" s="2">
        <f ca="1"/>
        <v>0.29910060277092931</v>
      </c>
      <c r="AH9581" s="2" t="str">
        <f ca="1"/>
        <v>OK</v>
      </c>
    </row>
    <row r="9582" spans="2:34">
      <c r="B9582" s="2">
        <f ca="1"/>
        <v>0.50471415659129026</v>
      </c>
      <c r="O9582" s="2">
        <f ca="1"/>
        <v>-0.81888353747687226</v>
      </c>
      <c r="X9582" s="2">
        <f ca="1"/>
        <v>72.673460526185153</v>
      </c>
      <c r="AG9582" s="2">
        <f ca="1"/>
        <v>0.15320716555531844</v>
      </c>
      <c r="AH9582" s="2" t="str">
        <f ca="1"/>
        <v>OK</v>
      </c>
    </row>
    <row r="9583" spans="2:34">
      <c r="B9583" s="2">
        <f ca="1"/>
        <v>6.0297788082564807E-2</v>
      </c>
      <c r="O9583" s="2">
        <f ca="1"/>
        <v>-0.21449781776233123</v>
      </c>
      <c r="X9583" s="2">
        <f ca="1"/>
        <v>46.243819218645086</v>
      </c>
      <c r="AG9583" s="2">
        <f ca="1"/>
        <v>0.39184107753944009</v>
      </c>
      <c r="AH9583" s="2" t="str">
        <f ca="1"/>
        <v>OK</v>
      </c>
    </row>
    <row r="9584" spans="2:34">
      <c r="B9584" s="2">
        <f ca="1"/>
        <v>0.81613098063023926</v>
      </c>
      <c r="O9584" s="2">
        <f ca="1"/>
        <v>2.6253755937376597E-2</v>
      </c>
      <c r="X9584" s="2">
        <f ca="1"/>
        <v>45.013417499543358</v>
      </c>
      <c r="AG9584" s="2">
        <f ca="1"/>
        <v>0.41028239442129988</v>
      </c>
      <c r="AH9584" s="2" t="str">
        <f ca="1"/>
        <v>Bad</v>
      </c>
    </row>
    <row r="9585" spans="2:34">
      <c r="B9585" s="2">
        <f ca="1"/>
        <v>0.10046404892435845</v>
      </c>
      <c r="O9585" s="2">
        <f ca="1"/>
        <v>-1.6003823128980772</v>
      </c>
      <c r="X9585" s="2">
        <f ca="1"/>
        <v>35.968346027640209</v>
      </c>
      <c r="AG9585" s="2">
        <f ca="1"/>
        <v>0.75268219255586288</v>
      </c>
      <c r="AH9585" s="2" t="str">
        <f ca="1"/>
        <v>Bad</v>
      </c>
    </row>
    <row r="9586" spans="2:34">
      <c r="B9586" s="2">
        <f ca="1"/>
        <v>0.58169561432843664</v>
      </c>
      <c r="O9586" s="2">
        <f ca="1"/>
        <v>-0.16007362934858357</v>
      </c>
      <c r="X9586" s="2">
        <f ca="1"/>
        <v>59.419485824747262</v>
      </c>
      <c r="AG9586" s="2">
        <f ca="1"/>
        <v>0.43771847243681772</v>
      </c>
      <c r="AH9586" s="2" t="str">
        <f ca="1"/>
        <v>Bad</v>
      </c>
    </row>
    <row r="9587" spans="2:34">
      <c r="B9587" s="2">
        <f ca="1"/>
        <v>1.311002614177692E-2</v>
      </c>
      <c r="O9587" s="2">
        <f ca="1"/>
        <v>1.617561585718847</v>
      </c>
      <c r="X9587" s="2">
        <f ca="1"/>
        <v>41.592239831419342</v>
      </c>
      <c r="AG9587" s="2">
        <f ca="1"/>
        <v>0.44332765278229536</v>
      </c>
      <c r="AH9587" s="2" t="str">
        <f ca="1"/>
        <v>Bad</v>
      </c>
    </row>
    <row r="9588" spans="2:34">
      <c r="B9588" s="2">
        <f ca="1"/>
        <v>1.6665358217157422E-2</v>
      </c>
      <c r="O9588" s="2">
        <f ca="1"/>
        <v>-1.4415283020029304</v>
      </c>
      <c r="X9588" s="2">
        <f ca="1"/>
        <v>72.437244681362287</v>
      </c>
      <c r="AG9588" s="2">
        <f ca="1"/>
        <v>0.23926200076739268</v>
      </c>
      <c r="AH9588" s="2" t="str">
        <f ca="1"/>
        <v>OK</v>
      </c>
    </row>
    <row r="9589" spans="2:34">
      <c r="B9589" s="2">
        <f ca="1"/>
        <v>0.23945848429022765</v>
      </c>
      <c r="O9589" s="2">
        <f ca="1"/>
        <v>1.0044797932450245</v>
      </c>
      <c r="X9589" s="2">
        <f ca="1"/>
        <v>54.12605513516786</v>
      </c>
      <c r="AG9589" s="2">
        <f ca="1"/>
        <v>0.58686140026537692</v>
      </c>
      <c r="AH9589" s="2" t="str">
        <f ca="1"/>
        <v>Bad</v>
      </c>
    </row>
    <row r="9590" spans="2:34">
      <c r="B9590" s="2">
        <f ca="1"/>
        <v>0.9705154161734586</v>
      </c>
      <c r="O9590" s="2">
        <f ca="1"/>
        <v>1.5144262302687308</v>
      </c>
      <c r="X9590" s="2">
        <f ca="1"/>
        <v>52.954501822494358</v>
      </c>
      <c r="AG9590" s="2">
        <f ca="1"/>
        <v>1.1920729688766896E-2</v>
      </c>
      <c r="AH9590" s="2" t="str">
        <f ca="1"/>
        <v>Good</v>
      </c>
    </row>
    <row r="9591" spans="2:34">
      <c r="B9591" s="2">
        <f ca="1"/>
        <v>8.2560228089509691E-2</v>
      </c>
      <c r="O9591" s="2">
        <f ca="1"/>
        <v>-0.55400240892008779</v>
      </c>
      <c r="X9591" s="2">
        <f ca="1"/>
        <v>44.720130207149239</v>
      </c>
      <c r="AG9591" s="2">
        <f ca="1"/>
        <v>0.72451150585097635</v>
      </c>
      <c r="AH9591" s="2" t="str">
        <f ca="1"/>
        <v>Bad</v>
      </c>
    </row>
    <row r="9592" spans="2:34">
      <c r="B9592" s="2">
        <f ca="1"/>
        <v>0.85044590974535628</v>
      </c>
      <c r="O9592" s="2">
        <f ca="1"/>
        <v>1.8058037248378005</v>
      </c>
      <c r="X9592" s="2">
        <f ca="1"/>
        <v>42.108954321028421</v>
      </c>
      <c r="AG9592" s="2">
        <f ca="1"/>
        <v>3.5437588044779034E-2</v>
      </c>
      <c r="AH9592" s="2" t="str">
        <f ca="1"/>
        <v>Good</v>
      </c>
    </row>
    <row r="9593" spans="2:34">
      <c r="B9593" s="2">
        <f ca="1"/>
        <v>0.62655579671699058</v>
      </c>
      <c r="O9593" s="2">
        <f ca="1"/>
        <v>0.80593793868111963</v>
      </c>
      <c r="X9593" s="2">
        <f ca="1"/>
        <v>52.736580162525648</v>
      </c>
      <c r="AG9593" s="2">
        <f ca="1"/>
        <v>0.2452242513759546</v>
      </c>
      <c r="AH9593" s="2" t="str">
        <f ca="1"/>
        <v>OK</v>
      </c>
    </row>
    <row r="9594" spans="2:34">
      <c r="B9594" s="2">
        <f ca="1"/>
        <v>3.6475361610759816E-2</v>
      </c>
      <c r="O9594" s="2">
        <f ca="1"/>
        <v>-0.50278550347987139</v>
      </c>
      <c r="X9594" s="2">
        <f ca="1"/>
        <v>53.586333124193231</v>
      </c>
      <c r="AG9594" s="2">
        <f ca="1"/>
        <v>0.85945166616792701</v>
      </c>
      <c r="AH9594" s="2" t="str">
        <f ca="1"/>
        <v>Bad</v>
      </c>
    </row>
    <row r="9595" spans="2:34">
      <c r="B9595" s="2">
        <f ca="1"/>
        <v>0.22142893341051839</v>
      </c>
      <c r="O9595" s="2">
        <f ca="1"/>
        <v>-0.27548499585762809</v>
      </c>
      <c r="X9595" s="2">
        <f ca="1"/>
        <v>46.756575354904115</v>
      </c>
      <c r="AG9595" s="2">
        <f ca="1"/>
        <v>0.33226853757030006</v>
      </c>
      <c r="AH9595" s="2" t="str">
        <f ca="1"/>
        <v>OK</v>
      </c>
    </row>
    <row r="9596" spans="2:34">
      <c r="B9596" s="2">
        <f ca="1"/>
        <v>0.64563006532899725</v>
      </c>
      <c r="O9596" s="2">
        <f ca="1"/>
        <v>0.7806870371020288</v>
      </c>
      <c r="X9596" s="2">
        <f ca="1"/>
        <v>76.875543223843124</v>
      </c>
      <c r="AG9596" s="2">
        <f ca="1"/>
        <v>0.67458740088155311</v>
      </c>
      <c r="AH9596" s="2" t="str">
        <f ca="1"/>
        <v>Bad</v>
      </c>
    </row>
    <row r="9597" spans="2:34">
      <c r="B9597" s="2">
        <f ca="1"/>
        <v>0.37444076276656624</v>
      </c>
      <c r="O9597" s="2">
        <f ca="1"/>
        <v>-0.5639543420361165</v>
      </c>
      <c r="X9597" s="2">
        <f ca="1"/>
        <v>38.55213855694624</v>
      </c>
      <c r="AG9597" s="2">
        <f ca="1"/>
        <v>0.18650845242614467</v>
      </c>
      <c r="AH9597" s="2" t="str">
        <f ca="1"/>
        <v>OK</v>
      </c>
    </row>
    <row r="9598" spans="2:34">
      <c r="B9598" s="2">
        <f ca="1"/>
        <v>0.75375720521344602</v>
      </c>
      <c r="O9598" s="2">
        <f ca="1"/>
        <v>0.26041922461655986</v>
      </c>
      <c r="X9598" s="2">
        <f ca="1"/>
        <v>51.993438884877953</v>
      </c>
      <c r="AG9598" s="2">
        <f ca="1"/>
        <v>0.20839257083883078</v>
      </c>
      <c r="AH9598" s="2" t="str">
        <f ca="1"/>
        <v>OK</v>
      </c>
    </row>
    <row r="9599" spans="2:34">
      <c r="B9599" s="2">
        <f ca="1"/>
        <v>0.89452964489475906</v>
      </c>
      <c r="O9599" s="2">
        <f ca="1"/>
        <v>1.3861234858192311</v>
      </c>
      <c r="X9599" s="2">
        <f ca="1"/>
        <v>43.132753131834903</v>
      </c>
      <c r="AG9599" s="2">
        <f ca="1"/>
        <v>0.81578147484839802</v>
      </c>
      <c r="AH9599" s="2" t="str">
        <f ca="1"/>
        <v>Bad</v>
      </c>
    </row>
    <row r="9600" spans="2:34">
      <c r="B9600" s="2">
        <f ca="1"/>
        <v>0.40584579084042294</v>
      </c>
      <c r="O9600" s="2">
        <f ca="1"/>
        <v>-1.631671335881133</v>
      </c>
      <c r="X9600" s="2">
        <f ca="1"/>
        <v>56.510888710661426</v>
      </c>
      <c r="AG9600" s="2">
        <f ca="1"/>
        <v>0.84995623418527955</v>
      </c>
      <c r="AH9600" s="2" t="str">
        <f ca="1"/>
        <v>Bad</v>
      </c>
    </row>
    <row r="9601" spans="2:34">
      <c r="B9601" s="2">
        <f ca="1"/>
        <v>0.14029159533117186</v>
      </c>
      <c r="O9601" s="2">
        <f ca="1"/>
        <v>-0.5380776338853559</v>
      </c>
      <c r="X9601" s="2">
        <f ca="1"/>
        <v>35.138654317525386</v>
      </c>
      <c r="AG9601" s="2">
        <f ca="1"/>
        <v>0.46050283980964202</v>
      </c>
      <c r="AH9601" s="2" t="str">
        <f ca="1"/>
        <v>Bad</v>
      </c>
    </row>
    <row r="9602" spans="2:34">
      <c r="B9602" s="2">
        <f ca="1"/>
        <v>0.92828032749920641</v>
      </c>
      <c r="O9602" s="2">
        <f ca="1"/>
        <v>-1.0883512443942145</v>
      </c>
      <c r="X9602" s="2">
        <f ca="1"/>
        <v>49.436352071706516</v>
      </c>
      <c r="AG9602" s="2">
        <f ca="1"/>
        <v>0.50210843188521692</v>
      </c>
      <c r="AH9602" s="2" t="str">
        <f ca="1"/>
        <v>Bad</v>
      </c>
    </row>
    <row r="9603" spans="2:34">
      <c r="B9603" s="2">
        <f ca="1"/>
        <v>3.5704111702496766E-2</v>
      </c>
      <c r="O9603" s="2">
        <f ca="1"/>
        <v>-0.65174759577519814</v>
      </c>
      <c r="X9603" s="2">
        <f ca="1"/>
        <v>49.678474105638898</v>
      </c>
      <c r="AG9603" s="2">
        <f ca="1"/>
        <v>0.14212319535573714</v>
      </c>
      <c r="AH9603" s="2" t="str">
        <f ca="1"/>
        <v>OK</v>
      </c>
    </row>
    <row r="9604" spans="2:34">
      <c r="B9604" s="2">
        <f ca="1"/>
        <v>0.66787935780132135</v>
      </c>
      <c r="O9604" s="2">
        <f ca="1"/>
        <v>-2.0481895547629803</v>
      </c>
      <c r="X9604" s="2">
        <f ca="1"/>
        <v>83.663627075082417</v>
      </c>
      <c r="AG9604" s="2">
        <f ca="1"/>
        <v>0.71115942292759016</v>
      </c>
      <c r="AH9604" s="2" t="str">
        <f ca="1"/>
        <v>Bad</v>
      </c>
    </row>
    <row r="9605" spans="2:34">
      <c r="B9605" s="2">
        <f ca="1"/>
        <v>0.56279165312671542</v>
      </c>
      <c r="O9605" s="2">
        <f ca="1"/>
        <v>-1.0299590444727629</v>
      </c>
      <c r="X9605" s="2">
        <f ca="1"/>
        <v>56.637100287477303</v>
      </c>
      <c r="AG9605" s="2">
        <f ca="1"/>
        <v>0.97848333838579049</v>
      </c>
      <c r="AH9605" s="2" t="str">
        <f ca="1"/>
        <v>Bad</v>
      </c>
    </row>
    <row r="9606" spans="2:34">
      <c r="B9606" s="2">
        <f ca="1"/>
        <v>0.8573341411508848</v>
      </c>
      <c r="O9606" s="2">
        <f ca="1"/>
        <v>0.1233598075845084</v>
      </c>
      <c r="X9606" s="2">
        <f ca="1"/>
        <v>36.102410534052034</v>
      </c>
      <c r="AG9606" s="2">
        <f ca="1"/>
        <v>0.41426863547289838</v>
      </c>
      <c r="AH9606" s="2" t="str">
        <f ca="1"/>
        <v>Bad</v>
      </c>
    </row>
    <row r="9607" spans="2:34">
      <c r="B9607" s="2">
        <f ca="1"/>
        <v>0.54113255788183778</v>
      </c>
      <c r="O9607" s="2">
        <f ca="1"/>
        <v>-0.84972676866390329</v>
      </c>
      <c r="X9607" s="2">
        <f ca="1"/>
        <v>33.917530705480452</v>
      </c>
      <c r="AG9607" s="2">
        <f ca="1"/>
        <v>0.43451054130346223</v>
      </c>
      <c r="AH9607" s="2" t="str">
        <f ca="1"/>
        <v>Bad</v>
      </c>
    </row>
    <row r="9608" spans="2:34">
      <c r="B9608" s="2">
        <f ca="1"/>
        <v>0.78794553500275377</v>
      </c>
      <c r="O9608" s="2">
        <f ca="1"/>
        <v>0.66782440064822346</v>
      </c>
      <c r="X9608" s="2">
        <f ca="1"/>
        <v>40.484190550286705</v>
      </c>
      <c r="AG9608" s="2">
        <f ca="1"/>
        <v>0.3954670856235396</v>
      </c>
      <c r="AH9608" s="2" t="str">
        <f ca="1"/>
        <v>OK</v>
      </c>
    </row>
    <row r="9609" spans="2:34">
      <c r="B9609" s="2">
        <f ca="1"/>
        <v>0.36631375167432578</v>
      </c>
      <c r="O9609" s="2">
        <f ca="1"/>
        <v>1.1393550389530247</v>
      </c>
      <c r="X9609" s="2">
        <f ca="1"/>
        <v>37.388546487224914</v>
      </c>
      <c r="AG9609" s="2">
        <f ca="1"/>
        <v>0.67994781487951084</v>
      </c>
      <c r="AH9609" s="2" t="str">
        <f ca="1"/>
        <v>Bad</v>
      </c>
    </row>
    <row r="9610" spans="2:34">
      <c r="B9610" s="2">
        <f ca="1"/>
        <v>0.21017083534778003</v>
      </c>
      <c r="O9610" s="2">
        <f ca="1"/>
        <v>-0.41966709501470045</v>
      </c>
      <c r="X9610" s="2">
        <f ca="1"/>
        <v>36.447557792414493</v>
      </c>
      <c r="AG9610" s="2">
        <f ca="1"/>
        <v>0.48705050529019411</v>
      </c>
      <c r="AH9610" s="2" t="str">
        <f ca="1"/>
        <v>Bad</v>
      </c>
    </row>
    <row r="9611" spans="2:34">
      <c r="B9611" s="2">
        <f ca="1"/>
        <v>0.45075457149966858</v>
      </c>
      <c r="O9611" s="2">
        <f ca="1"/>
        <v>-1.4211241070057021</v>
      </c>
      <c r="X9611" s="2">
        <f ca="1"/>
        <v>35.947476149331017</v>
      </c>
      <c r="AG9611" s="2">
        <f ca="1"/>
        <v>0.4531170836234657</v>
      </c>
      <c r="AH9611" s="2" t="str">
        <f ca="1"/>
        <v>Bad</v>
      </c>
    </row>
    <row r="9612" spans="2:34">
      <c r="B9612" s="2">
        <f ca="1"/>
        <v>0.19762817055063753</v>
      </c>
      <c r="O9612" s="2">
        <f ca="1"/>
        <v>0.44942317574568563</v>
      </c>
      <c r="X9612" s="2">
        <f ca="1"/>
        <v>50.430309856191045</v>
      </c>
      <c r="AG9612" s="2">
        <f ca="1"/>
        <v>0.11370670160615282</v>
      </c>
      <c r="AH9612" s="2" t="str">
        <f ca="1"/>
        <v>OK</v>
      </c>
    </row>
    <row r="9613" spans="2:34">
      <c r="B9613" s="2">
        <f ca="1"/>
        <v>0.73553882604858556</v>
      </c>
      <c r="O9613" s="2">
        <f ca="1"/>
        <v>0.18725963922372632</v>
      </c>
      <c r="X9613" s="2">
        <f ca="1"/>
        <v>42.686603265759103</v>
      </c>
      <c r="AG9613" s="2">
        <f ca="1"/>
        <v>0.21598622064146911</v>
      </c>
      <c r="AH9613" s="2" t="str">
        <f ca="1"/>
        <v>OK</v>
      </c>
    </row>
    <row r="9614" spans="2:34">
      <c r="B9614" s="2">
        <f ca="1"/>
        <v>0.12108127342544561</v>
      </c>
      <c r="O9614" s="2">
        <f ca="1"/>
        <v>1.241468516114439</v>
      </c>
      <c r="X9614" s="2">
        <f ca="1"/>
        <v>39.202595085645115</v>
      </c>
      <c r="AG9614" s="2">
        <f ca="1"/>
        <v>0.22218326675340627</v>
      </c>
      <c r="AH9614" s="2" t="str">
        <f ca="1"/>
        <v>OK</v>
      </c>
    </row>
    <row r="9615" spans="2:34">
      <c r="B9615" s="2">
        <f ca="1"/>
        <v>0.59962982129957831</v>
      </c>
      <c r="O9615" s="2">
        <f ca="1"/>
        <v>-0.10155844068451195</v>
      </c>
      <c r="X9615" s="2">
        <f ca="1"/>
        <v>63.663366740515073</v>
      </c>
      <c r="AG9615" s="2">
        <f ca="1"/>
        <v>0.84110496861929884</v>
      </c>
      <c r="AH9615" s="2" t="str">
        <f ca="1"/>
        <v>Bad</v>
      </c>
    </row>
    <row r="9616" spans="2:34">
      <c r="B9616" s="2">
        <f ca="1"/>
        <v>0.50826360187854891</v>
      </c>
      <c r="O9616" s="2">
        <f ca="1"/>
        <v>-0.47507671592870687</v>
      </c>
      <c r="X9616" s="2">
        <f ca="1"/>
        <v>25.56224367407594</v>
      </c>
      <c r="AG9616" s="2">
        <f ca="1"/>
        <v>0.92456632733957722</v>
      </c>
      <c r="AH9616" s="2" t="str">
        <f ca="1"/>
        <v>Bad</v>
      </c>
    </row>
    <row r="9617" spans="2:34">
      <c r="B9617" s="2">
        <f ca="1"/>
        <v>0.58934907037959028</v>
      </c>
      <c r="O9617" s="2">
        <f ca="1"/>
        <v>0.85327768015467453</v>
      </c>
      <c r="X9617" s="2">
        <f ca="1"/>
        <v>66.689384375116006</v>
      </c>
      <c r="AG9617" s="2">
        <f ca="1"/>
        <v>0.15598509145060868</v>
      </c>
      <c r="AH9617" s="2" t="str">
        <f ca="1"/>
        <v>OK</v>
      </c>
    </row>
    <row r="9618" spans="2:34">
      <c r="B9618" s="2">
        <f ca="1"/>
        <v>0.19337664119504994</v>
      </c>
      <c r="O9618" s="2">
        <f ca="1"/>
        <v>0.10596547586055807</v>
      </c>
      <c r="X9618" s="2">
        <f ca="1"/>
        <v>36.875349391368523</v>
      </c>
      <c r="AG9618" s="2">
        <f ca="1"/>
        <v>0.4074390198757516</v>
      </c>
      <c r="AH9618" s="2" t="str">
        <f ca="1"/>
        <v>Bad</v>
      </c>
    </row>
    <row r="9619" spans="2:34">
      <c r="B9619" s="2">
        <f ca="1"/>
        <v>0.97876029677412224</v>
      </c>
      <c r="O9619" s="2">
        <f ca="1"/>
        <v>-0.3381495244273206</v>
      </c>
      <c r="X9619" s="2">
        <f ca="1"/>
        <v>50.652595308024495</v>
      </c>
      <c r="AG9619" s="2">
        <f ca="1"/>
        <v>0.44815599631865477</v>
      </c>
      <c r="AH9619" s="2" t="str">
        <f ca="1"/>
        <v>Bad</v>
      </c>
    </row>
    <row r="9620" spans="2:34">
      <c r="B9620" s="2">
        <f ca="1"/>
        <v>0.86877014056010293</v>
      </c>
      <c r="O9620" s="2">
        <f ca="1"/>
        <v>1.8860748680326018</v>
      </c>
      <c r="X9620" s="2">
        <f ca="1"/>
        <v>72.509738885973178</v>
      </c>
      <c r="AG9620" s="2">
        <f ca="1"/>
        <v>0.93994019715754451</v>
      </c>
      <c r="AH9620" s="2" t="str">
        <f ca="1"/>
        <v>Bad</v>
      </c>
    </row>
    <row r="9621" spans="2:34">
      <c r="B9621" s="2">
        <f ca="1"/>
        <v>0.37942161098937088</v>
      </c>
      <c r="O9621" s="2">
        <f ca="1"/>
        <v>-1.6447665305075103</v>
      </c>
      <c r="X9621" s="2">
        <f ca="1"/>
        <v>47.220998249122871</v>
      </c>
      <c r="AG9621" s="2">
        <f ca="1"/>
        <v>3.5239587549672047E-2</v>
      </c>
      <c r="AH9621" s="2" t="str">
        <f ca="1"/>
        <v>Good</v>
      </c>
    </row>
    <row r="9622" spans="2:34">
      <c r="B9622" s="2">
        <f ca="1"/>
        <v>0.26072830707374584</v>
      </c>
      <c r="O9622" s="2">
        <f ca="1"/>
        <v>1.1043465467067535</v>
      </c>
      <c r="X9622" s="2">
        <f ca="1"/>
        <v>58.519638579505525</v>
      </c>
      <c r="AG9622" s="2">
        <f ca="1"/>
        <v>0.55876553882880775</v>
      </c>
      <c r="AH9622" s="2" t="str">
        <f ca="1"/>
        <v>Bad</v>
      </c>
    </row>
    <row r="9623" spans="2:34">
      <c r="B9623" s="2">
        <f ca="1"/>
        <v>0.81764222562528088</v>
      </c>
      <c r="O9623" s="2">
        <f ca="1"/>
        <v>-0.69532921770532774</v>
      </c>
      <c r="X9623" s="2">
        <f ca="1"/>
        <v>62.061088153426319</v>
      </c>
      <c r="AG9623" s="2">
        <f ca="1"/>
        <v>0.9825519899246542</v>
      </c>
      <c r="AH9623" s="2" t="str">
        <f ca="1"/>
        <v>Bad</v>
      </c>
    </row>
    <row r="9624" spans="2:34">
      <c r="B9624" s="2">
        <f ca="1"/>
        <v>0.57551799163731898</v>
      </c>
      <c r="O9624" s="2">
        <f ca="1"/>
        <v>0.57514167802360483</v>
      </c>
      <c r="X9624" s="2">
        <f ca="1"/>
        <v>62.26592881150129</v>
      </c>
      <c r="AG9624" s="2">
        <f ca="1"/>
        <v>0.48587441485730909</v>
      </c>
      <c r="AH9624" s="2" t="str">
        <f ca="1"/>
        <v>Bad</v>
      </c>
    </row>
    <row r="9625" spans="2:34">
      <c r="B9625" s="2">
        <f ca="1"/>
        <v>0.9231972125767669</v>
      </c>
      <c r="O9625" s="2">
        <f ca="1"/>
        <v>-1.0896064685804887</v>
      </c>
      <c r="X9625" s="2">
        <f ca="1"/>
        <v>50.320212539601677</v>
      </c>
      <c r="AG9625" s="2">
        <f ca="1"/>
        <v>4.5381074764436757E-3</v>
      </c>
      <c r="AH9625" s="2" t="str">
        <f ca="1"/>
        <v>Good</v>
      </c>
    </row>
    <row r="9626" spans="2:34">
      <c r="B9626" s="2">
        <f ca="1"/>
        <v>0.95231273523160187</v>
      </c>
      <c r="O9626" s="2">
        <f ca="1"/>
        <v>0.4894477974128551</v>
      </c>
      <c r="X9626" s="2">
        <f ca="1"/>
        <v>51.607815406340897</v>
      </c>
      <c r="AG9626" s="2">
        <f ca="1"/>
        <v>0.17249783386749784</v>
      </c>
      <c r="AH9626" s="2" t="str">
        <f ca="1"/>
        <v>OK</v>
      </c>
    </row>
    <row r="9627" spans="2:34">
      <c r="B9627" s="2">
        <f ca="1"/>
        <v>2.8771147314003764E-2</v>
      </c>
      <c r="O9627" s="2">
        <f ca="1"/>
        <v>-0.58462658862302419</v>
      </c>
      <c r="X9627" s="2">
        <f ca="1"/>
        <v>66.071148325145415</v>
      </c>
      <c r="AG9627" s="2">
        <f ca="1"/>
        <v>0.37008262797068014</v>
      </c>
      <c r="AH9627" s="2" t="str">
        <f ca="1"/>
        <v>OK</v>
      </c>
    </row>
    <row r="9628" spans="2:34">
      <c r="B9628" s="2">
        <f ca="1"/>
        <v>0.26429192351095909</v>
      </c>
      <c r="O9628" s="2">
        <f ca="1"/>
        <v>-1.2215652740800009</v>
      </c>
      <c r="X9628" s="2">
        <f ca="1"/>
        <v>35.682474338602709</v>
      </c>
      <c r="AG9628" s="2">
        <f ca="1"/>
        <v>0.31991309108183952</v>
      </c>
      <c r="AH9628" s="2" t="str">
        <f ca="1"/>
        <v>OK</v>
      </c>
    </row>
    <row r="9629" spans="2:34">
      <c r="B9629" s="2">
        <f ca="1"/>
        <v>0.51400255131256389</v>
      </c>
      <c r="O9629" s="2">
        <f ca="1"/>
        <v>1.8267417722573636</v>
      </c>
      <c r="X9629" s="2">
        <f ca="1"/>
        <v>33.937705636231321</v>
      </c>
      <c r="AG9629" s="2">
        <f ca="1"/>
        <v>0.89210443574687859</v>
      </c>
      <c r="AH9629" s="2" t="str">
        <f ca="1"/>
        <v>Bad</v>
      </c>
    </row>
    <row r="9630" spans="2:34">
      <c r="B9630" s="2">
        <f ca="1"/>
        <v>0.95996400075187305</v>
      </c>
      <c r="O9630" s="2">
        <f ca="1"/>
        <v>-1.232994031189218</v>
      </c>
      <c r="X9630" s="2">
        <f ca="1"/>
        <v>50.404662213195486</v>
      </c>
      <c r="AG9630" s="2">
        <f ca="1"/>
        <v>0.54106233272028592</v>
      </c>
      <c r="AH9630" s="2" t="str">
        <f ca="1"/>
        <v>Bad</v>
      </c>
    </row>
    <row r="9631" spans="2:34">
      <c r="B9631" s="2">
        <f ca="1"/>
        <v>0.81560311127059637</v>
      </c>
      <c r="O9631" s="2">
        <f ca="1"/>
        <v>0.37057001460934247</v>
      </c>
      <c r="X9631" s="2">
        <f ca="1"/>
        <v>36.825040590497956</v>
      </c>
      <c r="AG9631" s="2">
        <f ca="1"/>
        <v>0.16558781433908076</v>
      </c>
      <c r="AH9631" s="2" t="str">
        <f ca="1"/>
        <v>OK</v>
      </c>
    </row>
    <row r="9632" spans="2:34">
      <c r="B9632" s="2">
        <f ca="1"/>
        <v>0.88058326400713094</v>
      </c>
      <c r="O9632" s="2">
        <f ca="1"/>
        <v>-1.4483652195015179E-2</v>
      </c>
      <c r="X9632" s="2">
        <f ca="1"/>
        <v>53.045119637661308</v>
      </c>
      <c r="AG9632" s="2">
        <f ca="1"/>
        <v>0.63949641934684398</v>
      </c>
      <c r="AH9632" s="2" t="str">
        <f ca="1"/>
        <v>Bad</v>
      </c>
    </row>
    <row r="9633" spans="2:34">
      <c r="B9633" s="2">
        <f ca="1"/>
        <v>0.10832339303993188</v>
      </c>
      <c r="O9633" s="2">
        <f ca="1"/>
        <v>-0.77610939347709351</v>
      </c>
      <c r="X9633" s="2">
        <f ca="1"/>
        <v>43.359997609108177</v>
      </c>
      <c r="AG9633" s="2">
        <f ca="1"/>
        <v>0.31383425102634344</v>
      </c>
      <c r="AH9633" s="2" t="str">
        <f ca="1"/>
        <v>OK</v>
      </c>
    </row>
    <row r="9634" spans="2:34">
      <c r="B9634" s="2">
        <f ca="1"/>
        <v>1.5039149454241008E-2</v>
      </c>
      <c r="O9634" s="2">
        <f ca="1"/>
        <v>-0.68636223614821712</v>
      </c>
      <c r="X9634" s="2">
        <f ca="1"/>
        <v>83.803488958311448</v>
      </c>
      <c r="AG9634" s="2">
        <f ca="1"/>
        <v>0.11107341695264217</v>
      </c>
      <c r="AH9634" s="2" t="str">
        <f ca="1"/>
        <v>OK</v>
      </c>
    </row>
    <row r="9635" spans="2:34">
      <c r="B9635" s="2">
        <f ca="1"/>
        <v>0.74011460946592189</v>
      </c>
      <c r="O9635" s="2">
        <f ca="1"/>
        <v>-0.40087979408579533</v>
      </c>
      <c r="X9635" s="2">
        <f ca="1"/>
        <v>35.260259156419558</v>
      </c>
      <c r="AG9635" s="2">
        <f ca="1"/>
        <v>8.2276192528915715E-2</v>
      </c>
      <c r="AH9635" s="2" t="str">
        <f ca="1"/>
        <v>OK</v>
      </c>
    </row>
    <row r="9636" spans="2:34">
      <c r="B9636" s="2">
        <f ca="1"/>
        <v>0.32680581607079806</v>
      </c>
      <c r="O9636" s="2">
        <f ca="1"/>
        <v>-0.69189678496731177</v>
      </c>
      <c r="X9636" s="2">
        <f ca="1"/>
        <v>65.144190052114141</v>
      </c>
      <c r="AG9636" s="2">
        <f ca="1"/>
        <v>0.29750194961981724</v>
      </c>
      <c r="AH9636" s="2" t="str">
        <f ca="1"/>
        <v>OK</v>
      </c>
    </row>
    <row r="9637" spans="2:34">
      <c r="B9637" s="2">
        <f ca="1"/>
        <v>8.6156856845252872E-2</v>
      </c>
      <c r="O9637" s="2">
        <f ca="1"/>
        <v>0.99113078200805593</v>
      </c>
      <c r="X9637" s="2">
        <f ca="1"/>
        <v>79.321291291423847</v>
      </c>
      <c r="AG9637" s="2">
        <f ca="1"/>
        <v>0.85236983962481805</v>
      </c>
      <c r="AH9637" s="2" t="str">
        <f ca="1"/>
        <v>Bad</v>
      </c>
    </row>
    <row r="9638" spans="2:34">
      <c r="B9638" s="2">
        <f ca="1"/>
        <v>0.88575534277938139</v>
      </c>
      <c r="O9638" s="2">
        <f ca="1"/>
        <v>-0.98894690760846338</v>
      </c>
      <c r="X9638" s="2">
        <f ca="1"/>
        <v>43.729219340489287</v>
      </c>
      <c r="AG9638" s="2">
        <f ca="1"/>
        <v>0.73848586358279844</v>
      </c>
      <c r="AH9638" s="2" t="str">
        <f ca="1"/>
        <v>Bad</v>
      </c>
    </row>
    <row r="9639" spans="2:34">
      <c r="B9639" s="2">
        <f ca="1"/>
        <v>0.96517013606515745</v>
      </c>
      <c r="O9639" s="2">
        <f ca="1"/>
        <v>-0.13275891192350123</v>
      </c>
      <c r="X9639" s="2">
        <f ca="1"/>
        <v>61.86578079117038</v>
      </c>
      <c r="AG9639" s="2">
        <f ca="1"/>
        <v>0.71765767913050782</v>
      </c>
      <c r="AH9639" s="2" t="str">
        <f ca="1"/>
        <v>Bad</v>
      </c>
    </row>
    <row r="9640" spans="2:34">
      <c r="B9640" s="2">
        <f ca="1"/>
        <v>0.90740436421077875</v>
      </c>
      <c r="O9640" s="2">
        <f ca="1"/>
        <v>-0.50736550296541127</v>
      </c>
      <c r="X9640" s="2">
        <f ca="1"/>
        <v>33.673237114936057</v>
      </c>
      <c r="AG9640" s="2">
        <f ca="1"/>
        <v>0.19800065387373</v>
      </c>
      <c r="AH9640" s="2" t="str">
        <f ca="1"/>
        <v>OK</v>
      </c>
    </row>
    <row r="9641" spans="2:34">
      <c r="B9641" s="2">
        <f ca="1"/>
        <v>0.762671859469368</v>
      </c>
      <c r="O9641" s="2">
        <f ca="1"/>
        <v>0.82010728283674605</v>
      </c>
      <c r="X9641" s="2">
        <f ca="1"/>
        <v>57.562728750485149</v>
      </c>
      <c r="AG9641" s="2">
        <f ca="1"/>
        <v>0.12889844775251569</v>
      </c>
      <c r="AH9641" s="2" t="str">
        <f ca="1"/>
        <v>OK</v>
      </c>
    </row>
    <row r="9642" spans="2:34">
      <c r="B9642" s="2">
        <f ca="1"/>
        <v>0.77678337093462235</v>
      </c>
      <c r="O9642" s="2">
        <f ca="1"/>
        <v>0.52967669416353702</v>
      </c>
      <c r="X9642" s="2">
        <f ca="1"/>
        <v>50.287097045453478</v>
      </c>
      <c r="AG9642" s="2">
        <f ca="1"/>
        <v>0.9974213487117003</v>
      </c>
      <c r="AH9642" s="2" t="str">
        <f ca="1"/>
        <v>Bad</v>
      </c>
    </row>
    <row r="9643" spans="2:34">
      <c r="B9643" s="2">
        <f ca="1"/>
        <v>0.29406714185232663</v>
      </c>
      <c r="O9643" s="2">
        <f ca="1"/>
        <v>0.88443142623105175</v>
      </c>
      <c r="X9643" s="2">
        <f ca="1"/>
        <v>37.313944941763111</v>
      </c>
      <c r="AG9643" s="2">
        <f ca="1"/>
        <v>0.62261832189164901</v>
      </c>
      <c r="AH9643" s="2" t="str">
        <f ca="1"/>
        <v>Bad</v>
      </c>
    </row>
    <row r="9644" spans="2:34">
      <c r="B9644" s="2">
        <f ca="1"/>
        <v>0.19670092859446253</v>
      </c>
      <c r="O9644" s="2">
        <f ca="1"/>
        <v>1.4304965985375857</v>
      </c>
      <c r="X9644" s="2">
        <f ca="1"/>
        <v>53.162953121424216</v>
      </c>
      <c r="AG9644" s="2">
        <f ca="1"/>
        <v>6.6224236670628933E-2</v>
      </c>
      <c r="AH9644" s="2" t="str">
        <f ca="1"/>
        <v>OK</v>
      </c>
    </row>
    <row r="9645" spans="2:34">
      <c r="B9645" s="2">
        <f ca="1"/>
        <v>3.9281713801810891E-2</v>
      </c>
      <c r="O9645" s="2">
        <f ca="1"/>
        <v>0.70560630481132092</v>
      </c>
      <c r="X9645" s="2">
        <f ca="1"/>
        <v>28.701527280679148</v>
      </c>
      <c r="AG9645" s="2">
        <f ca="1"/>
        <v>0.71801330941959041</v>
      </c>
      <c r="AH9645" s="2" t="str">
        <f ca="1"/>
        <v>Bad</v>
      </c>
    </row>
    <row r="9646" spans="2:34">
      <c r="B9646" s="2">
        <f ca="1"/>
        <v>0.4040766606679036</v>
      </c>
      <c r="O9646" s="2">
        <f ca="1"/>
        <v>-0.79868980167833092</v>
      </c>
      <c r="X9646" s="2">
        <f ca="1"/>
        <v>34.662829863347866</v>
      </c>
      <c r="AG9646" s="2">
        <f ca="1"/>
        <v>0.70895931863639605</v>
      </c>
      <c r="AH9646" s="2" t="str">
        <f ca="1"/>
        <v>Bad</v>
      </c>
    </row>
    <row r="9647" spans="2:34">
      <c r="B9647" s="2">
        <f ca="1"/>
        <v>0.25391519592317091</v>
      </c>
      <c r="O9647" s="2">
        <f ca="1"/>
        <v>0.21170634313778086</v>
      </c>
      <c r="X9647" s="2">
        <f ca="1"/>
        <v>72.381409795003449</v>
      </c>
      <c r="AG9647" s="2">
        <f ca="1"/>
        <v>0.9807452378880166</v>
      </c>
      <c r="AH9647" s="2" t="str">
        <f ca="1"/>
        <v>Bad</v>
      </c>
    </row>
    <row r="9648" spans="2:34">
      <c r="B9648" s="2">
        <f ca="1"/>
        <v>0.59522123798345472</v>
      </c>
      <c r="O9648" s="2">
        <f ca="1"/>
        <v>-0.21637005485391228</v>
      </c>
      <c r="X9648" s="2">
        <f ca="1"/>
        <v>51.535679999071426</v>
      </c>
      <c r="AG9648" s="2">
        <f ca="1"/>
        <v>0.58547279121030527</v>
      </c>
      <c r="AH9648" s="2" t="str">
        <f ca="1"/>
        <v>Bad</v>
      </c>
    </row>
    <row r="9649" spans="2:34">
      <c r="B9649" s="2">
        <f ca="1"/>
        <v>0.72564542213987426</v>
      </c>
      <c r="O9649" s="2">
        <f ca="1"/>
        <v>2.2822899289243503</v>
      </c>
      <c r="X9649" s="2">
        <f ca="1"/>
        <v>45.560619390109593</v>
      </c>
      <c r="AG9649" s="2">
        <f ca="1"/>
        <v>0.582885848254173</v>
      </c>
      <c r="AH9649" s="2" t="str">
        <f ca="1"/>
        <v>Bad</v>
      </c>
    </row>
    <row r="9650" spans="2:34">
      <c r="B9650" s="2">
        <f ca="1"/>
        <v>0.69185448095029045</v>
      </c>
      <c r="O9650" s="2">
        <f ca="1"/>
        <v>1.0005745453458048</v>
      </c>
      <c r="X9650" s="2">
        <f ca="1"/>
        <v>28.944399057418092</v>
      </c>
      <c r="AG9650" s="2">
        <f ca="1"/>
        <v>0.83861643783964612</v>
      </c>
      <c r="AH9650" s="2" t="str">
        <f ca="1"/>
        <v>Bad</v>
      </c>
    </row>
    <row r="9651" spans="2:34">
      <c r="B9651" s="2">
        <f ca="1"/>
        <v>0.81312512506438228</v>
      </c>
      <c r="O9651" s="2">
        <f ca="1"/>
        <v>-0.46821626359588481</v>
      </c>
      <c r="X9651" s="2">
        <f ca="1"/>
        <v>54.813312979056754</v>
      </c>
      <c r="AG9651" s="2">
        <f ca="1"/>
        <v>0.90418842405387578</v>
      </c>
      <c r="AH9651" s="2" t="str">
        <f ca="1"/>
        <v>Bad</v>
      </c>
    </row>
    <row r="9652" spans="2:34">
      <c r="B9652" s="2">
        <f ca="1"/>
        <v>0.93148726856053843</v>
      </c>
      <c r="O9652" s="2">
        <f ca="1"/>
        <v>-0.63051709537243428</v>
      </c>
      <c r="X9652" s="2">
        <f ca="1"/>
        <v>58.833204793040466</v>
      </c>
      <c r="AG9652" s="2">
        <f ca="1"/>
        <v>0.55944102567691578</v>
      </c>
      <c r="AH9652" s="2" t="str">
        <f ca="1"/>
        <v>Bad</v>
      </c>
    </row>
    <row r="9653" spans="2:34">
      <c r="B9653" s="2">
        <f ca="1"/>
        <v>0.41926385591472215</v>
      </c>
      <c r="O9653" s="2">
        <f ca="1"/>
        <v>-0.60533734511197923</v>
      </c>
      <c r="X9653" s="2">
        <f ca="1"/>
        <v>28.645239900144205</v>
      </c>
      <c r="AG9653" s="2">
        <f ca="1"/>
        <v>0.52615946616598164</v>
      </c>
      <c r="AH9653" s="2" t="str">
        <f ca="1"/>
        <v>Bad</v>
      </c>
    </row>
    <row r="9654" spans="2:34">
      <c r="B9654" s="2">
        <f ca="1"/>
        <v>0.62159540975453731</v>
      </c>
      <c r="O9654" s="2">
        <f ca="1"/>
        <v>0.47302361755404526</v>
      </c>
      <c r="X9654" s="2">
        <f ca="1"/>
        <v>42.014252831636732</v>
      </c>
      <c r="AG9654" s="2">
        <f ca="1"/>
        <v>2.9470052918975531E-2</v>
      </c>
      <c r="AH9654" s="2" t="str">
        <f ca="1"/>
        <v>Good</v>
      </c>
    </row>
    <row r="9655" spans="2:34">
      <c r="B9655" s="2">
        <f ca="1"/>
        <v>0.17458540521653965</v>
      </c>
      <c r="O9655" s="2">
        <f ca="1"/>
        <v>1.377999986344465</v>
      </c>
      <c r="X9655" s="2">
        <f ca="1"/>
        <v>45.156269784931155</v>
      </c>
      <c r="AG9655" s="2">
        <f ca="1"/>
        <v>0.71506457253416578</v>
      </c>
      <c r="AH9655" s="2" t="str">
        <f ca="1"/>
        <v>Bad</v>
      </c>
    </row>
    <row r="9656" spans="2:34">
      <c r="B9656" s="2">
        <f ca="1"/>
        <v>0.2925066318684586</v>
      </c>
      <c r="O9656" s="2">
        <f ca="1"/>
        <v>-1.7025462075637101</v>
      </c>
      <c r="X9656" s="2">
        <f ca="1"/>
        <v>52.806469204349106</v>
      </c>
      <c r="AG9656" s="2">
        <f ca="1"/>
        <v>0.41565150882427582</v>
      </c>
      <c r="AH9656" s="2" t="str">
        <f ca="1"/>
        <v>Bad</v>
      </c>
    </row>
    <row r="9657" spans="2:34">
      <c r="B9657" s="2">
        <f ca="1"/>
        <v>5.8046861486078294E-2</v>
      </c>
      <c r="O9657" s="2">
        <f ca="1"/>
        <v>0.58759025297942447</v>
      </c>
      <c r="X9657" s="2">
        <f ca="1"/>
        <v>38.750563791188327</v>
      </c>
      <c r="AG9657" s="2">
        <f ca="1"/>
        <v>0.35797055802546751</v>
      </c>
      <c r="AH9657" s="2" t="str">
        <f ca="1"/>
        <v>OK</v>
      </c>
    </row>
    <row r="9658" spans="2:34">
      <c r="B9658" s="2">
        <f ca="1"/>
        <v>0.78652282728035017</v>
      </c>
      <c r="O9658" s="2">
        <f ca="1"/>
        <v>-0.86250712337773283</v>
      </c>
      <c r="X9658" s="2">
        <f ca="1"/>
        <v>60.12904537421619</v>
      </c>
      <c r="AG9658" s="2">
        <f ca="1"/>
        <v>0.46552101993516182</v>
      </c>
      <c r="AH9658" s="2" t="str">
        <f ca="1"/>
        <v>Bad</v>
      </c>
    </row>
    <row r="9659" spans="2:34">
      <c r="B9659" s="2">
        <f ca="1"/>
        <v>0.77348699226790019</v>
      </c>
      <c r="O9659" s="2">
        <f ca="1"/>
        <v>1.6965829368397629</v>
      </c>
      <c r="X9659" s="2">
        <f ca="1"/>
        <v>37.541463980620371</v>
      </c>
      <c r="AG9659" s="2">
        <f ca="1"/>
        <v>0.26428797692153139</v>
      </c>
      <c r="AH9659" s="2" t="str">
        <f ca="1"/>
        <v>OK</v>
      </c>
    </row>
    <row r="9660" spans="2:34">
      <c r="B9660" s="2">
        <f ca="1"/>
        <v>0.32252855487943832</v>
      </c>
      <c r="O9660" s="2">
        <f ca="1"/>
        <v>1.2102537167196601</v>
      </c>
      <c r="X9660" s="2">
        <f ca="1"/>
        <v>56.92913044426092</v>
      </c>
      <c r="AG9660" s="2">
        <f ca="1"/>
        <v>0.78649683710894758</v>
      </c>
      <c r="AH9660" s="2" t="str">
        <f ca="1"/>
        <v>Bad</v>
      </c>
    </row>
    <row r="9661" spans="2:34">
      <c r="B9661" s="2">
        <f ca="1"/>
        <v>0.66703951412949825</v>
      </c>
      <c r="O9661" s="2">
        <f ca="1"/>
        <v>-1.5052755019600796</v>
      </c>
      <c r="X9661" s="2">
        <f ca="1"/>
        <v>57.664770440924514</v>
      </c>
      <c r="AG9661" s="2">
        <f ca="1"/>
        <v>0.21805807128838595</v>
      </c>
      <c r="AH9661" s="2" t="str">
        <f ca="1"/>
        <v>OK</v>
      </c>
    </row>
    <row r="9662" spans="2:34">
      <c r="B9662" s="2">
        <f ca="1"/>
        <v>0.71102663604066763</v>
      </c>
      <c r="O9662" s="2">
        <f ca="1"/>
        <v>1.0817822722368011</v>
      </c>
      <c r="X9662" s="2">
        <f ca="1"/>
        <v>40.082751734883729</v>
      </c>
      <c r="AG9662" s="2">
        <f ca="1"/>
        <v>0.18676725828054597</v>
      </c>
      <c r="AH9662" s="2" t="str">
        <f ca="1"/>
        <v>OK</v>
      </c>
    </row>
    <row r="9663" spans="2:34">
      <c r="B9663" s="2">
        <f ca="1"/>
        <v>0.57353781654257241</v>
      </c>
      <c r="O9663" s="2">
        <f ca="1"/>
        <v>-0.61538258722436157</v>
      </c>
      <c r="X9663" s="2">
        <f ca="1"/>
        <v>18.305363252981312</v>
      </c>
      <c r="AG9663" s="2">
        <f ca="1"/>
        <v>0.56349914138470591</v>
      </c>
      <c r="AH9663" s="2" t="str">
        <f ca="1"/>
        <v>Bad</v>
      </c>
    </row>
    <row r="9664" spans="2:34">
      <c r="B9664" s="2">
        <f ca="1"/>
        <v>0.51746744064105887</v>
      </c>
      <c r="O9664" s="2">
        <f ca="1"/>
        <v>-0.81229117834511011</v>
      </c>
      <c r="X9664" s="2">
        <f ca="1"/>
        <v>42.273377584577752</v>
      </c>
      <c r="AG9664" s="2">
        <f ca="1"/>
        <v>8.8692643005845673E-2</v>
      </c>
      <c r="AH9664" s="2" t="str">
        <f ca="1"/>
        <v>OK</v>
      </c>
    </row>
    <row r="9665" spans="2:34">
      <c r="B9665" s="2">
        <f ca="1"/>
        <v>0.7493788561123722</v>
      </c>
      <c r="O9665" s="2">
        <f ca="1"/>
        <v>-0.23427957971404256</v>
      </c>
      <c r="X9665" s="2">
        <f ca="1"/>
        <v>44.684360762958796</v>
      </c>
      <c r="AG9665" s="2">
        <f ca="1"/>
        <v>0.78002382847246721</v>
      </c>
      <c r="AH9665" s="2" t="str">
        <f ca="1"/>
        <v>Bad</v>
      </c>
    </row>
    <row r="9666" spans="2:34">
      <c r="B9666" s="2">
        <f ca="1"/>
        <v>0.53188128969360426</v>
      </c>
      <c r="O9666" s="2">
        <f ca="1"/>
        <v>-1.3218706756416794</v>
      </c>
      <c r="X9666" s="2">
        <f ca="1"/>
        <v>64.752845718445244</v>
      </c>
      <c r="AG9666" s="2">
        <f ca="1"/>
        <v>4.5662802631127208E-2</v>
      </c>
      <c r="AH9666" s="2" t="str">
        <f ca="1"/>
        <v>Good</v>
      </c>
    </row>
    <row r="9667" spans="2:34">
      <c r="B9667" s="2">
        <f ca="1"/>
        <v>7.7448421420235558E-2</v>
      </c>
      <c r="O9667" s="2">
        <f ca="1"/>
        <v>0.25351822268058483</v>
      </c>
      <c r="X9667" s="2">
        <f ca="1"/>
        <v>72.661703922900628</v>
      </c>
      <c r="AG9667" s="2">
        <f ca="1"/>
        <v>0.31504514548281204</v>
      </c>
      <c r="AH9667" s="2" t="str">
        <f ca="1"/>
        <v>OK</v>
      </c>
    </row>
    <row r="9668" spans="2:34">
      <c r="B9668" s="2">
        <f ca="1"/>
        <v>0.58471244894716445</v>
      </c>
      <c r="O9668" s="2">
        <f ca="1"/>
        <v>0.18872424618873587</v>
      </c>
      <c r="X9668" s="2">
        <f ca="1"/>
        <v>40.266463158536723</v>
      </c>
      <c r="AG9668" s="2">
        <f ca="1"/>
        <v>0.16315091207397581</v>
      </c>
      <c r="AH9668" s="2" t="str">
        <f ca="1"/>
        <v>OK</v>
      </c>
    </row>
    <row r="9669" spans="2:34">
      <c r="B9669" s="2">
        <f ca="1"/>
        <v>0.20783509232023323</v>
      </c>
      <c r="O9669" s="2">
        <f ca="1"/>
        <v>-6.7437405324973249E-2</v>
      </c>
      <c r="X9669" s="2">
        <f ca="1"/>
        <v>46.915069056446931</v>
      </c>
      <c r="AG9669" s="2">
        <f ca="1"/>
        <v>0.47875047672084103</v>
      </c>
      <c r="AH9669" s="2" t="str">
        <f ca="1"/>
        <v>Bad</v>
      </c>
    </row>
    <row r="9670" spans="2:34">
      <c r="B9670" s="2">
        <f ca="1"/>
        <v>0.65930316345088724</v>
      </c>
      <c r="O9670" s="2">
        <f ca="1"/>
        <v>0.65662814222952437</v>
      </c>
      <c r="X9670" s="2">
        <f ca="1"/>
        <v>43.699558763671725</v>
      </c>
      <c r="AG9670" s="2">
        <f ca="1"/>
        <v>0.12067391824136564</v>
      </c>
      <c r="AH9670" s="2" t="str">
        <f ca="1"/>
        <v>OK</v>
      </c>
    </row>
    <row r="9671" spans="2:34">
      <c r="B9671" s="2">
        <f ca="1"/>
        <v>0.60404284975098577</v>
      </c>
      <c r="O9671" s="2">
        <f ca="1"/>
        <v>-1.2518056591527316</v>
      </c>
      <c r="X9671" s="2">
        <f ca="1"/>
        <v>41.720406213029051</v>
      </c>
      <c r="AG9671" s="2">
        <f ca="1"/>
        <v>0.55174360598265726</v>
      </c>
      <c r="AH9671" s="2" t="str">
        <f ca="1"/>
        <v>Bad</v>
      </c>
    </row>
    <row r="9672" spans="2:34">
      <c r="B9672" s="2">
        <f ca="1"/>
        <v>0.14690786551571788</v>
      </c>
      <c r="O9672" s="2">
        <f ca="1"/>
        <v>-0.14334367250209415</v>
      </c>
      <c r="X9672" s="2">
        <f ca="1"/>
        <v>50.486222910128873</v>
      </c>
      <c r="AG9672" s="2">
        <f ca="1"/>
        <v>0.78063380641456459</v>
      </c>
      <c r="AH9672" s="2" t="str">
        <f ca="1"/>
        <v>Bad</v>
      </c>
    </row>
    <row r="9673" spans="2:34">
      <c r="B9673" s="2">
        <f ca="1"/>
        <v>0.21139169265993041</v>
      </c>
      <c r="O9673" s="2">
        <f ca="1"/>
        <v>1.4957560096674136</v>
      </c>
      <c r="X9673" s="2">
        <f ca="1"/>
        <v>39.09183224694673</v>
      </c>
      <c r="AG9673" s="2">
        <f ca="1"/>
        <v>5.9167876475591186E-2</v>
      </c>
      <c r="AH9673" s="2" t="str">
        <f ca="1"/>
        <v>OK</v>
      </c>
    </row>
    <row r="9674" spans="2:34">
      <c r="B9674" s="2">
        <f ca="1"/>
        <v>0.61839494790734628</v>
      </c>
      <c r="O9674" s="2">
        <f ca="1"/>
        <v>-2.1633848463799383</v>
      </c>
      <c r="X9674" s="2">
        <f ca="1"/>
        <v>51.565283110273576</v>
      </c>
      <c r="AG9674" s="2">
        <f ca="1"/>
        <v>0.85141043226518898</v>
      </c>
      <c r="AH9674" s="2" t="str">
        <f ca="1"/>
        <v>Bad</v>
      </c>
    </row>
    <row r="9675" spans="2:34">
      <c r="B9675" s="2">
        <f ca="1"/>
        <v>9.7803634032446851E-2</v>
      </c>
      <c r="O9675" s="2">
        <f ca="1"/>
        <v>3.9741069158793973E-3</v>
      </c>
      <c r="X9675" s="2">
        <f ca="1"/>
        <v>51.290047387809288</v>
      </c>
      <c r="AG9675" s="2">
        <f ca="1"/>
        <v>0.19268389240074146</v>
      </c>
      <c r="AH9675" s="2" t="str">
        <f ca="1"/>
        <v>OK</v>
      </c>
    </row>
    <row r="9676" spans="2:34">
      <c r="B9676" s="2">
        <f ca="1"/>
        <v>0.87812666588006416</v>
      </c>
      <c r="O9676" s="2">
        <f ca="1"/>
        <v>-1.378565245079834</v>
      </c>
      <c r="X9676" s="2">
        <f ca="1"/>
        <v>39.748794356887245</v>
      </c>
      <c r="AG9676" s="2">
        <f ca="1"/>
        <v>0.99880412060020629</v>
      </c>
      <c r="AH9676" s="2" t="str">
        <f ca="1"/>
        <v>Bad</v>
      </c>
    </row>
    <row r="9677" spans="2:34">
      <c r="B9677" s="2">
        <f ca="1"/>
        <v>0.63256893776041356</v>
      </c>
      <c r="O9677" s="2">
        <f ca="1"/>
        <v>1.0297420160753119</v>
      </c>
      <c r="X9677" s="2">
        <f ca="1"/>
        <v>53.385789886550398</v>
      </c>
      <c r="AG9677" s="2">
        <f ca="1"/>
        <v>0.93240580905557047</v>
      </c>
      <c r="AH9677" s="2" t="str">
        <f ca="1"/>
        <v>Bad</v>
      </c>
    </row>
    <row r="9678" spans="2:34">
      <c r="B9678" s="2">
        <f ca="1"/>
        <v>0.58855304398453323</v>
      </c>
      <c r="O9678" s="2">
        <f ca="1"/>
        <v>-1.8060264936029085</v>
      </c>
      <c r="X9678" s="2">
        <f ca="1"/>
        <v>37.527464941072544</v>
      </c>
      <c r="AG9678" s="2">
        <f ca="1"/>
        <v>0.82163358853526769</v>
      </c>
      <c r="AH9678" s="2" t="str">
        <f ca="1"/>
        <v>Bad</v>
      </c>
    </row>
    <row r="9679" spans="2:34">
      <c r="B9679" s="2">
        <f ca="1"/>
        <v>0.96092782212857997</v>
      </c>
      <c r="O9679" s="2">
        <f ca="1"/>
        <v>-0.29314320327739046</v>
      </c>
      <c r="X9679" s="2">
        <f ca="1"/>
        <v>49.561801871461128</v>
      </c>
      <c r="AG9679" s="2">
        <f ca="1"/>
        <v>0.271593061805814</v>
      </c>
      <c r="AH9679" s="2" t="str">
        <f ca="1"/>
        <v>OK</v>
      </c>
    </row>
    <row r="9680" spans="2:34">
      <c r="B9680" s="2">
        <f ca="1"/>
        <v>7.8723959716361369E-2</v>
      </c>
      <c r="O9680" s="2">
        <f ca="1"/>
        <v>0.37867731428731127</v>
      </c>
      <c r="X9680" s="2">
        <f ca="1"/>
        <v>66.983891792539325</v>
      </c>
      <c r="AG9680" s="2">
        <f ca="1"/>
        <v>0.29244491926913563</v>
      </c>
      <c r="AH9680" s="2" t="str">
        <f ca="1"/>
        <v>OK</v>
      </c>
    </row>
    <row r="9681" spans="2:34">
      <c r="B9681" s="2">
        <f ca="1"/>
        <v>4.2154446088984665E-2</v>
      </c>
      <c r="O9681" s="2">
        <f ca="1"/>
        <v>-0.15741955358521539</v>
      </c>
      <c r="X9681" s="2">
        <f ca="1"/>
        <v>72.266876277355351</v>
      </c>
      <c r="AG9681" s="2">
        <f ca="1"/>
        <v>4.6149037010449367E-2</v>
      </c>
      <c r="AH9681" s="2" t="str">
        <f ca="1"/>
        <v>Good</v>
      </c>
    </row>
    <row r="9682" spans="2:34">
      <c r="B9682" s="2">
        <f ca="1"/>
        <v>0.59381231926257128</v>
      </c>
      <c r="O9682" s="2">
        <f ca="1"/>
        <v>-0.40073699301787397</v>
      </c>
      <c r="X9682" s="2">
        <f ca="1"/>
        <v>70.428269532695694</v>
      </c>
      <c r="AG9682" s="2">
        <f ca="1"/>
        <v>0.10978759903398916</v>
      </c>
      <c r="AH9682" s="2" t="str">
        <f ca="1"/>
        <v>OK</v>
      </c>
    </row>
    <row r="9683" spans="2:34">
      <c r="B9683" s="2">
        <f ca="1"/>
        <v>0.33748582362973223</v>
      </c>
      <c r="O9683" s="2">
        <f ca="1"/>
        <v>-0.491472122756485</v>
      </c>
      <c r="X9683" s="2">
        <f ca="1"/>
        <v>51.260546054212703</v>
      </c>
      <c r="AG9683" s="2">
        <f ca="1"/>
        <v>0.41988749690453431</v>
      </c>
      <c r="AH9683" s="2" t="str">
        <f ca="1"/>
        <v>Bad</v>
      </c>
    </row>
    <row r="9684" spans="2:34">
      <c r="B9684" s="2">
        <f ca="1"/>
        <v>0.66112830257629129</v>
      </c>
      <c r="O9684" s="2">
        <f ca="1"/>
        <v>-1.8071053078728854</v>
      </c>
      <c r="X9684" s="2">
        <f ca="1"/>
        <v>29.012164339545187</v>
      </c>
      <c r="AG9684" s="2">
        <f ca="1"/>
        <v>0.71546245529434449</v>
      </c>
      <c r="AH9684" s="2" t="str">
        <f ca="1"/>
        <v>Bad</v>
      </c>
    </row>
    <row r="9685" spans="2:34">
      <c r="B9685" s="2">
        <f ca="1"/>
        <v>0.27432327506958631</v>
      </c>
      <c r="O9685" s="2">
        <f ca="1"/>
        <v>1.0636995073558979</v>
      </c>
      <c r="X9685" s="2">
        <f ca="1"/>
        <v>35.853301620218161</v>
      </c>
      <c r="AG9685" s="2">
        <f ca="1"/>
        <v>0.45018019323390157</v>
      </c>
      <c r="AH9685" s="2" t="str">
        <f ca="1"/>
        <v>Bad</v>
      </c>
    </row>
    <row r="9686" spans="2:34">
      <c r="B9686" s="2">
        <f ca="1"/>
        <v>0.59721208625593336</v>
      </c>
      <c r="O9686" s="2">
        <f ca="1"/>
        <v>-0.71620670841118217</v>
      </c>
      <c r="X9686" s="2">
        <f ca="1"/>
        <v>59.311292785764053</v>
      </c>
      <c r="AG9686" s="2">
        <f ca="1"/>
        <v>0.75514800895975842</v>
      </c>
      <c r="AH9686" s="2" t="str">
        <f ca="1"/>
        <v>Bad</v>
      </c>
    </row>
    <row r="9687" spans="2:34">
      <c r="B9687" s="2">
        <f ca="1"/>
        <v>0.53104821367918009</v>
      </c>
      <c r="O9687" s="2">
        <f ca="1"/>
        <v>-0.57168360581263156</v>
      </c>
      <c r="X9687" s="2">
        <f ca="1"/>
        <v>54.387863918135707</v>
      </c>
      <c r="AG9687" s="2">
        <f ca="1"/>
        <v>0.76866333214589577</v>
      </c>
      <c r="AH9687" s="2" t="str">
        <f ca="1"/>
        <v>Bad</v>
      </c>
    </row>
    <row r="9688" spans="2:34">
      <c r="B9688" s="2">
        <f ca="1"/>
        <v>0.91441663706524245</v>
      </c>
      <c r="O9688" s="2">
        <f ca="1"/>
        <v>0.28740725105911724</v>
      </c>
      <c r="X9688" s="2">
        <f ca="1"/>
        <v>45.046465707085055</v>
      </c>
      <c r="AG9688" s="2">
        <f ca="1"/>
        <v>0.28186775642032935</v>
      </c>
      <c r="AH9688" s="2" t="str">
        <f ca="1"/>
        <v>OK</v>
      </c>
    </row>
    <row r="9689" spans="2:34">
      <c r="B9689" s="2">
        <f ca="1"/>
        <v>3.2780213693139215E-2</v>
      </c>
      <c r="O9689" s="2">
        <f ca="1"/>
        <v>-1.6979495922762107E-2</v>
      </c>
      <c r="X9689" s="2">
        <f ca="1"/>
        <v>69.780108563434212</v>
      </c>
      <c r="AG9689" s="2">
        <f ca="1"/>
        <v>0.95341456932335311</v>
      </c>
      <c r="AH9689" s="2" t="str">
        <f ca="1"/>
        <v>Bad</v>
      </c>
    </row>
    <row r="9690" spans="2:34">
      <c r="B9690" s="2">
        <f ca="1"/>
        <v>0.13249669069466874</v>
      </c>
      <c r="O9690" s="2">
        <f ca="1"/>
        <v>1.149672403652499</v>
      </c>
      <c r="X9690" s="2">
        <f ca="1"/>
        <v>41.249175209005024</v>
      </c>
      <c r="AG9690" s="2">
        <f ca="1"/>
        <v>0.89832983147151868</v>
      </c>
      <c r="AH9690" s="2" t="str">
        <f ca="1"/>
        <v>Bad</v>
      </c>
    </row>
    <row r="9691" spans="2:34">
      <c r="B9691" s="2">
        <f ca="1"/>
        <v>0.73476102617497974</v>
      </c>
      <c r="O9691" s="2">
        <f ca="1"/>
        <v>-8.5643927130554021E-2</v>
      </c>
      <c r="X9691" s="2">
        <f ca="1"/>
        <v>78.573223767875461</v>
      </c>
      <c r="AG9691" s="2">
        <f ca="1"/>
        <v>0.36448379182294399</v>
      </c>
      <c r="AH9691" s="2" t="str">
        <f ca="1"/>
        <v>OK</v>
      </c>
    </row>
    <row r="9692" spans="2:34">
      <c r="B9692" s="2">
        <f ca="1"/>
        <v>0.11911620060825223</v>
      </c>
      <c r="O9692" s="2">
        <f ca="1"/>
        <v>-1.6260903266025988</v>
      </c>
      <c r="X9692" s="2">
        <f ca="1"/>
        <v>44.039453563277164</v>
      </c>
      <c r="AG9692" s="2">
        <f ca="1"/>
        <v>0.57187732779996292</v>
      </c>
      <c r="AH9692" s="2" t="str">
        <f ca="1"/>
        <v>Bad</v>
      </c>
    </row>
    <row r="9693" spans="2:34">
      <c r="B9693" s="2">
        <f ca="1"/>
        <v>0.28243643820736586</v>
      </c>
      <c r="O9693" s="2">
        <f ca="1"/>
        <v>0.18368323505427284</v>
      </c>
      <c r="X9693" s="2">
        <f ca="1"/>
        <v>31.892241217586886</v>
      </c>
      <c r="AG9693" s="2">
        <f ca="1"/>
        <v>0.10811898934650754</v>
      </c>
      <c r="AH9693" s="2" t="str">
        <f ca="1"/>
        <v>OK</v>
      </c>
    </row>
    <row r="9694" spans="2:34">
      <c r="B9694" s="2">
        <f ca="1"/>
        <v>0.42599984173421745</v>
      </c>
      <c r="O9694" s="2">
        <f ca="1"/>
        <v>-0.96641336636078723</v>
      </c>
      <c r="X9694" s="2">
        <f ca="1"/>
        <v>27.937637444996138</v>
      </c>
      <c r="AG9694" s="2">
        <f ca="1"/>
        <v>0.94689066115738396</v>
      </c>
      <c r="AH9694" s="2" t="str">
        <f ca="1"/>
        <v>Bad</v>
      </c>
    </row>
    <row r="9695" spans="2:34">
      <c r="B9695" s="2">
        <f ca="1"/>
        <v>0.99890841265522345</v>
      </c>
      <c r="O9695" s="2">
        <f ca="1"/>
        <v>-7.5392105520752734E-2</v>
      </c>
      <c r="X9695" s="2">
        <f ca="1"/>
        <v>30.724036965049123</v>
      </c>
      <c r="AG9695" s="2">
        <f ca="1"/>
        <v>0.95658224737568465</v>
      </c>
      <c r="AH9695" s="2" t="str">
        <f ca="1"/>
        <v>Bad</v>
      </c>
    </row>
    <row r="9696" spans="2:34">
      <c r="B9696" s="2">
        <f ca="1"/>
        <v>0.72671293964142647</v>
      </c>
      <c r="O9696" s="2">
        <f ca="1"/>
        <v>8.9932075230273564E-2</v>
      </c>
      <c r="X9696" s="2">
        <f ca="1"/>
        <v>44.332680766089752</v>
      </c>
      <c r="AG9696" s="2">
        <f ca="1"/>
        <v>0.42061887909806783</v>
      </c>
      <c r="AH9696" s="2" t="str">
        <f ca="1"/>
        <v>Bad</v>
      </c>
    </row>
    <row r="9697" spans="2:34">
      <c r="B9697" s="2">
        <f ca="1"/>
        <v>7.945535817479521E-2</v>
      </c>
      <c r="O9697" s="2">
        <f ca="1"/>
        <v>-1.2380377211348896</v>
      </c>
      <c r="X9697" s="2">
        <f ca="1"/>
        <v>46.676580784765591</v>
      </c>
      <c r="AG9697" s="2">
        <f ca="1"/>
        <v>0.70957057378741561</v>
      </c>
      <c r="AH9697" s="2" t="str">
        <f ca="1"/>
        <v>Bad</v>
      </c>
    </row>
    <row r="9698" spans="2:34">
      <c r="B9698" s="2">
        <f ca="1"/>
        <v>1.5954063590942758E-2</v>
      </c>
      <c r="O9698" s="2">
        <f ca="1"/>
        <v>-0.12448322444150757</v>
      </c>
      <c r="X9698" s="2">
        <f ca="1"/>
        <v>47.899314524172148</v>
      </c>
      <c r="AG9698" s="2">
        <f ca="1"/>
        <v>0.8109739304479604</v>
      </c>
      <c r="AH9698" s="2" t="str">
        <f ca="1"/>
        <v>Bad</v>
      </c>
    </row>
    <row r="9699" spans="2:34">
      <c r="B9699" s="2">
        <f ca="1"/>
        <v>0.27988992164953919</v>
      </c>
      <c r="O9699" s="2">
        <f ca="1"/>
        <v>-0.70467821490010929</v>
      </c>
      <c r="X9699" s="2">
        <f ca="1"/>
        <v>48.540447119451414</v>
      </c>
      <c r="AG9699" s="2">
        <f ca="1"/>
        <v>0.51303233657627789</v>
      </c>
      <c r="AH9699" s="2" t="str">
        <f ca="1"/>
        <v>Bad</v>
      </c>
    </row>
    <row r="9700" spans="2:34">
      <c r="B9700" s="2">
        <f ca="1"/>
        <v>0.24479776119902819</v>
      </c>
      <c r="O9700" s="2">
        <f ca="1"/>
        <v>0.24374993568155237</v>
      </c>
      <c r="X9700" s="2">
        <f ca="1"/>
        <v>28.292413207307632</v>
      </c>
      <c r="AG9700" s="2">
        <f ca="1"/>
        <v>0.95790670452339555</v>
      </c>
      <c r="AH9700" s="2" t="str">
        <f ca="1"/>
        <v>Bad</v>
      </c>
    </row>
    <row r="9701" spans="2:34">
      <c r="B9701" s="2">
        <f ca="1"/>
        <v>0.48619444252206612</v>
      </c>
      <c r="O9701" s="2">
        <f ca="1"/>
        <v>-4.207707043936753E-2</v>
      </c>
      <c r="X9701" s="2">
        <f ca="1"/>
        <v>41.065964577036098</v>
      </c>
      <c r="AG9701" s="2">
        <f ca="1"/>
        <v>0.62318298103382852</v>
      </c>
      <c r="AH9701" s="2" t="str">
        <f ca="1"/>
        <v>Bad</v>
      </c>
    </row>
    <row r="9702" spans="2:34">
      <c r="B9702" s="2">
        <f ca="1"/>
        <v>0.13873063787179563</v>
      </c>
      <c r="O9702" s="2">
        <f ca="1"/>
        <v>0.91027466152522307</v>
      </c>
      <c r="X9702" s="2">
        <f ca="1"/>
        <v>41.293816547074826</v>
      </c>
      <c r="AG9702" s="2">
        <f ca="1"/>
        <v>0.57799713823935739</v>
      </c>
      <c r="AH9702" s="2" t="str">
        <f ca="1"/>
        <v>Bad</v>
      </c>
    </row>
    <row r="9703" spans="2:34">
      <c r="B9703" s="2">
        <f ca="1"/>
        <v>9.7333174397857158E-2</v>
      </c>
      <c r="O9703" s="2">
        <f ca="1"/>
        <v>4.2939947423057463E-2</v>
      </c>
      <c r="X9703" s="2">
        <f ca="1"/>
        <v>38.499355931282075</v>
      </c>
      <c r="AG9703" s="2">
        <f ca="1"/>
        <v>0.98118263078169843</v>
      </c>
      <c r="AH9703" s="2" t="str">
        <f ca="1"/>
        <v>Bad</v>
      </c>
    </row>
    <row r="9704" spans="2:34">
      <c r="B9704" s="2">
        <f ca="1"/>
        <v>0.4025255012899529</v>
      </c>
      <c r="O9704" s="2">
        <f ca="1"/>
        <v>1.0682880214244279</v>
      </c>
      <c r="X9704" s="2">
        <f ca="1"/>
        <v>41.762289728000596</v>
      </c>
      <c r="AG9704" s="2">
        <f ca="1"/>
        <v>5.4864027519500258E-2</v>
      </c>
      <c r="AH9704" s="2" t="str">
        <f ca="1"/>
        <v>OK</v>
      </c>
    </row>
    <row r="9705" spans="2:34">
      <c r="B9705" s="2">
        <f ca="1"/>
        <v>0.95114905613398282</v>
      </c>
      <c r="O9705" s="2">
        <f ca="1"/>
        <v>1.1107750013990076</v>
      </c>
      <c r="X9705" s="2">
        <f ca="1"/>
        <v>30.533502076591979</v>
      </c>
      <c r="AG9705" s="2">
        <f ca="1"/>
        <v>0.79038713405516825</v>
      </c>
      <c r="AH9705" s="2" t="str">
        <f ca="1"/>
        <v>Bad</v>
      </c>
    </row>
    <row r="9706" spans="2:34">
      <c r="B9706" s="2">
        <f ca="1"/>
        <v>0.75995223724397354</v>
      </c>
      <c r="O9706" s="2">
        <f ca="1"/>
        <v>0.64045898003376567</v>
      </c>
      <c r="X9706" s="2">
        <f ca="1"/>
        <v>51.11858684787849</v>
      </c>
      <c r="AG9706" s="2">
        <f ca="1"/>
        <v>0.68728190766716812</v>
      </c>
      <c r="AH9706" s="2" t="str">
        <f ca="1"/>
        <v>Bad</v>
      </c>
    </row>
    <row r="9707" spans="2:34">
      <c r="B9707" s="2">
        <f ca="1"/>
        <v>0.14172493803903996</v>
      </c>
      <c r="O9707" s="2">
        <f ca="1"/>
        <v>0.28545198307368752</v>
      </c>
      <c r="X9707" s="2">
        <f ca="1"/>
        <v>53.107611994948051</v>
      </c>
      <c r="AG9707" s="2">
        <f ca="1"/>
        <v>2.8978038110030413E-2</v>
      </c>
      <c r="AH9707" s="2" t="str">
        <f ca="1"/>
        <v>Good</v>
      </c>
    </row>
    <row r="9708" spans="2:34">
      <c r="B9708" s="2">
        <f ca="1"/>
        <v>0.87707681213875954</v>
      </c>
      <c r="O9708" s="2">
        <f ca="1"/>
        <v>-1.2697420184346275</v>
      </c>
      <c r="X9708" s="2">
        <f ca="1"/>
        <v>57.750795228868427</v>
      </c>
      <c r="AG9708" s="2">
        <f ca="1"/>
        <v>0.26450487873067274</v>
      </c>
      <c r="AH9708" s="2" t="str">
        <f ca="1"/>
        <v>OK</v>
      </c>
    </row>
    <row r="9709" spans="2:34">
      <c r="B9709" s="2">
        <f ca="1"/>
        <v>0.35453868828570601</v>
      </c>
      <c r="O9709" s="2">
        <f ca="1"/>
        <v>-0.77577865409662439</v>
      </c>
      <c r="X9709" s="2">
        <f ca="1"/>
        <v>69.729783371159613</v>
      </c>
      <c r="AG9709" s="2">
        <f ca="1"/>
        <v>0.91191614030339307</v>
      </c>
      <c r="AH9709" s="2" t="str">
        <f ca="1"/>
        <v>Bad</v>
      </c>
    </row>
    <row r="9710" spans="2:34">
      <c r="B9710" s="2">
        <f ca="1"/>
        <v>0.74133730425151767</v>
      </c>
      <c r="O9710" s="2">
        <f ca="1"/>
        <v>4.0615920506205931E-2</v>
      </c>
      <c r="X9710" s="2">
        <f ca="1"/>
        <v>44.462236074307995</v>
      </c>
      <c r="AG9710" s="2">
        <f ca="1"/>
        <v>0.72791427531781183</v>
      </c>
      <c r="AH9710" s="2" t="str">
        <f ca="1"/>
        <v>Bad</v>
      </c>
    </row>
    <row r="9711" spans="2:34">
      <c r="B9711" s="2">
        <f ca="1"/>
        <v>0.38988472377845329</v>
      </c>
      <c r="O9711" s="2">
        <f ca="1"/>
        <v>-1.7243281669907378</v>
      </c>
      <c r="X9711" s="2">
        <f ca="1"/>
        <v>69.651171439518635</v>
      </c>
      <c r="AG9711" s="2">
        <f ca="1"/>
        <v>2.3503088350799617E-2</v>
      </c>
      <c r="AH9711" s="2" t="str">
        <f ca="1"/>
        <v>Good</v>
      </c>
    </row>
    <row r="9712" spans="2:34">
      <c r="B9712" s="2">
        <f ca="1"/>
        <v>0.93320523379165676</v>
      </c>
      <c r="O9712" s="2">
        <f ca="1"/>
        <v>1.9778202589842948</v>
      </c>
      <c r="X9712" s="2">
        <f ca="1"/>
        <v>56.128052827420269</v>
      </c>
      <c r="AG9712" s="2">
        <f ca="1"/>
        <v>0.72630755880157816</v>
      </c>
      <c r="AH9712" s="2" t="str">
        <f ca="1"/>
        <v>Bad</v>
      </c>
    </row>
    <row r="9713" spans="2:34">
      <c r="B9713" s="2">
        <f ca="1"/>
        <v>0.89408174548140784</v>
      </c>
      <c r="O9713" s="2">
        <f ca="1"/>
        <v>-0.71102660780833915</v>
      </c>
      <c r="X9713" s="2">
        <f ca="1"/>
        <v>62.740249642248699</v>
      </c>
      <c r="AG9713" s="2">
        <f ca="1"/>
        <v>0.32779889117924044</v>
      </c>
      <c r="AH9713" s="2" t="str">
        <f ca="1"/>
        <v>OK</v>
      </c>
    </row>
    <row r="9714" spans="2:34">
      <c r="B9714" s="2">
        <f ca="1"/>
        <v>0.99554018785276099</v>
      </c>
      <c r="O9714" s="2">
        <f ca="1"/>
        <v>0.87622922711035389</v>
      </c>
      <c r="X9714" s="2">
        <f ca="1"/>
        <v>56.267275379520676</v>
      </c>
      <c r="AG9714" s="2">
        <f ca="1"/>
        <v>0.84689859015750879</v>
      </c>
      <c r="AH9714" s="2" t="str">
        <f ca="1"/>
        <v>Bad</v>
      </c>
    </row>
    <row r="9715" spans="2:34">
      <c r="B9715" s="2">
        <f ca="1"/>
        <v>0.52460410135579982</v>
      </c>
      <c r="O9715" s="2">
        <f ca="1"/>
        <v>0.63176353870860191</v>
      </c>
      <c r="X9715" s="2">
        <f ca="1"/>
        <v>59.129475969393788</v>
      </c>
      <c r="AG9715" s="2">
        <f ca="1"/>
        <v>0.72155881521606258</v>
      </c>
      <c r="AH9715" s="2" t="str">
        <f ca="1"/>
        <v>Bad</v>
      </c>
    </row>
    <row r="9716" spans="2:34">
      <c r="B9716" s="2">
        <f ca="1"/>
        <v>6.6178976316060956E-2</v>
      </c>
      <c r="O9716" s="2">
        <f ca="1"/>
        <v>-1.3002629605725351</v>
      </c>
      <c r="X9716" s="2">
        <f ca="1"/>
        <v>34.742380942591168</v>
      </c>
      <c r="AG9716" s="2">
        <f ca="1"/>
        <v>0.58823716064154774</v>
      </c>
      <c r="AH9716" s="2" t="str">
        <f ca="1"/>
        <v>Bad</v>
      </c>
    </row>
    <row r="9717" spans="2:34">
      <c r="B9717" s="2">
        <f ca="1"/>
        <v>0.31115379217667094</v>
      </c>
      <c r="O9717" s="2">
        <f ca="1"/>
        <v>-1.5607750588202032</v>
      </c>
      <c r="X9717" s="2">
        <f ca="1"/>
        <v>43.462457922051101</v>
      </c>
      <c r="AG9717" s="2">
        <f ca="1"/>
        <v>0.10256371182812463</v>
      </c>
      <c r="AH9717" s="2" t="str">
        <f ca="1"/>
        <v>OK</v>
      </c>
    </row>
    <row r="9718" spans="2:34">
      <c r="B9718" s="2">
        <f ca="1"/>
        <v>0.33607300731043899</v>
      </c>
      <c r="O9718" s="2">
        <f ca="1"/>
        <v>-1.5930075723077712</v>
      </c>
      <c r="X9718" s="2">
        <f ca="1"/>
        <v>61.898661895104624</v>
      </c>
      <c r="AG9718" s="2">
        <f ca="1"/>
        <v>0.44034236737110266</v>
      </c>
      <c r="AH9718" s="2" t="str">
        <f ca="1"/>
        <v>Bad</v>
      </c>
    </row>
    <row r="9719" spans="2:34">
      <c r="B9719" s="2">
        <f ca="1"/>
        <v>0.31811050933455931</v>
      </c>
      <c r="O9719" s="2">
        <f ca="1"/>
        <v>0.45157794591931244</v>
      </c>
      <c r="X9719" s="2">
        <f ca="1"/>
        <v>60.766922779866455</v>
      </c>
      <c r="AG9719" s="2">
        <f ca="1"/>
        <v>7.3629174760873939E-2</v>
      </c>
      <c r="AH9719" s="2" t="str">
        <f ca="1"/>
        <v>OK</v>
      </c>
    </row>
    <row r="9720" spans="2:34">
      <c r="B9720" s="2">
        <f ca="1"/>
        <v>0.30319514354686317</v>
      </c>
      <c r="O9720" s="2">
        <f ca="1"/>
        <v>4.4161035246915739E-2</v>
      </c>
      <c r="X9720" s="2">
        <f ca="1"/>
        <v>50.831863855606699</v>
      </c>
      <c r="AG9720" s="2">
        <f ca="1"/>
        <v>0.65950582324899076</v>
      </c>
      <c r="AH9720" s="2" t="str">
        <f ca="1"/>
        <v>Bad</v>
      </c>
    </row>
    <row r="9721" spans="2:34">
      <c r="B9721" s="2">
        <f ca="1"/>
        <v>0.59816698661326329</v>
      </c>
      <c r="O9721" s="2">
        <f ca="1"/>
        <v>0.95099824441897429</v>
      </c>
      <c r="X9721" s="2">
        <f ca="1"/>
        <v>66.605929753853331</v>
      </c>
      <c r="AG9721" s="2">
        <f ca="1"/>
        <v>0.5382010495162759</v>
      </c>
      <c r="AH9721" s="2" t="str">
        <f ca="1"/>
        <v>Bad</v>
      </c>
    </row>
    <row r="9722" spans="2:34">
      <c r="B9722" s="2">
        <f ca="1"/>
        <v>0.95898964701319134</v>
      </c>
      <c r="O9722" s="2">
        <f ca="1"/>
        <v>1.8926537526568403</v>
      </c>
      <c r="X9722" s="2">
        <f ca="1"/>
        <v>42.121391700733454</v>
      </c>
      <c r="AG9722" s="2">
        <f ca="1"/>
        <v>0.16872615323271223</v>
      </c>
      <c r="AH9722" s="2" t="str">
        <f ca="1"/>
        <v>OK</v>
      </c>
    </row>
    <row r="9723" spans="2:34">
      <c r="B9723" s="2">
        <f ca="1"/>
        <v>0.97994482585419429</v>
      </c>
      <c r="O9723" s="2">
        <f ca="1"/>
        <v>0.20826093337040652</v>
      </c>
      <c r="X9723" s="2">
        <f ca="1"/>
        <v>48.008072766297332</v>
      </c>
      <c r="AG9723" s="2">
        <f ca="1"/>
        <v>0.42542640405037568</v>
      </c>
      <c r="AH9723" s="2" t="str">
        <f ca="1"/>
        <v>Bad</v>
      </c>
    </row>
    <row r="9724" spans="2:34">
      <c r="B9724" s="2">
        <f ca="1"/>
        <v>0.87916220067536988</v>
      </c>
      <c r="O9724" s="2">
        <f ca="1"/>
        <v>0.11237665720883701</v>
      </c>
      <c r="X9724" s="2">
        <f ca="1"/>
        <v>46.252688106767899</v>
      </c>
      <c r="AG9724" s="2">
        <f ca="1"/>
        <v>0.48719145905491978</v>
      </c>
      <c r="AH9724" s="2" t="str">
        <f ca="1"/>
        <v>Bad</v>
      </c>
    </row>
    <row r="9725" spans="2:34">
      <c r="B9725" s="2">
        <f ca="1"/>
        <v>0.14054165181503464</v>
      </c>
      <c r="O9725" s="2">
        <f ca="1"/>
        <v>0.96802510317919266</v>
      </c>
      <c r="X9725" s="2">
        <f ca="1"/>
        <v>37.515438703022291</v>
      </c>
      <c r="AG9725" s="2">
        <f ca="1"/>
        <v>0.74709081750535677</v>
      </c>
      <c r="AH9725" s="2" t="str">
        <f ca="1"/>
        <v>Bad</v>
      </c>
    </row>
    <row r="9726" spans="2:34">
      <c r="B9726" s="2">
        <f ca="1"/>
        <v>0.53273743414630803</v>
      </c>
      <c r="O9726" s="2">
        <f ca="1"/>
        <v>1.509470645313273E-2</v>
      </c>
      <c r="X9726" s="2">
        <f ca="1"/>
        <v>51.860934279887665</v>
      </c>
      <c r="AG9726" s="2">
        <f ca="1"/>
        <v>0.97292813666735523</v>
      </c>
      <c r="AH9726" s="2" t="str">
        <f ca="1"/>
        <v>Bad</v>
      </c>
    </row>
    <row r="9727" spans="2:34">
      <c r="B9727" s="2">
        <f ca="1"/>
        <v>0.77041579947596173</v>
      </c>
      <c r="O9727" s="2">
        <f ca="1"/>
        <v>2.1792856068651236</v>
      </c>
      <c r="X9727" s="2">
        <f ca="1"/>
        <v>71.214910361126798</v>
      </c>
      <c r="AG9727" s="2">
        <f ca="1"/>
        <v>0.6755626904710017</v>
      </c>
      <c r="AH9727" s="2" t="str">
        <f ca="1"/>
        <v>Bad</v>
      </c>
    </row>
    <row r="9728" spans="2:34">
      <c r="B9728" s="2">
        <f ca="1"/>
        <v>0.30387010592410668</v>
      </c>
      <c r="O9728" s="2">
        <f ca="1"/>
        <v>-1.8486131797647345</v>
      </c>
      <c r="X9728" s="2">
        <f ca="1"/>
        <v>32.540480144348329</v>
      </c>
      <c r="AG9728" s="2">
        <f ca="1"/>
        <v>0.67390892753430598</v>
      </c>
      <c r="AH9728" s="2" t="str">
        <f ca="1"/>
        <v>Bad</v>
      </c>
    </row>
    <row r="9729" spans="2:34">
      <c r="B9729" s="2">
        <f ca="1"/>
        <v>0.60319544978518858</v>
      </c>
      <c r="O9729" s="2">
        <f ca="1"/>
        <v>0.32954430014213165</v>
      </c>
      <c r="X9729" s="2">
        <f ca="1"/>
        <v>22.823255304722604</v>
      </c>
      <c r="AG9729" s="2">
        <f ca="1"/>
        <v>0.67008617270682991</v>
      </c>
      <c r="AH9729" s="2" t="str">
        <f ca="1"/>
        <v>Bad</v>
      </c>
    </row>
    <row r="9730" spans="2:34">
      <c r="B9730" s="2">
        <f ca="1"/>
        <v>0.39024856124403939</v>
      </c>
      <c r="O9730" s="2">
        <f ca="1"/>
        <v>1.4845941819193277E-2</v>
      </c>
      <c r="X9730" s="2">
        <f ca="1"/>
        <v>39.566525043358524</v>
      </c>
      <c r="AG9730" s="2">
        <f ca="1"/>
        <v>0.12314195575970621</v>
      </c>
      <c r="AH9730" s="2" t="str">
        <f ca="1"/>
        <v>OK</v>
      </c>
    </row>
    <row r="9731" spans="2:34">
      <c r="B9731" s="2">
        <f ca="1"/>
        <v>0.8844625785718665</v>
      </c>
      <c r="O9731" s="2">
        <f ca="1"/>
        <v>-1.7389246194025858</v>
      </c>
      <c r="X9731" s="2">
        <f ca="1"/>
        <v>59.53219532886132</v>
      </c>
      <c r="AG9731" s="2">
        <f ca="1"/>
        <v>0.61828839612715347</v>
      </c>
      <c r="AH9731" s="2" t="str">
        <f ca="1"/>
        <v>Bad</v>
      </c>
    </row>
    <row r="9732" spans="2:34">
      <c r="B9732" s="2">
        <f ca="1"/>
        <v>0.38142091426031133</v>
      </c>
      <c r="O9732" s="2">
        <f ca="1"/>
        <v>1.5320903901463447</v>
      </c>
      <c r="X9732" s="2">
        <f ca="1"/>
        <v>29.757795150586741</v>
      </c>
      <c r="AG9732" s="2">
        <f ca="1"/>
        <v>0.26315286401862825</v>
      </c>
      <c r="AH9732" s="2" t="str">
        <f ca="1"/>
        <v>OK</v>
      </c>
    </row>
    <row r="9733" spans="2:34">
      <c r="B9733" s="2">
        <f ca="1"/>
        <v>0.78642766312845014</v>
      </c>
      <c r="O9733" s="2">
        <f ca="1"/>
        <v>0.36256838204069725</v>
      </c>
      <c r="X9733" s="2">
        <f ca="1"/>
        <v>55.907281731342032</v>
      </c>
      <c r="AG9733" s="2">
        <f ca="1"/>
        <v>0.73393234920051587</v>
      </c>
      <c r="AH9733" s="2" t="str">
        <f ca="1"/>
        <v>Bad</v>
      </c>
    </row>
    <row r="9734" spans="2:34">
      <c r="B9734" s="2">
        <f ca="1"/>
        <v>0.2143872840314045</v>
      </c>
      <c r="O9734" s="2">
        <f ca="1"/>
        <v>0.6989119811386606</v>
      </c>
      <c r="X9734" s="2">
        <f ca="1"/>
        <v>75.978099775767177</v>
      </c>
      <c r="AG9734" s="2">
        <f ca="1"/>
        <v>0.33241384008050612</v>
      </c>
      <c r="AH9734" s="2" t="str">
        <f ca="1"/>
        <v>OK</v>
      </c>
    </row>
    <row r="9735" spans="2:34">
      <c r="B9735" s="2">
        <f ca="1"/>
        <v>0.23266454339363429</v>
      </c>
      <c r="O9735" s="2">
        <f ca="1"/>
        <v>4.3095822748177204</v>
      </c>
      <c r="X9735" s="2">
        <f ca="1"/>
        <v>51.175240764875419</v>
      </c>
      <c r="AG9735" s="2">
        <f ca="1"/>
        <v>0.30423204224343481</v>
      </c>
      <c r="AH9735" s="2" t="str">
        <f ca="1"/>
        <v>OK</v>
      </c>
    </row>
    <row r="9736" spans="2:34">
      <c r="B9736" s="2">
        <f ca="1"/>
        <v>0.49814238719893278</v>
      </c>
      <c r="O9736" s="2">
        <f ca="1"/>
        <v>0.5497743544928918</v>
      </c>
      <c r="X9736" s="2">
        <f ca="1"/>
        <v>42.96055996242611</v>
      </c>
      <c r="AG9736" s="2">
        <f ca="1"/>
        <v>8.4068891637249399E-2</v>
      </c>
      <c r="AH9736" s="2" t="str">
        <f ca="1"/>
        <v>OK</v>
      </c>
    </row>
    <row r="9737" spans="2:34">
      <c r="B9737" s="2">
        <f ca="1"/>
        <v>4.8046588007285562E-2</v>
      </c>
      <c r="O9737" s="2">
        <f ca="1"/>
        <v>-0.37818707959741799</v>
      </c>
      <c r="X9737" s="2">
        <f ca="1"/>
        <v>54.018088687504317</v>
      </c>
      <c r="AG9737" s="2">
        <f ca="1"/>
        <v>3.8212296937283341E-2</v>
      </c>
      <c r="AH9737" s="2" t="str">
        <f ca="1"/>
        <v>Good</v>
      </c>
    </row>
    <row r="9738" spans="2:34">
      <c r="B9738" s="2">
        <f ca="1"/>
        <v>0.56004438463470629</v>
      </c>
      <c r="O9738" s="2">
        <f ca="1"/>
        <v>0.41308472521771739</v>
      </c>
      <c r="X9738" s="2">
        <f ca="1"/>
        <v>28.102246531859848</v>
      </c>
      <c r="AG9738" s="2">
        <f ca="1"/>
        <v>0.3079392756117254</v>
      </c>
      <c r="AH9738" s="2" t="str">
        <f ca="1"/>
        <v>OK</v>
      </c>
    </row>
    <row r="9739" spans="2:34">
      <c r="B9739" s="2">
        <f ca="1"/>
        <v>0.50570169489548888</v>
      </c>
      <c r="O9739" s="2">
        <f ca="1"/>
        <v>-0.6158140895800901</v>
      </c>
      <c r="X9739" s="2">
        <f ca="1"/>
        <v>59.902948953978019</v>
      </c>
      <c r="AG9739" s="2">
        <f ca="1"/>
        <v>7.1897155443591432E-2</v>
      </c>
      <c r="AH9739" s="2" t="str">
        <f ca="1"/>
        <v>OK</v>
      </c>
    </row>
    <row r="9740" spans="2:34">
      <c r="B9740" s="2">
        <f ca="1"/>
        <v>0.11583959921800346</v>
      </c>
      <c r="O9740" s="2">
        <f ca="1"/>
        <v>-1.1959787821709416</v>
      </c>
      <c r="X9740" s="2">
        <f ca="1"/>
        <v>61.129426020228912</v>
      </c>
      <c r="AG9740" s="2">
        <f ca="1"/>
        <v>0.52933478624495911</v>
      </c>
      <c r="AH9740" s="2" t="str">
        <f ca="1"/>
        <v>Bad</v>
      </c>
    </row>
    <row r="9741" spans="2:34">
      <c r="B9741" s="2">
        <f ca="1"/>
        <v>0.5035944945125661</v>
      </c>
      <c r="O9741" s="2">
        <f ca="1"/>
        <v>-0.354528734357626</v>
      </c>
      <c r="X9741" s="2">
        <f ca="1"/>
        <v>56.920242646838815</v>
      </c>
      <c r="AG9741" s="2">
        <f ca="1"/>
        <v>0.42964805232606706</v>
      </c>
      <c r="AH9741" s="2" t="str">
        <f ca="1"/>
        <v>Bad</v>
      </c>
    </row>
    <row r="9742" spans="2:34">
      <c r="B9742" s="2">
        <f ca="1"/>
        <v>0.71261714827760936</v>
      </c>
      <c r="O9742" s="2">
        <f ca="1"/>
        <v>1.1869105815306207</v>
      </c>
      <c r="X9742" s="2">
        <f ca="1"/>
        <v>52.383311389558656</v>
      </c>
      <c r="AG9742" s="2">
        <f ca="1"/>
        <v>0.40410156874124903</v>
      </c>
      <c r="AH9742" s="2" t="str">
        <f ca="1"/>
        <v>Bad</v>
      </c>
    </row>
    <row r="9743" spans="2:34">
      <c r="B9743" s="2">
        <f ca="1"/>
        <v>0.70245487561872499</v>
      </c>
      <c r="O9743" s="2">
        <f ca="1"/>
        <v>0.33384719422326448</v>
      </c>
      <c r="X9743" s="2">
        <f ca="1"/>
        <v>39.42408883959358</v>
      </c>
      <c r="AG9743" s="2">
        <f ca="1"/>
        <v>0.46906052072367599</v>
      </c>
      <c r="AH9743" s="2" t="str">
        <f ca="1"/>
        <v>Bad</v>
      </c>
    </row>
    <row r="9744" spans="2:34">
      <c r="B9744" s="2">
        <f ca="1"/>
        <v>0.27512401965025113</v>
      </c>
      <c r="O9744" s="2">
        <f ca="1"/>
        <v>0.81084028132957375</v>
      </c>
      <c r="X9744" s="2">
        <f ca="1"/>
        <v>32.09840888305655</v>
      </c>
      <c r="AG9744" s="2">
        <f ca="1"/>
        <v>0.5867882485999254</v>
      </c>
      <c r="AH9744" s="2" t="str">
        <f ca="1"/>
        <v>Bad</v>
      </c>
    </row>
    <row r="9745" spans="2:34">
      <c r="B9745" s="2">
        <f ca="1"/>
        <v>0.65935198876155532</v>
      </c>
      <c r="O9745" s="2">
        <f ca="1"/>
        <v>0.95358899946511499</v>
      </c>
      <c r="X9745" s="2">
        <f ca="1"/>
        <v>41.129131347518111</v>
      </c>
      <c r="AG9745" s="2">
        <f ca="1"/>
        <v>0.12722905356485037</v>
      </c>
      <c r="AH9745" s="2" t="str">
        <f ca="1"/>
        <v>OK</v>
      </c>
    </row>
    <row r="9746" spans="2:34">
      <c r="B9746" s="2">
        <f ca="1"/>
        <v>0.19417709734980138</v>
      </c>
      <c r="O9746" s="2">
        <f ca="1"/>
        <v>1.9078446677213301</v>
      </c>
      <c r="X9746" s="2">
        <f ca="1"/>
        <v>41.664056967543239</v>
      </c>
      <c r="AG9746" s="2">
        <f ca="1"/>
        <v>4.3278919045329101E-2</v>
      </c>
      <c r="AH9746" s="2" t="str">
        <f ca="1"/>
        <v>Good</v>
      </c>
    </row>
    <row r="9747" spans="2:34">
      <c r="B9747" s="2">
        <f ca="1"/>
        <v>0.41402556431563564</v>
      </c>
      <c r="O9747" s="2">
        <f ca="1"/>
        <v>-0.36763422964559406</v>
      </c>
      <c r="X9747" s="2">
        <f ca="1"/>
        <v>28.727640555467076</v>
      </c>
      <c r="AG9747" s="2">
        <f ca="1"/>
        <v>0.42970900865607042</v>
      </c>
      <c r="AH9747" s="2" t="str">
        <f ca="1"/>
        <v>Bad</v>
      </c>
    </row>
    <row r="9748" spans="2:34">
      <c r="B9748" s="2">
        <f ca="1"/>
        <v>0.88194758052197586</v>
      </c>
      <c r="O9748" s="2">
        <f ca="1"/>
        <v>1.4079079203830491</v>
      </c>
      <c r="X9748" s="2">
        <f ca="1"/>
        <v>59.498390278421795</v>
      </c>
      <c r="AG9748" s="2">
        <f ca="1"/>
        <v>0.31330562821833019</v>
      </c>
      <c r="AH9748" s="2" t="str">
        <f ca="1"/>
        <v>OK</v>
      </c>
    </row>
    <row r="9749" spans="2:34">
      <c r="B9749" s="2">
        <f ca="1"/>
        <v>0.75011615617258998</v>
      </c>
      <c r="O9749" s="2">
        <f ca="1"/>
        <v>-0.42671526783149993</v>
      </c>
      <c r="X9749" s="2">
        <f ca="1"/>
        <v>51.888299565520569</v>
      </c>
      <c r="AG9749" s="2">
        <f ca="1"/>
        <v>0.61546015882156269</v>
      </c>
      <c r="AH9749" s="2" t="str">
        <f ca="1"/>
        <v>Bad</v>
      </c>
    </row>
    <row r="9750" spans="2:34">
      <c r="B9750" s="2">
        <f ca="1"/>
        <v>0.37606076030369739</v>
      </c>
      <c r="O9750" s="2">
        <f ca="1"/>
        <v>-0.19561942409197364</v>
      </c>
      <c r="X9750" s="2">
        <f ca="1"/>
        <v>37.953364414675249</v>
      </c>
      <c r="AG9750" s="2">
        <f ca="1"/>
        <v>0.47977032818840581</v>
      </c>
      <c r="AH9750" s="2" t="str">
        <f ca="1"/>
        <v>Bad</v>
      </c>
    </row>
    <row r="9751" spans="2:34">
      <c r="B9751" s="2">
        <f ca="1"/>
        <v>0.74418592121729477</v>
      </c>
      <c r="O9751" s="2">
        <f ca="1"/>
        <v>0.27282173952092725</v>
      </c>
      <c r="X9751" s="2">
        <f ca="1"/>
        <v>79.176761478086647</v>
      </c>
      <c r="AG9751" s="2">
        <f ca="1"/>
        <v>0.34360739872751078</v>
      </c>
      <c r="AH9751" s="2" t="str">
        <f ca="1"/>
        <v>OK</v>
      </c>
    </row>
    <row r="9752" spans="2:34">
      <c r="B9752" s="2">
        <f ca="1"/>
        <v>0.118176900787615</v>
      </c>
      <c r="O9752" s="2">
        <f ca="1"/>
        <v>-5.6931357081649946E-2</v>
      </c>
      <c r="X9752" s="2">
        <f ca="1"/>
        <v>50.777666451087882</v>
      </c>
      <c r="AG9752" s="2">
        <f ca="1"/>
        <v>0.10788409602054871</v>
      </c>
      <c r="AH9752" s="2" t="str">
        <f ca="1"/>
        <v>OK</v>
      </c>
    </row>
    <row r="9753" spans="2:34">
      <c r="B9753" s="2">
        <f ca="1"/>
        <v>1.2211192977396923E-2</v>
      </c>
      <c r="O9753" s="2">
        <f ca="1"/>
        <v>-0.32087569395366572</v>
      </c>
      <c r="X9753" s="2">
        <f ca="1"/>
        <v>45.312408345446123</v>
      </c>
      <c r="AG9753" s="2">
        <f ca="1"/>
        <v>0.39248945273222136</v>
      </c>
      <c r="AH9753" s="2" t="str">
        <f ca="1"/>
        <v>OK</v>
      </c>
    </row>
    <row r="9754" spans="2:34">
      <c r="B9754" s="2">
        <f ca="1"/>
        <v>0.49179180035762893</v>
      </c>
      <c r="O9754" s="2">
        <f ca="1"/>
        <v>0.26968216946304813</v>
      </c>
      <c r="X9754" s="2">
        <f ca="1"/>
        <v>73.612764475238293</v>
      </c>
      <c r="AG9754" s="2">
        <f ca="1"/>
        <v>0.88118427233867069</v>
      </c>
      <c r="AH9754" s="2" t="str">
        <f ca="1"/>
        <v>Bad</v>
      </c>
    </row>
    <row r="9755" spans="2:34">
      <c r="B9755" s="2">
        <f ca="1"/>
        <v>0.15883175887986956</v>
      </c>
      <c r="O9755" s="2">
        <f ca="1"/>
        <v>0.1556630818573326</v>
      </c>
      <c r="X9755" s="2">
        <f ca="1"/>
        <v>69.583994841270169</v>
      </c>
      <c r="AG9755" s="2">
        <f ca="1"/>
        <v>0.85460317665555796</v>
      </c>
      <c r="AH9755" s="2" t="str">
        <f ca="1"/>
        <v>Bad</v>
      </c>
    </row>
    <row r="9756" spans="2:34">
      <c r="B9756" s="2">
        <f ca="1"/>
        <v>0.89891555961920244</v>
      </c>
      <c r="O9756" s="2">
        <f ca="1"/>
        <v>0.37902808591953546</v>
      </c>
      <c r="X9756" s="2">
        <f ca="1"/>
        <v>41.508193992638937</v>
      </c>
      <c r="AG9756" s="2">
        <f ca="1"/>
        <v>0.72021066555806512</v>
      </c>
      <c r="AH9756" s="2" t="str">
        <f ca="1"/>
        <v>Bad</v>
      </c>
    </row>
    <row r="9757" spans="2:34">
      <c r="B9757" s="2">
        <f ca="1"/>
        <v>0.84344550694027887</v>
      </c>
      <c r="O9757" s="2">
        <f ca="1"/>
        <v>2.3596684974474602</v>
      </c>
      <c r="X9757" s="2">
        <f ca="1"/>
        <v>84.359723897924141</v>
      </c>
      <c r="AG9757" s="2">
        <f ca="1"/>
        <v>0.12682052856541892</v>
      </c>
      <c r="AH9757" s="2" t="str">
        <f ca="1"/>
        <v>OK</v>
      </c>
    </row>
    <row r="9758" spans="2:34">
      <c r="B9758" s="2">
        <f ca="1"/>
        <v>0.49009156356633476</v>
      </c>
      <c r="O9758" s="2">
        <f ca="1"/>
        <v>1.5273566376255228</v>
      </c>
      <c r="X9758" s="2">
        <f ca="1"/>
        <v>56.015181869186186</v>
      </c>
      <c r="AG9758" s="2">
        <f ca="1"/>
        <v>0.26029596893473927</v>
      </c>
      <c r="AH9758" s="2" t="str">
        <f ca="1"/>
        <v>OK</v>
      </c>
    </row>
    <row r="9759" spans="2:34">
      <c r="B9759" s="2">
        <f ca="1"/>
        <v>0.52458209338884987</v>
      </c>
      <c r="O9759" s="2">
        <f ca="1"/>
        <v>0.45876228007136133</v>
      </c>
      <c r="X9759" s="2">
        <f ca="1"/>
        <v>66.783884583997718</v>
      </c>
      <c r="AG9759" s="2">
        <f ca="1"/>
        <v>0.56280659288050683</v>
      </c>
      <c r="AH9759" s="2" t="str">
        <f ca="1"/>
        <v>Bad</v>
      </c>
    </row>
    <row r="9760" spans="2:34">
      <c r="B9760" s="2">
        <f ca="1"/>
        <v>0.66952921975144264</v>
      </c>
      <c r="O9760" s="2">
        <f ca="1"/>
        <v>1.0172226687031054</v>
      </c>
      <c r="X9760" s="2">
        <f ca="1"/>
        <v>51.587357026571183</v>
      </c>
      <c r="AG9760" s="2">
        <f ca="1"/>
        <v>4.5742399515716459E-2</v>
      </c>
      <c r="AH9760" s="2" t="str">
        <f ca="1"/>
        <v>Good</v>
      </c>
    </row>
    <row r="9761" spans="2:34">
      <c r="B9761" s="2">
        <f ca="1"/>
        <v>0.12290448451935898</v>
      </c>
      <c r="O9761" s="2">
        <f ca="1"/>
        <v>2.0271598538065785</v>
      </c>
      <c r="X9761" s="2">
        <f ca="1"/>
        <v>74.196383706730188</v>
      </c>
      <c r="AG9761" s="2">
        <f ca="1"/>
        <v>0.6456753686417096</v>
      </c>
      <c r="AH9761" s="2" t="str">
        <f ca="1"/>
        <v>Bad</v>
      </c>
    </row>
    <row r="9762" spans="2:34">
      <c r="B9762" s="2">
        <f ca="1"/>
        <v>0.85728525208670492</v>
      </c>
      <c r="O9762" s="2">
        <f ca="1"/>
        <v>-0.62688895281038259</v>
      </c>
      <c r="X9762" s="2">
        <f ca="1"/>
        <v>92.1000128453298</v>
      </c>
      <c r="AG9762" s="2">
        <f ca="1"/>
        <v>0.21785824606170801</v>
      </c>
      <c r="AH9762" s="2" t="str">
        <f ca="1"/>
        <v>OK</v>
      </c>
    </row>
    <row r="9763" spans="2:34">
      <c r="B9763" s="2">
        <f ca="1"/>
        <v>0.70507801098118783</v>
      </c>
      <c r="O9763" s="2">
        <f ca="1"/>
        <v>-1.3168453937386071</v>
      </c>
      <c r="X9763" s="2">
        <f ca="1"/>
        <v>47.960107662095631</v>
      </c>
      <c r="AG9763" s="2">
        <f ca="1"/>
        <v>4.0300454543011677E-2</v>
      </c>
      <c r="AH9763" s="2" t="str">
        <f ca="1"/>
        <v>Good</v>
      </c>
    </row>
    <row r="9764" spans="2:34">
      <c r="B9764" s="2">
        <f ca="1"/>
        <v>2.0955656801664446E-3</v>
      </c>
      <c r="O9764" s="2">
        <f ca="1"/>
        <v>0.12699498516963345</v>
      </c>
      <c r="X9764" s="2">
        <f ca="1"/>
        <v>56.679324505276874</v>
      </c>
      <c r="AG9764" s="2">
        <f ca="1"/>
        <v>0.66320596999222703</v>
      </c>
      <c r="AH9764" s="2" t="str">
        <f ca="1"/>
        <v>Bad</v>
      </c>
    </row>
    <row r="9765" spans="2:34">
      <c r="B9765" s="2">
        <f ca="1"/>
        <v>0.79896025932897707</v>
      </c>
      <c r="O9765" s="2">
        <f ca="1"/>
        <v>3.4281220800302589E-2</v>
      </c>
      <c r="X9765" s="2">
        <f ca="1"/>
        <v>29.54348451754662</v>
      </c>
      <c r="AG9765" s="2">
        <f ca="1"/>
        <v>0.79999899066286662</v>
      </c>
      <c r="AH9765" s="2" t="str">
        <f ca="1"/>
        <v>Bad</v>
      </c>
    </row>
    <row r="9766" spans="2:34">
      <c r="B9766" s="2">
        <f ca="1"/>
        <v>0.53747721615867183</v>
      </c>
      <c r="O9766" s="2">
        <f ca="1"/>
        <v>0.11219050575553897</v>
      </c>
      <c r="X9766" s="2">
        <f ca="1"/>
        <v>23.733576792802555</v>
      </c>
      <c r="AG9766" s="2">
        <f ca="1"/>
        <v>0.88983047464885301</v>
      </c>
      <c r="AH9766" s="2" t="str">
        <f ca="1"/>
        <v>Bad</v>
      </c>
    </row>
    <row r="9767" spans="2:34">
      <c r="B9767" s="2">
        <f ca="1"/>
        <v>0.56806878765107527</v>
      </c>
      <c r="O9767" s="2">
        <f ca="1"/>
        <v>-1.1037999736793334</v>
      </c>
      <c r="X9767" s="2">
        <f ca="1"/>
        <v>44.459488556597165</v>
      </c>
      <c r="AG9767" s="2">
        <f ca="1"/>
        <v>0.44257956634411966</v>
      </c>
      <c r="AH9767" s="2" t="str">
        <f ca="1"/>
        <v>Bad</v>
      </c>
    </row>
    <row r="9768" spans="2:34">
      <c r="B9768" s="2">
        <f ca="1"/>
        <v>0.3750099485181948</v>
      </c>
      <c r="O9768" s="2">
        <f ca="1"/>
        <v>-0.96491907747650607</v>
      </c>
      <c r="X9768" s="2">
        <f ca="1"/>
        <v>44.10233290522288</v>
      </c>
      <c r="AG9768" s="2">
        <f ca="1"/>
        <v>0.40946884371614289</v>
      </c>
      <c r="AH9768" s="2" t="str">
        <f ca="1"/>
        <v>Bad</v>
      </c>
    </row>
    <row r="9769" spans="2:34">
      <c r="B9769" s="2">
        <f ca="1"/>
        <v>0.67753846534243656</v>
      </c>
      <c r="O9769" s="2">
        <f ca="1"/>
        <v>6.3094978781463619E-3</v>
      </c>
      <c r="X9769" s="2">
        <f ca="1"/>
        <v>42.601801998940722</v>
      </c>
      <c r="AG9769" s="2">
        <f ca="1"/>
        <v>0.54924716557317455</v>
      </c>
      <c r="AH9769" s="2" t="str">
        <f ca="1"/>
        <v>Bad</v>
      </c>
    </row>
    <row r="9770" spans="2:34">
      <c r="B9770" s="2">
        <f ca="1"/>
        <v>0.46917247416298236</v>
      </c>
      <c r="O9770" s="2">
        <f ca="1"/>
        <v>-0.50057687247601501</v>
      </c>
      <c r="X9770" s="2">
        <f ca="1"/>
        <v>41.323031691986003</v>
      </c>
      <c r="AG9770" s="2">
        <f ca="1"/>
        <v>0.21227209394726976</v>
      </c>
      <c r="AH9770" s="2" t="str">
        <f ca="1"/>
        <v>OK</v>
      </c>
    </row>
    <row r="9771" spans="2:34">
      <c r="B9771" s="2">
        <f ca="1"/>
        <v>0.37035968853583912</v>
      </c>
      <c r="O9771" s="2">
        <f ca="1"/>
        <v>-0.24438525419917029</v>
      </c>
      <c r="X9771" s="2">
        <f ca="1"/>
        <v>40.852819794422366</v>
      </c>
      <c r="AG9771" s="2">
        <f ca="1"/>
        <v>0.55187017945034067</v>
      </c>
      <c r="AH9771" s="2" t="str">
        <f ca="1"/>
        <v>Bad</v>
      </c>
    </row>
    <row r="9772" spans="2:34">
      <c r="B9772" s="2">
        <f ca="1"/>
        <v>0.30720817040802229</v>
      </c>
      <c r="O9772" s="2">
        <f ca="1"/>
        <v>-0.79233901229663961</v>
      </c>
      <c r="X9772" s="2">
        <f ca="1"/>
        <v>24.134499057715963</v>
      </c>
      <c r="AG9772" s="2">
        <f ca="1"/>
        <v>0.21206676852868633</v>
      </c>
      <c r="AH9772" s="2" t="str">
        <f ca="1"/>
        <v>OK</v>
      </c>
    </row>
    <row r="9773" spans="2:34">
      <c r="B9773" s="2">
        <f ca="1"/>
        <v>0.37140361796463628</v>
      </c>
      <c r="O9773" s="2">
        <f ca="1"/>
        <v>0.51382889801947829</v>
      </c>
      <c r="X9773" s="2">
        <f ca="1"/>
        <v>64.916535002798042</v>
      </c>
      <c r="AG9773" s="2">
        <f ca="1"/>
        <v>0.52262521273403562</v>
      </c>
      <c r="AH9773" s="2" t="str">
        <f ca="1"/>
        <v>Bad</v>
      </c>
    </row>
    <row r="9774" spans="2:34">
      <c r="B9774" s="2">
        <f ca="1"/>
        <v>0.37989883816146408</v>
      </c>
      <c r="O9774" s="2">
        <f ca="1"/>
        <v>0.37926088257766977</v>
      </c>
      <c r="X9774" s="2">
        <f ca="1"/>
        <v>69.08550250691053</v>
      </c>
      <c r="AG9774" s="2">
        <f ca="1"/>
        <v>0.85528072529438548</v>
      </c>
      <c r="AH9774" s="2" t="str">
        <f ca="1"/>
        <v>Bad</v>
      </c>
    </row>
    <row r="9775" spans="2:34">
      <c r="B9775" s="2">
        <f ca="1"/>
        <v>0.50161695079386925</v>
      </c>
      <c r="O9775" s="2">
        <f ca="1"/>
        <v>-0.3927479811951281</v>
      </c>
      <c r="X9775" s="2">
        <f ca="1"/>
        <v>84.995871113336761</v>
      </c>
      <c r="AG9775" s="2">
        <f ca="1"/>
        <v>0.88933144956527199</v>
      </c>
      <c r="AH9775" s="2" t="str">
        <f ca="1"/>
        <v>Bad</v>
      </c>
    </row>
    <row r="9776" spans="2:34">
      <c r="B9776" s="2">
        <f ca="1"/>
        <v>0.79140802235201146</v>
      </c>
      <c r="O9776" s="2">
        <f ca="1"/>
        <v>-0.83908159531763682</v>
      </c>
      <c r="X9776" s="2">
        <f ca="1"/>
        <v>57.810921709239011</v>
      </c>
      <c r="AG9776" s="2">
        <f ca="1"/>
        <v>0.60998947771214862</v>
      </c>
      <c r="AH9776" s="2" t="str">
        <f ca="1"/>
        <v>Bad</v>
      </c>
    </row>
    <row r="9777" spans="2:34">
      <c r="B9777" s="2">
        <f ca="1"/>
        <v>5.691561727284089E-2</v>
      </c>
      <c r="O9777" s="2">
        <f ca="1"/>
        <v>0.81041104733354008</v>
      </c>
      <c r="X9777" s="2">
        <f ca="1"/>
        <v>83.924609104352768</v>
      </c>
      <c r="AG9777" s="2">
        <f ca="1"/>
        <v>0.54238201322897872</v>
      </c>
      <c r="AH9777" s="2" t="str">
        <f ca="1"/>
        <v>Bad</v>
      </c>
    </row>
    <row r="9778" spans="2:34">
      <c r="B9778" s="2">
        <f ca="1"/>
        <v>0.93315733859885763</v>
      </c>
      <c r="O9778" s="2">
        <f ca="1"/>
        <v>1.0199748577036905</v>
      </c>
      <c r="X9778" s="2">
        <f ca="1"/>
        <v>15.483611407207011</v>
      </c>
      <c r="AG9778" s="2">
        <f ca="1"/>
        <v>0.11889941414157956</v>
      </c>
      <c r="AH9778" s="2" t="str">
        <f ca="1"/>
        <v>OK</v>
      </c>
    </row>
    <row r="9779" spans="2:34">
      <c r="B9779" s="2">
        <f ca="1"/>
        <v>0.97399582662313167</v>
      </c>
      <c r="O9779" s="2">
        <f ca="1"/>
        <v>0.78912493037125986</v>
      </c>
      <c r="X9779" s="2">
        <f ca="1"/>
        <v>21.081643839554328</v>
      </c>
      <c r="AG9779" s="2">
        <f ca="1"/>
        <v>0.79110053535712943</v>
      </c>
      <c r="AH9779" s="2" t="str">
        <f ca="1"/>
        <v>Bad</v>
      </c>
    </row>
    <row r="9780" spans="2:34">
      <c r="B9780" s="2">
        <f ca="1"/>
        <v>0.179930902248298</v>
      </c>
      <c r="O9780" s="2">
        <f ca="1"/>
        <v>-0.14570392258461803</v>
      </c>
      <c r="X9780" s="2">
        <f ca="1"/>
        <v>41.315587847366615</v>
      </c>
      <c r="AG9780" s="2">
        <f ca="1"/>
        <v>0.83100309228993874</v>
      </c>
      <c r="AH9780" s="2" t="str">
        <f ca="1"/>
        <v>Bad</v>
      </c>
    </row>
    <row r="9781" spans="2:34">
      <c r="B9781" s="2">
        <f ca="1"/>
        <v>0.2092575818271305</v>
      </c>
      <c r="O9781" s="2">
        <f ca="1"/>
        <v>-0.27863006900254883</v>
      </c>
      <c r="X9781" s="2">
        <f ca="1"/>
        <v>31.327463638867176</v>
      </c>
      <c r="AG9781" s="2">
        <f ca="1"/>
        <v>0.58672011266409374</v>
      </c>
      <c r="AH9781" s="2" t="str">
        <f ca="1"/>
        <v>Bad</v>
      </c>
    </row>
    <row r="9782" spans="2:34">
      <c r="B9782" s="2">
        <f ca="1"/>
        <v>9.2237183492926533E-2</v>
      </c>
      <c r="O9782" s="2">
        <f ca="1"/>
        <v>0.62691900694057989</v>
      </c>
      <c r="X9782" s="2">
        <f ca="1"/>
        <v>90.037753388411375</v>
      </c>
      <c r="AG9782" s="2">
        <f ca="1"/>
        <v>0.65619551695991407</v>
      </c>
      <c r="AH9782" s="2" t="str">
        <f ca="1"/>
        <v>Bad</v>
      </c>
    </row>
    <row r="9783" spans="2:34">
      <c r="B9783" s="2">
        <f ca="1"/>
        <v>0.73551830443307553</v>
      </c>
      <c r="O9783" s="2">
        <f ca="1"/>
        <v>-0.12207486881577344</v>
      </c>
      <c r="X9783" s="2">
        <f ca="1"/>
        <v>36.308990401786247</v>
      </c>
      <c r="AG9783" s="2">
        <f ca="1"/>
        <v>3.9828213536024171E-2</v>
      </c>
      <c r="AH9783" s="2" t="str">
        <f ca="1"/>
        <v>Good</v>
      </c>
    </row>
    <row r="9784" spans="2:34">
      <c r="B9784" s="2">
        <f ca="1"/>
        <v>0.14088513570291594</v>
      </c>
      <c r="O9784" s="2">
        <f ca="1"/>
        <v>-9.7226756095800615E-2</v>
      </c>
      <c r="X9784" s="2">
        <f ca="1"/>
        <v>59.177510692694206</v>
      </c>
      <c r="AG9784" s="2">
        <f ca="1"/>
        <v>0.13733760911103654</v>
      </c>
      <c r="AH9784" s="2" t="str">
        <f ca="1"/>
        <v>OK</v>
      </c>
    </row>
    <row r="9785" spans="2:34">
      <c r="B9785" s="2">
        <f ca="1"/>
        <v>0.50520754628142495</v>
      </c>
      <c r="O9785" s="2">
        <f ca="1"/>
        <v>1.4333377713708364</v>
      </c>
      <c r="X9785" s="2">
        <f ca="1"/>
        <v>46.35987105141303</v>
      </c>
      <c r="AG9785" s="2">
        <f ca="1"/>
        <v>0.4953381042296674</v>
      </c>
      <c r="AH9785" s="2" t="str">
        <f ca="1"/>
        <v>Bad</v>
      </c>
    </row>
    <row r="9786" spans="2:34">
      <c r="B9786" s="2">
        <f ca="1"/>
        <v>0.82042940477429438</v>
      </c>
      <c r="O9786" s="2">
        <f ca="1"/>
        <v>-0.18278842643597329</v>
      </c>
      <c r="X9786" s="2">
        <f ca="1"/>
        <v>34.483098268296047</v>
      </c>
      <c r="AG9786" s="2">
        <f ca="1"/>
        <v>8.5073567719554877E-2</v>
      </c>
      <c r="AH9786" s="2" t="str">
        <f ca="1"/>
        <v>OK</v>
      </c>
    </row>
    <row r="9787" spans="2:34">
      <c r="B9787" s="2">
        <f ca="1"/>
        <v>0.85481687888283764</v>
      </c>
      <c r="O9787" s="2">
        <f ca="1"/>
        <v>-1.38907154875991E-2</v>
      </c>
      <c r="X9787" s="2">
        <f ca="1"/>
        <v>49.946768460177751</v>
      </c>
      <c r="AG9787" s="2">
        <f ca="1"/>
        <v>0.6109296780673239</v>
      </c>
      <c r="AH9787" s="2" t="str">
        <f ca="1"/>
        <v>Bad</v>
      </c>
    </row>
    <row r="9788" spans="2:34">
      <c r="B9788" s="2">
        <f ca="1"/>
        <v>0.96195570551937659</v>
      </c>
      <c r="O9788" s="2">
        <f ca="1"/>
        <v>-0.74152479570074992</v>
      </c>
      <c r="X9788" s="2">
        <f ca="1"/>
        <v>46.226377923394239</v>
      </c>
      <c r="AG9788" s="2">
        <f ca="1"/>
        <v>0.86428131836721378</v>
      </c>
      <c r="AH9788" s="2" t="str">
        <f ca="1"/>
        <v>Bad</v>
      </c>
    </row>
    <row r="9789" spans="2:34">
      <c r="B9789" s="2">
        <f ca="1"/>
        <v>0.76163690486157742</v>
      </c>
      <c r="O9789" s="2">
        <f ca="1"/>
        <v>1.5657839859850882</v>
      </c>
      <c r="X9789" s="2">
        <f ca="1"/>
        <v>17.689714112607327</v>
      </c>
      <c r="AG9789" s="2">
        <f ca="1"/>
        <v>0.3908231703312175</v>
      </c>
      <c r="AH9789" s="2" t="str">
        <f ca="1"/>
        <v>OK</v>
      </c>
    </row>
    <row r="9790" spans="2:34">
      <c r="B9790" s="2">
        <f ca="1"/>
        <v>0.63485693399773857</v>
      </c>
      <c r="O9790" s="2">
        <f ca="1"/>
        <v>-1.1914887561647463</v>
      </c>
      <c r="X9790" s="2">
        <f ca="1"/>
        <v>66.896402758029581</v>
      </c>
      <c r="AG9790" s="2">
        <f ca="1"/>
        <v>6.8134402986869125E-2</v>
      </c>
      <c r="AH9790" s="2" t="str">
        <f ca="1"/>
        <v>OK</v>
      </c>
    </row>
    <row r="9791" spans="2:34">
      <c r="B9791" s="2">
        <f ca="1"/>
        <v>0.334794948525309</v>
      </c>
      <c r="O9791" s="2">
        <f ca="1"/>
        <v>-2.4352127066275187</v>
      </c>
      <c r="X9791" s="2">
        <f ca="1"/>
        <v>55.137033665530623</v>
      </c>
      <c r="AG9791" s="2">
        <f ca="1"/>
        <v>0.85993034363762999</v>
      </c>
      <c r="AH9791" s="2" t="str">
        <f ca="1"/>
        <v>Bad</v>
      </c>
    </row>
    <row r="9792" spans="2:34">
      <c r="B9792" s="2">
        <f ca="1"/>
        <v>0.84190841037568487</v>
      </c>
      <c r="O9792" s="2">
        <f ca="1"/>
        <v>-0.38313697769359673</v>
      </c>
      <c r="X9792" s="2">
        <f ca="1"/>
        <v>37.326327110174525</v>
      </c>
      <c r="AG9792" s="2">
        <f ca="1"/>
        <v>0.73541484712563343</v>
      </c>
      <c r="AH9792" s="2" t="str">
        <f ca="1"/>
        <v>Bad</v>
      </c>
    </row>
    <row r="9793" spans="2:34">
      <c r="B9793" s="2">
        <f ca="1"/>
        <v>0.44109380887070415</v>
      </c>
      <c r="O9793" s="2">
        <f ca="1"/>
        <v>1.1144536595126391</v>
      </c>
      <c r="X9793" s="2">
        <f ca="1"/>
        <v>115.57429894670994</v>
      </c>
      <c r="AG9793" s="2">
        <f ca="1"/>
        <v>0.65359319264954419</v>
      </c>
      <c r="AH9793" s="2" t="str">
        <f ca="1"/>
        <v>Bad</v>
      </c>
    </row>
    <row r="9794" spans="2:34">
      <c r="B9794" s="2">
        <f ca="1"/>
        <v>0.34534393143904896</v>
      </c>
      <c r="O9794" s="2">
        <f ca="1"/>
        <v>0.6175867907096565</v>
      </c>
      <c r="X9794" s="2">
        <f ca="1"/>
        <v>52.087744435591617</v>
      </c>
      <c r="AG9794" s="2">
        <f ca="1"/>
        <v>0.14035681537429401</v>
      </c>
      <c r="AH9794" s="2" t="str">
        <f ca="1"/>
        <v>OK</v>
      </c>
    </row>
    <row r="9795" spans="2:34">
      <c r="B9795" s="2">
        <f ca="1"/>
        <v>0.57827652688105036</v>
      </c>
      <c r="O9795" s="2">
        <f ca="1"/>
        <v>1.5368306304476407</v>
      </c>
      <c r="X9795" s="2">
        <f ca="1"/>
        <v>41.002085753019763</v>
      </c>
      <c r="AG9795" s="2">
        <f ca="1"/>
        <v>7.9395189191944437E-2</v>
      </c>
      <c r="AH9795" s="2" t="str">
        <f ca="1"/>
        <v>OK</v>
      </c>
    </row>
    <row r="9796" spans="2:34">
      <c r="B9796" s="2">
        <f ca="1"/>
        <v>0.90568610579690323</v>
      </c>
      <c r="O9796" s="2">
        <f ca="1"/>
        <v>-0.16613671754987352</v>
      </c>
      <c r="X9796" s="2">
        <f ca="1"/>
        <v>71.17795652767424</v>
      </c>
      <c r="AG9796" s="2">
        <f ca="1"/>
        <v>0.25691701987672921</v>
      </c>
      <c r="AH9796" s="2" t="str">
        <f ca="1"/>
        <v>OK</v>
      </c>
    </row>
    <row r="9797" spans="2:34">
      <c r="B9797" s="2">
        <f ca="1"/>
        <v>0.7362195594680836</v>
      </c>
      <c r="O9797" s="2">
        <f ca="1"/>
        <v>-0.4541738813285558</v>
      </c>
      <c r="X9797" s="2">
        <f ca="1"/>
        <v>55.160486984277142</v>
      </c>
      <c r="AG9797" s="2">
        <f ca="1"/>
        <v>0.3091278033818472</v>
      </c>
      <c r="AH9797" s="2" t="str">
        <f ca="1"/>
        <v>OK</v>
      </c>
    </row>
    <row r="9798" spans="2:34">
      <c r="B9798" s="2">
        <f ca="1"/>
        <v>0.9734709536565429</v>
      </c>
      <c r="O9798" s="2">
        <f ca="1"/>
        <v>-0.35978628395108486</v>
      </c>
      <c r="X9798" s="2">
        <f ca="1"/>
        <v>54.132678162031986</v>
      </c>
      <c r="AG9798" s="2">
        <f ca="1"/>
        <v>0.29710729937347979</v>
      </c>
      <c r="AH9798" s="2" t="str">
        <f ca="1"/>
        <v>OK</v>
      </c>
    </row>
    <row r="9799" spans="2:34">
      <c r="B9799" s="2">
        <f ca="1"/>
        <v>0.72459092163362593</v>
      </c>
      <c r="O9799" s="2">
        <f ca="1"/>
        <v>2.4233113619910633</v>
      </c>
      <c r="X9799" s="2">
        <f ca="1"/>
        <v>47.731215848522261</v>
      </c>
      <c r="AG9799" s="2">
        <f ca="1"/>
        <v>0.49080194345911443</v>
      </c>
      <c r="AH9799" s="2" t="str">
        <f ca="1"/>
        <v>Bad</v>
      </c>
    </row>
    <row r="9800" spans="2:34">
      <c r="B9800" s="2">
        <f ca="1"/>
        <v>0.74040296595236543</v>
      </c>
      <c r="O9800" s="2">
        <f ca="1"/>
        <v>4.1618314922504361E-2</v>
      </c>
      <c r="X9800" s="2">
        <f ca="1"/>
        <v>27.906061907648592</v>
      </c>
      <c r="AG9800" s="2">
        <f ca="1"/>
        <v>0.12356324067589219</v>
      </c>
      <c r="AH9800" s="2" t="str">
        <f ca="1"/>
        <v>OK</v>
      </c>
    </row>
    <row r="9801" spans="2:34">
      <c r="B9801" s="2">
        <f ca="1"/>
        <v>8.0717452132989642E-2</v>
      </c>
      <c r="O9801" s="2">
        <f ca="1"/>
        <v>1.0137626639110064</v>
      </c>
      <c r="X9801" s="2">
        <f ca="1"/>
        <v>75.710699917379088</v>
      </c>
      <c r="AG9801" s="2">
        <f ca="1"/>
        <v>0.58255483096526861</v>
      </c>
      <c r="AH9801" s="2" t="str">
        <f ca="1"/>
        <v>Bad</v>
      </c>
    </row>
    <row r="9802" spans="2:34">
      <c r="B9802" s="2">
        <f ca="1"/>
        <v>0.26582040528539563</v>
      </c>
      <c r="O9802" s="2">
        <f ca="1"/>
        <v>-0.59198021267057388</v>
      </c>
      <c r="X9802" s="2">
        <f ca="1"/>
        <v>49.983319807825488</v>
      </c>
      <c r="AG9802" s="2">
        <f ca="1"/>
        <v>0.2883115252399111</v>
      </c>
      <c r="AH9802" s="2" t="str">
        <f ca="1"/>
        <v>OK</v>
      </c>
    </row>
    <row r="9803" spans="2:34">
      <c r="B9803" s="2">
        <f ca="1"/>
        <v>0.87379707706980492</v>
      </c>
      <c r="O9803" s="2">
        <f ca="1"/>
        <v>1.3634459369024416</v>
      </c>
      <c r="X9803" s="2">
        <f ca="1"/>
        <v>54.607080314582035</v>
      </c>
      <c r="AG9803" s="2">
        <f ca="1"/>
        <v>0.24181371994569667</v>
      </c>
      <c r="AH9803" s="2" t="str">
        <f ca="1"/>
        <v>OK</v>
      </c>
    </row>
    <row r="9804" spans="2:34">
      <c r="B9804" s="2">
        <f ca="1"/>
        <v>0.59139908215780945</v>
      </c>
      <c r="O9804" s="2">
        <f ca="1"/>
        <v>1.066680720298584</v>
      </c>
      <c r="X9804" s="2">
        <f ca="1"/>
        <v>47.284660688052433</v>
      </c>
      <c r="AG9804" s="2">
        <f ca="1"/>
        <v>0.27123944613980178</v>
      </c>
      <c r="AH9804" s="2" t="str">
        <f ca="1"/>
        <v>OK</v>
      </c>
    </row>
    <row r="9805" spans="2:34">
      <c r="B9805" s="2">
        <f ca="1"/>
        <v>5.4003314675318936E-2</v>
      </c>
      <c r="O9805" s="2">
        <f ca="1"/>
        <v>-1.7701593507570261</v>
      </c>
      <c r="X9805" s="2">
        <f ca="1"/>
        <v>54.367338400228881</v>
      </c>
      <c r="AG9805" s="2">
        <f ca="1"/>
        <v>0.70552163790672373</v>
      </c>
      <c r="AH9805" s="2" t="str">
        <f ca="1"/>
        <v>Bad</v>
      </c>
    </row>
    <row r="9806" spans="2:34">
      <c r="B9806" s="2">
        <f ca="1"/>
        <v>0.67385825718561865</v>
      </c>
      <c r="O9806" s="2">
        <f ca="1"/>
        <v>-0.10246984287561323</v>
      </c>
      <c r="X9806" s="2">
        <f ca="1"/>
        <v>42.290180515907409</v>
      </c>
      <c r="AG9806" s="2">
        <f ca="1"/>
        <v>0.70948867206013277</v>
      </c>
      <c r="AH9806" s="2" t="str">
        <f ca="1"/>
        <v>Bad</v>
      </c>
    </row>
    <row r="9807" spans="2:34">
      <c r="B9807" s="2">
        <f ca="1"/>
        <v>8.7643677506519246E-3</v>
      </c>
      <c r="O9807" s="2">
        <f ca="1"/>
        <v>-0.72718175841895449</v>
      </c>
      <c r="X9807" s="2">
        <f ca="1"/>
        <v>27.111421808759999</v>
      </c>
      <c r="AG9807" s="2">
        <f ca="1"/>
        <v>0.49396835647333681</v>
      </c>
      <c r="AH9807" s="2" t="str">
        <f ca="1"/>
        <v>Bad</v>
      </c>
    </row>
    <row r="9808" spans="2:34">
      <c r="B9808" s="2">
        <f ca="1"/>
        <v>0.98089479731600937</v>
      </c>
      <c r="O9808" s="2">
        <f ca="1"/>
        <v>0.58882709721448856</v>
      </c>
      <c r="X9808" s="2">
        <f ca="1"/>
        <v>48.703850953741835</v>
      </c>
      <c r="AG9808" s="2">
        <f ca="1"/>
        <v>0.47831220548065256</v>
      </c>
      <c r="AH9808" s="2" t="str">
        <f ca="1"/>
        <v>Bad</v>
      </c>
    </row>
    <row r="9809" spans="2:34">
      <c r="B9809" s="2">
        <f ca="1"/>
        <v>4.9552482775528706E-2</v>
      </c>
      <c r="O9809" s="2">
        <f ca="1"/>
        <v>0.4300352400139491</v>
      </c>
      <c r="X9809" s="2">
        <f ca="1"/>
        <v>40.375460091761113</v>
      </c>
      <c r="AG9809" s="2">
        <f ca="1"/>
        <v>0.61824093693421767</v>
      </c>
      <c r="AH9809" s="2" t="str">
        <f ca="1"/>
        <v>Bad</v>
      </c>
    </row>
    <row r="9810" spans="2:34">
      <c r="B9810" s="2">
        <f ca="1"/>
        <v>0.14359623840649283</v>
      </c>
      <c r="O9810" s="2">
        <f ca="1"/>
        <v>-1.7266743925839565</v>
      </c>
      <c r="X9810" s="2">
        <f ca="1"/>
        <v>38.135841831859253</v>
      </c>
      <c r="AG9810" s="2">
        <f ca="1"/>
        <v>0.49227864982527847</v>
      </c>
      <c r="AH9810" s="2" t="str">
        <f ca="1"/>
        <v>Bad</v>
      </c>
    </row>
    <row r="9811" spans="2:34">
      <c r="B9811" s="2">
        <f ca="1"/>
        <v>0.84577358567964667</v>
      </c>
      <c r="O9811" s="2">
        <f ca="1"/>
        <v>0.41081973214917583</v>
      </c>
      <c r="X9811" s="2">
        <f ca="1"/>
        <v>24.012175093667857</v>
      </c>
      <c r="AG9811" s="2">
        <f ca="1"/>
        <v>0.8234728915213827</v>
      </c>
      <c r="AH9811" s="2" t="str">
        <f ca="1"/>
        <v>Bad</v>
      </c>
    </row>
    <row r="9812" spans="2:34">
      <c r="B9812" s="2">
        <f ca="1"/>
        <v>0.87183038934466639</v>
      </c>
      <c r="O9812" s="2">
        <f ca="1"/>
        <v>-2.6738036988002072E-2</v>
      </c>
      <c r="X9812" s="2">
        <f ca="1"/>
        <v>42.912686122314113</v>
      </c>
      <c r="AG9812" s="2">
        <f ca="1"/>
        <v>0.2459168861119303</v>
      </c>
      <c r="AH9812" s="2" t="str">
        <f ca="1"/>
        <v>OK</v>
      </c>
    </row>
    <row r="9813" spans="2:34">
      <c r="B9813" s="2">
        <f ca="1"/>
        <v>0.8706126960603211</v>
      </c>
      <c r="O9813" s="2">
        <f ca="1"/>
        <v>1.3869654762464874</v>
      </c>
      <c r="X9813" s="2">
        <f ca="1"/>
        <v>28.840785347050492</v>
      </c>
      <c r="AG9813" s="2">
        <f ca="1"/>
        <v>0.41795673414279788</v>
      </c>
      <c r="AH9813" s="2" t="str">
        <f ca="1"/>
        <v>Bad</v>
      </c>
    </row>
    <row r="9814" spans="2:34">
      <c r="B9814" s="2">
        <f ca="1"/>
        <v>0.71631609459761281</v>
      </c>
      <c r="O9814" s="2">
        <f ca="1"/>
        <v>-0.59044142770565666</v>
      </c>
      <c r="X9814" s="2">
        <f ca="1"/>
        <v>52.323730119258506</v>
      </c>
      <c r="AG9814" s="2">
        <f ca="1"/>
        <v>0.66220218982149803</v>
      </c>
      <c r="AH9814" s="2" t="str">
        <f ca="1"/>
        <v>Bad</v>
      </c>
    </row>
    <row r="9815" spans="2:34">
      <c r="B9815" s="2">
        <f ca="1"/>
        <v>0.123543245871087</v>
      </c>
      <c r="O9815" s="2">
        <f ca="1"/>
        <v>0.52949693167707435</v>
      </c>
      <c r="X9815" s="2">
        <f ca="1"/>
        <v>103.10796830968337</v>
      </c>
      <c r="AG9815" s="2">
        <f ca="1"/>
        <v>0.55655774435077743</v>
      </c>
      <c r="AH9815" s="2" t="str">
        <f ca="1"/>
        <v>Bad</v>
      </c>
    </row>
    <row r="9816" spans="2:34">
      <c r="B9816" s="2">
        <f ca="1"/>
        <v>0.62451850439117518</v>
      </c>
      <c r="O9816" s="2">
        <f ca="1"/>
        <v>-0.55907102135464082</v>
      </c>
      <c r="X9816" s="2">
        <f ca="1"/>
        <v>49.527861647260494</v>
      </c>
      <c r="AG9816" s="2">
        <f ca="1"/>
        <v>0.90804378414204767</v>
      </c>
      <c r="AH9816" s="2" t="str">
        <f ca="1"/>
        <v>Bad</v>
      </c>
    </row>
    <row r="9817" spans="2:34">
      <c r="B9817" s="2">
        <f ca="1"/>
        <v>0.11302814467471656</v>
      </c>
      <c r="O9817" s="2">
        <f ca="1"/>
        <v>-0.29211472765603158</v>
      </c>
      <c r="X9817" s="2">
        <f ca="1"/>
        <v>33.356650189488342</v>
      </c>
      <c r="AG9817" s="2">
        <f ca="1"/>
        <v>0.58024805945774927</v>
      </c>
      <c r="AH9817" s="2" t="str">
        <f ca="1"/>
        <v>Bad</v>
      </c>
    </row>
    <row r="9818" spans="2:34">
      <c r="B9818" s="2">
        <f ca="1"/>
        <v>0.54002366453279271</v>
      </c>
      <c r="O9818" s="2">
        <f ca="1"/>
        <v>1.1813896028965585</v>
      </c>
      <c r="X9818" s="2">
        <f ca="1"/>
        <v>53.890546168024692</v>
      </c>
      <c r="AG9818" s="2">
        <f ca="1"/>
        <v>0.93768104764004145</v>
      </c>
      <c r="AH9818" s="2" t="str">
        <f ca="1"/>
        <v>Bad</v>
      </c>
    </row>
    <row r="9819" spans="2:34">
      <c r="B9819" s="2">
        <f ca="1"/>
        <v>0.2738215221052438</v>
      </c>
      <c r="O9819" s="2">
        <f ca="1"/>
        <v>0.29595044713814594</v>
      </c>
      <c r="X9819" s="2">
        <f ca="1"/>
        <v>40.080341139710107</v>
      </c>
      <c r="AG9819" s="2">
        <f ca="1"/>
        <v>0.59975681085656363</v>
      </c>
      <c r="AH9819" s="2" t="str">
        <f ca="1"/>
        <v>Bad</v>
      </c>
    </row>
    <row r="9820" spans="2:34">
      <c r="B9820" s="2">
        <f ca="1"/>
        <v>0.73194305327525355</v>
      </c>
      <c r="O9820" s="2">
        <f ca="1"/>
        <v>-1.0784671167579782</v>
      </c>
      <c r="X9820" s="2">
        <f ca="1"/>
        <v>24.818372347858446</v>
      </c>
      <c r="AG9820" s="2">
        <f ca="1"/>
        <v>0.25224822244481571</v>
      </c>
      <c r="AH9820" s="2" t="str">
        <f ca="1"/>
        <v>OK</v>
      </c>
    </row>
    <row r="9821" spans="2:34">
      <c r="B9821" s="2">
        <f ca="1"/>
        <v>0.88030458321856475</v>
      </c>
      <c r="O9821" s="2">
        <f ca="1"/>
        <v>-0.13112222334252369</v>
      </c>
      <c r="X9821" s="2">
        <f ca="1"/>
        <v>40.793619088867018</v>
      </c>
      <c r="AG9821" s="2">
        <f ca="1"/>
        <v>9.4419604524381695E-2</v>
      </c>
      <c r="AH9821" s="2" t="str">
        <f ca="1"/>
        <v>OK</v>
      </c>
    </row>
    <row r="9822" spans="2:34">
      <c r="B9822" s="2">
        <f ca="1"/>
        <v>0.73807708166453256</v>
      </c>
      <c r="O9822" s="2">
        <f ca="1"/>
        <v>7.5007729598793371E-2</v>
      </c>
      <c r="X9822" s="2">
        <f ca="1"/>
        <v>29.337277098791002</v>
      </c>
      <c r="AG9822" s="2">
        <f ca="1"/>
        <v>0.93665078463727824</v>
      </c>
      <c r="AH9822" s="2" t="str">
        <f ca="1"/>
        <v>Bad</v>
      </c>
    </row>
    <row r="9823" spans="2:34">
      <c r="B9823" s="2">
        <f ca="1"/>
        <v>0.81513815878912266</v>
      </c>
      <c r="O9823" s="2">
        <f ca="1"/>
        <v>0.34761331343461677</v>
      </c>
      <c r="X9823" s="2">
        <f ca="1"/>
        <v>65.676129935013009</v>
      </c>
      <c r="AG9823" s="2">
        <f ca="1"/>
        <v>0.71550109029356701</v>
      </c>
      <c r="AH9823" s="2" t="str">
        <f ca="1"/>
        <v>Bad</v>
      </c>
    </row>
    <row r="9824" spans="2:34">
      <c r="B9824" s="2">
        <f ca="1"/>
        <v>1.3206892018897243E-2</v>
      </c>
      <c r="O9824" s="2">
        <f ca="1"/>
        <v>1.56964749657811</v>
      </c>
      <c r="X9824" s="2">
        <f ca="1"/>
        <v>61.401225033010164</v>
      </c>
      <c r="AG9824" s="2">
        <f ca="1"/>
        <v>0.65630099422781596</v>
      </c>
      <c r="AH9824" s="2" t="str">
        <f ca="1"/>
        <v>Bad</v>
      </c>
    </row>
    <row r="9825" spans="2:34">
      <c r="B9825" s="2">
        <f ca="1"/>
        <v>0.23309995761049462</v>
      </c>
      <c r="O9825" s="2">
        <f ca="1"/>
        <v>-1.1892308612368958</v>
      </c>
      <c r="X9825" s="2">
        <f ca="1"/>
        <v>54.269103296067755</v>
      </c>
      <c r="AG9825" s="2">
        <f ca="1"/>
        <v>0.53152057801398778</v>
      </c>
      <c r="AH9825" s="2" t="str">
        <f ca="1"/>
        <v>Bad</v>
      </c>
    </row>
    <row r="9826" spans="2:34">
      <c r="B9826" s="2">
        <f ca="1"/>
        <v>0.62750571988360626</v>
      </c>
      <c r="O9826" s="2">
        <f ca="1"/>
        <v>0.7458940549040709</v>
      </c>
      <c r="X9826" s="2">
        <f ca="1"/>
        <v>36.250831729536998</v>
      </c>
      <c r="AG9826" s="2">
        <f ca="1"/>
        <v>0.64656201450325912</v>
      </c>
      <c r="AH9826" s="2" t="str">
        <f ca="1"/>
        <v>Bad</v>
      </c>
    </row>
    <row r="9827" spans="2:34">
      <c r="B9827" s="2">
        <f ca="1"/>
        <v>0.15240744073502621</v>
      </c>
      <c r="O9827" s="2">
        <f ca="1"/>
        <v>-0.41083192793906165</v>
      </c>
      <c r="X9827" s="2">
        <f ca="1"/>
        <v>46.098421837754991</v>
      </c>
      <c r="AG9827" s="2">
        <f ca="1"/>
        <v>0.50606176524670454</v>
      </c>
      <c r="AH9827" s="2" t="str">
        <f ca="1"/>
        <v>Bad</v>
      </c>
    </row>
    <row r="9828" spans="2:34">
      <c r="B9828" s="2">
        <f ca="1"/>
        <v>0.74627081142197405</v>
      </c>
      <c r="O9828" s="2">
        <f ca="1"/>
        <v>0.38220252586978892</v>
      </c>
      <c r="X9828" s="2">
        <f ca="1"/>
        <v>45.132846594397556</v>
      </c>
      <c r="AG9828" s="2">
        <f ca="1"/>
        <v>0.63160125217213858</v>
      </c>
      <c r="AH9828" s="2" t="str">
        <f ca="1"/>
        <v>Bad</v>
      </c>
    </row>
    <row r="9829" spans="2:34">
      <c r="B9829" s="2">
        <f ca="1"/>
        <v>0.66823505425891105</v>
      </c>
      <c r="O9829" s="2">
        <f ca="1"/>
        <v>-1.4878059428468999</v>
      </c>
      <c r="X9829" s="2">
        <f ca="1"/>
        <v>52.439324616411682</v>
      </c>
      <c r="AG9829" s="2">
        <f ca="1"/>
        <v>2.4254112776576298E-2</v>
      </c>
      <c r="AH9829" s="2" t="str">
        <f ca="1"/>
        <v>Good</v>
      </c>
    </row>
    <row r="9830" spans="2:34">
      <c r="B9830" s="2">
        <f ca="1"/>
        <v>0.75221838883827807</v>
      </c>
      <c r="O9830" s="2">
        <f ca="1"/>
        <v>-0.29211531599679702</v>
      </c>
      <c r="X9830" s="2">
        <f ca="1"/>
        <v>35.721710604832062</v>
      </c>
      <c r="AG9830" s="2">
        <f ca="1"/>
        <v>0.93178144840909582</v>
      </c>
      <c r="AH9830" s="2" t="str">
        <f ca="1"/>
        <v>Bad</v>
      </c>
    </row>
    <row r="9831" spans="2:34">
      <c r="B9831" s="2">
        <f ca="1"/>
        <v>0.42730522347160127</v>
      </c>
      <c r="O9831" s="2">
        <f ca="1"/>
        <v>0.95943698761677554</v>
      </c>
      <c r="X9831" s="2">
        <f ca="1"/>
        <v>47.359997921787965</v>
      </c>
      <c r="AG9831" s="2">
        <f ca="1"/>
        <v>0.90517384663212908</v>
      </c>
      <c r="AH9831" s="2" t="str">
        <f ca="1"/>
        <v>Bad</v>
      </c>
    </row>
    <row r="9832" spans="2:34">
      <c r="B9832" s="2">
        <f ca="1"/>
        <v>0.48820766977706298</v>
      </c>
      <c r="O9832" s="2">
        <f ca="1"/>
        <v>-0.72530418393524287</v>
      </c>
      <c r="X9832" s="2">
        <f ca="1"/>
        <v>56.209835179573702</v>
      </c>
      <c r="AG9832" s="2">
        <f ca="1"/>
        <v>0.52704881090503108</v>
      </c>
      <c r="AH9832" s="2" t="str">
        <f ca="1"/>
        <v>Bad</v>
      </c>
    </row>
    <row r="9833" spans="2:34">
      <c r="B9833" s="2">
        <f ca="1"/>
        <v>0.20770013713713786</v>
      </c>
      <c r="O9833" s="2">
        <f ca="1"/>
        <v>1.3835368895284859</v>
      </c>
      <c r="X9833" s="2">
        <f ca="1"/>
        <v>39.991428285804346</v>
      </c>
      <c r="AG9833" s="2">
        <f ca="1"/>
        <v>0.40233188738108328</v>
      </c>
      <c r="AH9833" s="2" t="str">
        <f ca="1"/>
        <v>Bad</v>
      </c>
    </row>
    <row r="9834" spans="2:34">
      <c r="B9834" s="2">
        <f ca="1"/>
        <v>0.29427283854826713</v>
      </c>
      <c r="O9834" s="2">
        <f ca="1"/>
        <v>-9.6893198050898008E-2</v>
      </c>
      <c r="X9834" s="2">
        <f ca="1"/>
        <v>41.527812007439806</v>
      </c>
      <c r="AG9834" s="2">
        <f ca="1"/>
        <v>0.25088602606957577</v>
      </c>
      <c r="AH9834" s="2" t="str">
        <f ca="1"/>
        <v>OK</v>
      </c>
    </row>
    <row r="9835" spans="2:34">
      <c r="B9835" s="2">
        <f ca="1"/>
        <v>0.83856114343698307</v>
      </c>
      <c r="O9835" s="2">
        <f ca="1"/>
        <v>-7.3900226498099875E-3</v>
      </c>
      <c r="X9835" s="2">
        <f ca="1"/>
        <v>42.354225765375205</v>
      </c>
      <c r="AG9835" s="2">
        <f ca="1"/>
        <v>0.13214224703867994</v>
      </c>
      <c r="AH9835" s="2" t="str">
        <f ca="1"/>
        <v>OK</v>
      </c>
    </row>
    <row r="9836" spans="2:34">
      <c r="B9836" s="2">
        <f ca="1"/>
        <v>0.80746489213262884</v>
      </c>
      <c r="O9836" s="2">
        <f ca="1"/>
        <v>0.40593923318114977</v>
      </c>
      <c r="X9836" s="2">
        <f ca="1"/>
        <v>43.75447699214368</v>
      </c>
      <c r="AG9836" s="2">
        <f ca="1"/>
        <v>0.53996594207127102</v>
      </c>
      <c r="AH9836" s="2" t="str">
        <f ca="1"/>
        <v>Bad</v>
      </c>
    </row>
    <row r="9837" spans="2:34">
      <c r="B9837" s="2">
        <f ca="1"/>
        <v>0.56738283943489609</v>
      </c>
      <c r="O9837" s="2">
        <f ca="1"/>
        <v>-1.5484798314723862</v>
      </c>
      <c r="X9837" s="2">
        <f ca="1"/>
        <v>38.770488080891624</v>
      </c>
      <c r="AG9837" s="2">
        <f ca="1"/>
        <v>0.12577901612455045</v>
      </c>
      <c r="AH9837" s="2" t="str">
        <f ca="1"/>
        <v>OK</v>
      </c>
    </row>
    <row r="9838" spans="2:34">
      <c r="B9838" s="2">
        <f ca="1"/>
        <v>0.73133075765816291</v>
      </c>
      <c r="O9838" s="2">
        <f ca="1"/>
        <v>1.9991738920411128</v>
      </c>
      <c r="X9838" s="2">
        <f ca="1"/>
        <v>51.267917147719189</v>
      </c>
      <c r="AG9838" s="2">
        <f ca="1"/>
        <v>0.42635643866130724</v>
      </c>
      <c r="AH9838" s="2" t="str">
        <f ca="1"/>
        <v>Bad</v>
      </c>
    </row>
    <row r="9839" spans="2:34">
      <c r="B9839" s="2">
        <f ca="1"/>
        <v>0.42123733271337138</v>
      </c>
      <c r="O9839" s="2">
        <f ca="1"/>
        <v>-2.5108514646651612</v>
      </c>
      <c r="X9839" s="2">
        <f ca="1"/>
        <v>36.488345400029033</v>
      </c>
      <c r="AG9839" s="2">
        <f ca="1"/>
        <v>0.57142440629005131</v>
      </c>
      <c r="AH9839" s="2" t="str">
        <f ca="1"/>
        <v>Bad</v>
      </c>
    </row>
    <row r="9840" spans="2:34">
      <c r="B9840" s="2">
        <f ca="1"/>
        <v>0.8645579499913103</v>
      </c>
      <c r="O9840" s="2">
        <f ca="1"/>
        <v>1.3265996504246773</v>
      </c>
      <c r="X9840" s="2">
        <f ca="1"/>
        <v>22.437409559574839</v>
      </c>
      <c r="AG9840" s="2">
        <f ca="1"/>
        <v>1.6557541658947628E-2</v>
      </c>
      <c r="AH9840" s="2" t="str">
        <f ca="1"/>
        <v>Good</v>
      </c>
    </row>
    <row r="9841" spans="2:34">
      <c r="B9841" s="2">
        <f ca="1"/>
        <v>0.23778690514455825</v>
      </c>
      <c r="O9841" s="2">
        <f ca="1"/>
        <v>-1.6690101423460144E-2</v>
      </c>
      <c r="X9841" s="2">
        <f ca="1"/>
        <v>41.430057379532634</v>
      </c>
      <c r="AG9841" s="2">
        <f ca="1"/>
        <v>0.77590911059130074</v>
      </c>
      <c r="AH9841" s="2" t="str">
        <f ca="1"/>
        <v>Bad</v>
      </c>
    </row>
    <row r="9842" spans="2:34">
      <c r="B9842" s="2">
        <f ca="1"/>
        <v>4.8245234668042869E-2</v>
      </c>
      <c r="O9842" s="2">
        <f ca="1"/>
        <v>-0.11725392164812549</v>
      </c>
      <c r="X9842" s="2">
        <f ca="1"/>
        <v>68.381015977586529</v>
      </c>
      <c r="AG9842" s="2">
        <f ca="1"/>
        <v>0.67868950376182346</v>
      </c>
      <c r="AH9842" s="2" t="str">
        <f ca="1"/>
        <v>Bad</v>
      </c>
    </row>
    <row r="9843" spans="2:34">
      <c r="B9843" s="2">
        <f ca="1"/>
        <v>0.97713585567429062</v>
      </c>
      <c r="O9843" s="2">
        <f ca="1"/>
        <v>-2.261315261566597</v>
      </c>
      <c r="X9843" s="2">
        <f ca="1"/>
        <v>81.579671520366915</v>
      </c>
      <c r="AG9843" s="2">
        <f ca="1"/>
        <v>0.61201961185632237</v>
      </c>
      <c r="AH9843" s="2" t="str">
        <f ca="1"/>
        <v>Bad</v>
      </c>
    </row>
    <row r="9844" spans="2:34">
      <c r="B9844" s="2">
        <f ca="1"/>
        <v>0.94879666512293781</v>
      </c>
      <c r="O9844" s="2">
        <f ca="1"/>
        <v>2.6740399954449512E-4</v>
      </c>
      <c r="X9844" s="2">
        <f ca="1"/>
        <v>36.385349560704753</v>
      </c>
      <c r="AG9844" s="2">
        <f ca="1"/>
        <v>0.2310871239006691</v>
      </c>
      <c r="AH9844" s="2" t="str">
        <f ca="1"/>
        <v>OK</v>
      </c>
    </row>
    <row r="9845" spans="2:34">
      <c r="B9845" s="2">
        <f ca="1"/>
        <v>9.8449630120674314E-2</v>
      </c>
      <c r="O9845" s="2">
        <f ca="1"/>
        <v>0.12824532641832773</v>
      </c>
      <c r="X9845" s="2">
        <f ca="1"/>
        <v>88.174374137979058</v>
      </c>
      <c r="AG9845" s="2">
        <f ca="1"/>
        <v>0.2736180466608622</v>
      </c>
      <c r="AH9845" s="2" t="str">
        <f ca="1"/>
        <v>OK</v>
      </c>
    </row>
    <row r="9846" spans="2:34">
      <c r="B9846" s="2">
        <f ca="1"/>
        <v>0.24227525643707382</v>
      </c>
      <c r="O9846" s="2">
        <f ca="1"/>
        <v>0.19042204724572404</v>
      </c>
      <c r="X9846" s="2">
        <f ca="1"/>
        <v>32.786371792816119</v>
      </c>
      <c r="AG9846" s="2">
        <f ca="1"/>
        <v>0.24965064248951663</v>
      </c>
      <c r="AH9846" s="2" t="str">
        <f ca="1"/>
        <v>OK</v>
      </c>
    </row>
    <row r="9847" spans="2:34">
      <c r="B9847" s="2">
        <f ca="1"/>
        <v>0.77630901238168826</v>
      </c>
      <c r="O9847" s="2">
        <f ca="1"/>
        <v>-0.75066827015920157</v>
      </c>
      <c r="X9847" s="2">
        <f ca="1"/>
        <v>28.1177150201842</v>
      </c>
      <c r="AG9847" s="2">
        <f ca="1"/>
        <v>0.89318642857861708</v>
      </c>
      <c r="AH9847" s="2" t="str">
        <f ca="1"/>
        <v>Bad</v>
      </c>
    </row>
    <row r="9848" spans="2:34">
      <c r="B9848" s="2">
        <f ca="1"/>
        <v>0.80013146762941578</v>
      </c>
      <c r="O9848" s="2">
        <f ca="1"/>
        <v>1.7840969381350495</v>
      </c>
      <c r="X9848" s="2">
        <f ca="1"/>
        <v>54.130731477946775</v>
      </c>
      <c r="AG9848" s="2">
        <f ca="1"/>
        <v>0.64128872852251062</v>
      </c>
      <c r="AH9848" s="2" t="str">
        <f ca="1"/>
        <v>Bad</v>
      </c>
    </row>
    <row r="9849" spans="2:34">
      <c r="B9849" s="2">
        <f ca="1"/>
        <v>0.51182099271500503</v>
      </c>
      <c r="O9849" s="2">
        <f ca="1"/>
        <v>-0.38660240296089882</v>
      </c>
      <c r="X9849" s="2">
        <f ca="1"/>
        <v>50.24128891573325</v>
      </c>
      <c r="AG9849" s="2">
        <f ca="1"/>
        <v>0.50920035422435017</v>
      </c>
      <c r="AH9849" s="2" t="str">
        <f ca="1"/>
        <v>Bad</v>
      </c>
    </row>
    <row r="9850" spans="2:34">
      <c r="B9850" s="2">
        <f ca="1"/>
        <v>0.580296840381056</v>
      </c>
      <c r="O9850" s="2">
        <f ca="1"/>
        <v>-0.45029555888187506</v>
      </c>
      <c r="X9850" s="2">
        <f ca="1"/>
        <v>51.677789258559521</v>
      </c>
      <c r="AG9850" s="2">
        <f ca="1"/>
        <v>0.69871841248572242</v>
      </c>
      <c r="AH9850" s="2" t="str">
        <f ca="1"/>
        <v>Bad</v>
      </c>
    </row>
    <row r="9851" spans="2:34">
      <c r="B9851" s="2">
        <f ca="1"/>
        <v>0.23674115909208959</v>
      </c>
      <c r="O9851" s="2">
        <f ca="1"/>
        <v>-1.559266553330551</v>
      </c>
      <c r="X9851" s="2">
        <f ca="1"/>
        <v>46.94503142560076</v>
      </c>
      <c r="AG9851" s="2">
        <f ca="1"/>
        <v>9.8447467915204312E-2</v>
      </c>
      <c r="AH9851" s="2" t="str">
        <f ca="1"/>
        <v>OK</v>
      </c>
    </row>
    <row r="9852" spans="2:34">
      <c r="B9852" s="2">
        <f ca="1"/>
        <v>3.435486118058928E-2</v>
      </c>
      <c r="O9852" s="2">
        <f ca="1"/>
        <v>0.11969651552215596</v>
      </c>
      <c r="X9852" s="2">
        <f ca="1"/>
        <v>49.200791829386574</v>
      </c>
      <c r="AG9852" s="2">
        <f ca="1"/>
        <v>0.88150047276930699</v>
      </c>
      <c r="AH9852" s="2" t="str">
        <f ca="1"/>
        <v>Bad</v>
      </c>
    </row>
    <row r="9853" spans="2:34">
      <c r="B9853" s="2">
        <f ca="1"/>
        <v>0.10412653103907843</v>
      </c>
      <c r="O9853" s="2">
        <f ca="1"/>
        <v>-2.3241330972444398</v>
      </c>
      <c r="X9853" s="2">
        <f ca="1"/>
        <v>58.212637529686972</v>
      </c>
      <c r="AG9853" s="2">
        <f ca="1"/>
        <v>0.19942132984310001</v>
      </c>
      <c r="AH9853" s="2" t="str">
        <f ca="1"/>
        <v>OK</v>
      </c>
    </row>
    <row r="9854" spans="2:34">
      <c r="B9854" s="2">
        <f ca="1"/>
        <v>0.27934562244512673</v>
      </c>
      <c r="O9854" s="2">
        <f ca="1"/>
        <v>0.24714477035210591</v>
      </c>
      <c r="X9854" s="2">
        <f ca="1"/>
        <v>50.893076863730954</v>
      </c>
      <c r="AG9854" s="2">
        <f ca="1"/>
        <v>0.42348926180617585</v>
      </c>
      <c r="AH9854" s="2" t="str">
        <f ca="1"/>
        <v>Bad</v>
      </c>
    </row>
    <row r="9855" spans="2:34">
      <c r="B9855" s="2">
        <f ca="1"/>
        <v>0.87298834694825933</v>
      </c>
      <c r="O9855" s="2">
        <f ca="1"/>
        <v>-0.25622012935450539</v>
      </c>
      <c r="X9855" s="2">
        <f ca="1"/>
        <v>39.75776414660038</v>
      </c>
      <c r="AG9855" s="2">
        <f ca="1"/>
        <v>6.8129491709104428E-2</v>
      </c>
      <c r="AH9855" s="2" t="str">
        <f ca="1"/>
        <v>OK</v>
      </c>
    </row>
    <row r="9856" spans="2:34">
      <c r="B9856" s="2">
        <f ca="1"/>
        <v>0.15395514708156099</v>
      </c>
      <c r="O9856" s="2">
        <f ca="1"/>
        <v>1.332918355448798</v>
      </c>
      <c r="X9856" s="2">
        <f ca="1"/>
        <v>63.591056919738662</v>
      </c>
      <c r="AG9856" s="2">
        <f ca="1"/>
        <v>0.94373743235807028</v>
      </c>
      <c r="AH9856" s="2" t="str">
        <f ca="1"/>
        <v>Bad</v>
      </c>
    </row>
    <row r="9857" spans="2:34">
      <c r="B9857" s="2">
        <f ca="1"/>
        <v>0.38001823324618744</v>
      </c>
      <c r="O9857" s="2">
        <f ca="1"/>
        <v>0.22478189213350586</v>
      </c>
      <c r="X9857" s="2">
        <f ca="1"/>
        <v>70.166790463073198</v>
      </c>
      <c r="AG9857" s="2">
        <f ca="1"/>
        <v>4.1937408330614989E-2</v>
      </c>
      <c r="AH9857" s="2" t="str">
        <f ca="1"/>
        <v>Good</v>
      </c>
    </row>
    <row r="9858" spans="2:34">
      <c r="B9858" s="2">
        <f ca="1"/>
        <v>0.15590419138191547</v>
      </c>
      <c r="O9858" s="2">
        <f ca="1"/>
        <v>-1.0902352792316605</v>
      </c>
      <c r="X9858" s="2">
        <f ca="1"/>
        <v>20.299973830611027</v>
      </c>
      <c r="AG9858" s="2">
        <f ca="1"/>
        <v>0.21429810164443941</v>
      </c>
      <c r="AH9858" s="2" t="str">
        <f ca="1"/>
        <v>OK</v>
      </c>
    </row>
    <row r="9859" spans="2:34">
      <c r="B9859" s="2">
        <f ca="1"/>
        <v>0.58738173503903401</v>
      </c>
      <c r="O9859" s="2">
        <f ca="1"/>
        <v>-0.66307863199236616</v>
      </c>
      <c r="X9859" s="2">
        <f ca="1"/>
        <v>42.633941731293845</v>
      </c>
      <c r="AG9859" s="2">
        <f ca="1"/>
        <v>2.4665638764350906E-2</v>
      </c>
      <c r="AH9859" s="2" t="str">
        <f ca="1"/>
        <v>Good</v>
      </c>
    </row>
    <row r="9860" spans="2:34">
      <c r="B9860" s="2">
        <f ca="1"/>
        <v>0.50629694865058417</v>
      </c>
      <c r="O9860" s="2">
        <f ca="1"/>
        <v>0.61865311981309323</v>
      </c>
      <c r="X9860" s="2">
        <f ca="1"/>
        <v>37.866510759692275</v>
      </c>
      <c r="AG9860" s="2">
        <f ca="1"/>
        <v>0.30109022900038518</v>
      </c>
      <c r="AH9860" s="2" t="str">
        <f ca="1"/>
        <v>OK</v>
      </c>
    </row>
    <row r="9861" spans="2:34">
      <c r="B9861" s="2">
        <f ca="1"/>
        <v>0.33909914302328126</v>
      </c>
      <c r="O9861" s="2">
        <f ca="1"/>
        <v>1.2420949489876099</v>
      </c>
      <c r="X9861" s="2">
        <f ca="1"/>
        <v>36.36578593263814</v>
      </c>
      <c r="AG9861" s="2">
        <f ca="1"/>
        <v>0.57576010021088631</v>
      </c>
      <c r="AH9861" s="2" t="str">
        <f ca="1"/>
        <v>Bad</v>
      </c>
    </row>
    <row r="9862" spans="2:34">
      <c r="B9862" s="2">
        <f ca="1"/>
        <v>0.73693020401060805</v>
      </c>
      <c r="O9862" s="2">
        <f ca="1"/>
        <v>9.4035219063779152E-2</v>
      </c>
      <c r="X9862" s="2">
        <f ca="1"/>
        <v>26.96201079913175</v>
      </c>
      <c r="AG9862" s="2">
        <f ca="1"/>
        <v>0.27256912755622009</v>
      </c>
      <c r="AH9862" s="2" t="str">
        <f ca="1"/>
        <v>OK</v>
      </c>
    </row>
    <row r="9863" spans="2:34">
      <c r="B9863" s="2">
        <f ca="1"/>
        <v>0.19622106443684695</v>
      </c>
      <c r="O9863" s="2">
        <f ca="1"/>
        <v>0.22883182997816226</v>
      </c>
      <c r="X9863" s="2">
        <f ca="1"/>
        <v>77.642397329839753</v>
      </c>
      <c r="AG9863" s="2">
        <f ca="1"/>
        <v>0.47105431178469681</v>
      </c>
      <c r="AH9863" s="2" t="str">
        <f ca="1"/>
        <v>Bad</v>
      </c>
    </row>
    <row r="9864" spans="2:34">
      <c r="B9864" s="2">
        <f ca="1"/>
        <v>0.93243656324696</v>
      </c>
      <c r="O9864" s="2">
        <f ca="1"/>
        <v>0.26230867484744386</v>
      </c>
      <c r="X9864" s="2">
        <f ca="1"/>
        <v>67.439037878090517</v>
      </c>
      <c r="AG9864" s="2">
        <f ca="1"/>
        <v>0.94260132351603843</v>
      </c>
      <c r="AH9864" s="2" t="str">
        <f ca="1"/>
        <v>Bad</v>
      </c>
    </row>
    <row r="9865" spans="2:34">
      <c r="B9865" s="2">
        <f ca="1"/>
        <v>0.26900053848127947</v>
      </c>
      <c r="O9865" s="2">
        <f ca="1"/>
        <v>-0.97545611699317836</v>
      </c>
      <c r="X9865" s="2">
        <f ca="1"/>
        <v>49.880671962788135</v>
      </c>
      <c r="AG9865" s="2">
        <f ca="1"/>
        <v>0.13001623752950553</v>
      </c>
      <c r="AH9865" s="2" t="str">
        <f ca="1"/>
        <v>OK</v>
      </c>
    </row>
    <row r="9866" spans="2:34">
      <c r="B9866" s="2">
        <f ca="1"/>
        <v>0.22659197989675239</v>
      </c>
      <c r="O9866" s="2">
        <f ca="1"/>
        <v>-1.1766218071202155</v>
      </c>
      <c r="X9866" s="2">
        <f ca="1"/>
        <v>66.613901447147924</v>
      </c>
      <c r="AG9866" s="2">
        <f ca="1"/>
        <v>0.38860859654369673</v>
      </c>
      <c r="AH9866" s="2" t="str">
        <f ca="1"/>
        <v>OK</v>
      </c>
    </row>
    <row r="9867" spans="2:34">
      <c r="B9867" s="2">
        <f ca="1"/>
        <v>6.4314853461223231E-2</v>
      </c>
      <c r="O9867" s="2">
        <f ca="1"/>
        <v>-0.59468678150603205</v>
      </c>
      <c r="X9867" s="2">
        <f ca="1"/>
        <v>75.07651798637886</v>
      </c>
      <c r="AG9867" s="2">
        <f ca="1"/>
        <v>0.37285008207558556</v>
      </c>
      <c r="AH9867" s="2" t="str">
        <f ca="1"/>
        <v>OK</v>
      </c>
    </row>
    <row r="9868" spans="2:34">
      <c r="B9868" s="2">
        <f ca="1"/>
        <v>0.50150933349007998</v>
      </c>
      <c r="O9868" s="2">
        <f ca="1"/>
        <v>0.37385758400777819</v>
      </c>
      <c r="X9868" s="2">
        <f ca="1"/>
        <v>60.106176080596747</v>
      </c>
      <c r="AG9868" s="2">
        <f ca="1"/>
        <v>0.26492868906979949</v>
      </c>
      <c r="AH9868" s="2" t="str">
        <f ca="1"/>
        <v>OK</v>
      </c>
    </row>
    <row r="9869" spans="2:34">
      <c r="B9869" s="2">
        <f ca="1"/>
        <v>0.93166404700202121</v>
      </c>
      <c r="O9869" s="2">
        <f ca="1"/>
        <v>-0.48538794120188544</v>
      </c>
      <c r="X9869" s="2">
        <f ca="1"/>
        <v>55.915224740650338</v>
      </c>
      <c r="AG9869" s="2">
        <f ca="1"/>
        <v>0.80735217541340898</v>
      </c>
      <c r="AH9869" s="2" t="str">
        <f ca="1"/>
        <v>Bad</v>
      </c>
    </row>
    <row r="9870" spans="2:34">
      <c r="B9870" s="2">
        <f ca="1"/>
        <v>0.31225110306229209</v>
      </c>
      <c r="O9870" s="2">
        <f ca="1"/>
        <v>0.52614905973953874</v>
      </c>
      <c r="X9870" s="2">
        <f ca="1"/>
        <v>44.852552462701389</v>
      </c>
      <c r="AG9870" s="2">
        <f ca="1"/>
        <v>0.38584256487491642</v>
      </c>
      <c r="AH9870" s="2" t="str">
        <f ca="1"/>
        <v>OK</v>
      </c>
    </row>
    <row r="9871" spans="2:34">
      <c r="B9871" s="2">
        <f ca="1"/>
        <v>0.91213101256373275</v>
      </c>
      <c r="O9871" s="2">
        <f ca="1"/>
        <v>-1.1652604553416799</v>
      </c>
      <c r="X9871" s="2">
        <f ca="1"/>
        <v>50.981396027204077</v>
      </c>
      <c r="AG9871" s="2">
        <f ca="1"/>
        <v>0.29642808622960981</v>
      </c>
      <c r="AH9871" s="2" t="str">
        <f ca="1"/>
        <v>OK</v>
      </c>
    </row>
    <row r="9872" spans="2:34">
      <c r="B9872" s="2">
        <f ca="1"/>
        <v>5.4856247311376727E-2</v>
      </c>
      <c r="O9872" s="2">
        <f ca="1"/>
        <v>-0.63680186379749759</v>
      </c>
      <c r="X9872" s="2">
        <f ca="1"/>
        <v>49.625982840153398</v>
      </c>
      <c r="AG9872" s="2">
        <f ca="1"/>
        <v>0.53311839493650681</v>
      </c>
      <c r="AH9872" s="2" t="str">
        <f ca="1"/>
        <v>Bad</v>
      </c>
    </row>
    <row r="9873" spans="2:34">
      <c r="B9873" s="2">
        <f ca="1"/>
        <v>0.15996623252267028</v>
      </c>
      <c r="O9873" s="2">
        <f ca="1"/>
        <v>2.159324749058769</v>
      </c>
      <c r="X9873" s="2">
        <f ca="1"/>
        <v>73.336702783673928</v>
      </c>
      <c r="AG9873" s="2">
        <f ca="1"/>
        <v>3.6689370008378352E-2</v>
      </c>
      <c r="AH9873" s="2" t="str">
        <f ca="1"/>
        <v>Good</v>
      </c>
    </row>
    <row r="9874" spans="2:34">
      <c r="B9874" s="2">
        <f ca="1"/>
        <v>0.52666215715560893</v>
      </c>
      <c r="O9874" s="2">
        <f ca="1"/>
        <v>1.3087208576914171</v>
      </c>
      <c r="X9874" s="2">
        <f ca="1"/>
        <v>69.058468080134858</v>
      </c>
      <c r="AG9874" s="2">
        <f ca="1"/>
        <v>0.50341699915591942</v>
      </c>
      <c r="AH9874" s="2" t="str">
        <f ca="1"/>
        <v>Bad</v>
      </c>
    </row>
    <row r="9875" spans="2:34">
      <c r="B9875" s="2">
        <f ca="1"/>
        <v>0.96893144858885338</v>
      </c>
      <c r="O9875" s="2">
        <f ca="1"/>
        <v>0.39114238891566605</v>
      </c>
      <c r="X9875" s="2">
        <f ca="1"/>
        <v>66.097543837452434</v>
      </c>
      <c r="AG9875" s="2">
        <f ca="1"/>
        <v>0.86149788143200423</v>
      </c>
      <c r="AH9875" s="2" t="str">
        <f ca="1"/>
        <v>Bad</v>
      </c>
    </row>
    <row r="9876" spans="2:34">
      <c r="B9876" s="2">
        <f ca="1"/>
        <v>0.22054020240044148</v>
      </c>
      <c r="O9876" s="2">
        <f ca="1"/>
        <v>0.79868188186811095</v>
      </c>
      <c r="X9876" s="2">
        <f ca="1"/>
        <v>32.74501021359459</v>
      </c>
      <c r="AG9876" s="2">
        <f ca="1"/>
        <v>0.1504552184514758</v>
      </c>
      <c r="AH9876" s="2" t="str">
        <f ca="1"/>
        <v>OK</v>
      </c>
    </row>
    <row r="9877" spans="2:34">
      <c r="B9877" s="2">
        <f ca="1"/>
        <v>0.81483492543981861</v>
      </c>
      <c r="O9877" s="2">
        <f ca="1"/>
        <v>-0.83339474681686143</v>
      </c>
      <c r="X9877" s="2">
        <f ca="1"/>
        <v>42.257101747251198</v>
      </c>
      <c r="AG9877" s="2">
        <f ca="1"/>
        <v>0.53680829053221979</v>
      </c>
      <c r="AH9877" s="2" t="str">
        <f ca="1"/>
        <v>Bad</v>
      </c>
    </row>
    <row r="9878" spans="2:34">
      <c r="B9878" s="2">
        <f ca="1"/>
        <v>0.6815956638084415</v>
      </c>
      <c r="O9878" s="2">
        <f ca="1"/>
        <v>0.87340149041951276</v>
      </c>
      <c r="X9878" s="2">
        <f ca="1"/>
        <v>78.78284841469528</v>
      </c>
      <c r="AG9878" s="2">
        <f ca="1"/>
        <v>0.25165120319673018</v>
      </c>
      <c r="AH9878" s="2" t="str">
        <f ca="1"/>
        <v>OK</v>
      </c>
    </row>
    <row r="9879" spans="2:34">
      <c r="B9879" s="2">
        <f ca="1"/>
        <v>0.76630582531658398</v>
      </c>
      <c r="O9879" s="2">
        <f ca="1"/>
        <v>-1.3585204044702663</v>
      </c>
      <c r="X9879" s="2">
        <f ca="1"/>
        <v>32.875351292070555</v>
      </c>
      <c r="AG9879" s="2">
        <f ca="1"/>
        <v>8.034821269982384E-2</v>
      </c>
      <c r="AH9879" s="2" t="str">
        <f ca="1"/>
        <v>OK</v>
      </c>
    </row>
    <row r="9880" spans="2:34">
      <c r="B9880" s="2">
        <f ca="1"/>
        <v>0.22262847924387508</v>
      </c>
      <c r="O9880" s="2">
        <f ca="1"/>
        <v>6.9771933515739112E-2</v>
      </c>
      <c r="X9880" s="2">
        <f ca="1"/>
        <v>43.544245946382389</v>
      </c>
      <c r="AG9880" s="2">
        <f ca="1"/>
        <v>0.5760739131671877</v>
      </c>
      <c r="AH9880" s="2" t="str">
        <f ca="1"/>
        <v>Bad</v>
      </c>
    </row>
    <row r="9881" spans="2:34">
      <c r="B9881" s="2">
        <f ca="1"/>
        <v>0.6835285299603393</v>
      </c>
      <c r="O9881" s="2">
        <f ca="1"/>
        <v>-5.925652598282509E-2</v>
      </c>
      <c r="X9881" s="2">
        <f ca="1"/>
        <v>38.294408760027871</v>
      </c>
      <c r="AG9881" s="2">
        <f ca="1"/>
        <v>0.21707735020195917</v>
      </c>
      <c r="AH9881" s="2" t="str">
        <f ca="1"/>
        <v>OK</v>
      </c>
    </row>
    <row r="9882" spans="2:34">
      <c r="B9882" s="2">
        <f ca="1"/>
        <v>0.35494161171205918</v>
      </c>
      <c r="O9882" s="2">
        <f ca="1"/>
        <v>0.6596983457508423</v>
      </c>
      <c r="X9882" s="2">
        <f ca="1"/>
        <v>27.14991205176598</v>
      </c>
      <c r="AG9882" s="2">
        <f ca="1"/>
        <v>0.732467586899753</v>
      </c>
      <c r="AH9882" s="2" t="str">
        <f ca="1"/>
        <v>Bad</v>
      </c>
    </row>
    <row r="9883" spans="2:34">
      <c r="B9883" s="2">
        <f ca="1"/>
        <v>0.74186411847433398</v>
      </c>
      <c r="O9883" s="2">
        <f ca="1"/>
        <v>0.70401811514572266</v>
      </c>
      <c r="X9883" s="2">
        <f ca="1"/>
        <v>62.727541460270622</v>
      </c>
      <c r="AG9883" s="2">
        <f ca="1"/>
        <v>0.69437996986247974</v>
      </c>
      <c r="AH9883" s="2" t="str">
        <f ca="1"/>
        <v>Bad</v>
      </c>
    </row>
    <row r="9884" spans="2:34">
      <c r="B9884" s="2">
        <f ca="1"/>
        <v>0.24485021433651588</v>
      </c>
      <c r="O9884" s="2">
        <f ca="1"/>
        <v>-0.22638195943825959</v>
      </c>
      <c r="X9884" s="2">
        <f ca="1"/>
        <v>33.789383595776982</v>
      </c>
      <c r="AG9884" s="2">
        <f ca="1"/>
        <v>6.1565689467715679E-2</v>
      </c>
      <c r="AH9884" s="2" t="str">
        <f ca="1"/>
        <v>OK</v>
      </c>
    </row>
    <row r="9885" spans="2:34">
      <c r="B9885" s="2">
        <f ca="1"/>
        <v>0.55225367865689301</v>
      </c>
      <c r="O9885" s="2">
        <f ca="1"/>
        <v>-0.58582360582680004</v>
      </c>
      <c r="X9885" s="2">
        <f ca="1"/>
        <v>45.019510673257884</v>
      </c>
      <c r="AG9885" s="2">
        <f ca="1"/>
        <v>0.74552950541252727</v>
      </c>
      <c r="AH9885" s="2" t="str">
        <f ca="1"/>
        <v>Bad</v>
      </c>
    </row>
    <row r="9886" spans="2:34">
      <c r="B9886" s="2">
        <f ca="1"/>
        <v>0.77418156696858542</v>
      </c>
      <c r="O9886" s="2">
        <f ca="1"/>
        <v>-0.42013586892881077</v>
      </c>
      <c r="X9886" s="2">
        <f ca="1"/>
        <v>36.740096051012102</v>
      </c>
      <c r="AG9886" s="2">
        <f ca="1"/>
        <v>0.3068917574248331</v>
      </c>
      <c r="AH9886" s="2" t="str">
        <f ca="1"/>
        <v>OK</v>
      </c>
    </row>
    <row r="9887" spans="2:34">
      <c r="B9887" s="2">
        <f ca="1"/>
        <v>0.822954341366817</v>
      </c>
      <c r="O9887" s="2">
        <f ca="1"/>
        <v>-2.3689987241671568</v>
      </c>
      <c r="X9887" s="2">
        <f ca="1"/>
        <v>58.697605158236414</v>
      </c>
      <c r="AG9887" s="2">
        <f ca="1"/>
        <v>0.45513005095584624</v>
      </c>
      <c r="AH9887" s="2" t="str">
        <f ca="1"/>
        <v>Bad</v>
      </c>
    </row>
    <row r="9888" spans="2:34">
      <c r="B9888" s="2">
        <f ca="1"/>
        <v>0.50053823155818522</v>
      </c>
      <c r="O9888" s="2">
        <f ca="1"/>
        <v>0.19926079740780939</v>
      </c>
      <c r="X9888" s="2">
        <f ca="1"/>
        <v>79.322339129225227</v>
      </c>
      <c r="AG9888" s="2">
        <f ca="1"/>
        <v>0.21813175282493247</v>
      </c>
      <c r="AH9888" s="2" t="str">
        <f ca="1"/>
        <v>OK</v>
      </c>
    </row>
    <row r="9889" spans="2:34">
      <c r="B9889" s="2">
        <f ca="1"/>
        <v>0.95521676048971593</v>
      </c>
      <c r="O9889" s="2">
        <f ca="1"/>
        <v>2.5831837638305299</v>
      </c>
      <c r="X9889" s="2">
        <f ca="1"/>
        <v>63.741812318735128</v>
      </c>
      <c r="AG9889" s="2">
        <f ca="1"/>
        <v>0.17861277651930174</v>
      </c>
      <c r="AH9889" s="2" t="str">
        <f ca="1"/>
        <v>OK</v>
      </c>
    </row>
    <row r="9890" spans="2:34">
      <c r="B9890" s="2">
        <f ca="1"/>
        <v>0.97182509948771401</v>
      </c>
      <c r="O9890" s="2">
        <f ca="1"/>
        <v>-0.27141684262370963</v>
      </c>
      <c r="X9890" s="2">
        <f ca="1"/>
        <v>33.08278572949785</v>
      </c>
      <c r="AG9890" s="2">
        <f ca="1"/>
        <v>0.973856177358007</v>
      </c>
      <c r="AH9890" s="2" t="str">
        <f ca="1"/>
        <v>Bad</v>
      </c>
    </row>
    <row r="9891" spans="2:34">
      <c r="B9891" s="2">
        <f ca="1"/>
        <v>7.3303838998347137E-2</v>
      </c>
      <c r="O9891" s="2">
        <f ca="1"/>
        <v>0.30941932504691066</v>
      </c>
      <c r="X9891" s="2">
        <f ca="1"/>
        <v>41.96165739606198</v>
      </c>
      <c r="AG9891" s="2">
        <f ca="1"/>
        <v>0.19563604005027857</v>
      </c>
      <c r="AH9891" s="2" t="str">
        <f ca="1"/>
        <v>OK</v>
      </c>
    </row>
    <row r="9892" spans="2:34">
      <c r="B9892" s="2">
        <f ca="1"/>
        <v>0.1004200766701302</v>
      </c>
      <c r="O9892" s="2">
        <f ca="1"/>
        <v>0.43711194949686988</v>
      </c>
      <c r="X9892" s="2">
        <f ca="1"/>
        <v>70.677371847528875</v>
      </c>
      <c r="AG9892" s="2">
        <f ca="1"/>
        <v>0.53684708709680806</v>
      </c>
      <c r="AH9892" s="2" t="str">
        <f ca="1"/>
        <v>Bad</v>
      </c>
    </row>
    <row r="9893" spans="2:34">
      <c r="B9893" s="2">
        <f ca="1"/>
        <v>0.29163800905417392</v>
      </c>
      <c r="O9893" s="2">
        <f ca="1"/>
        <v>2.0278894128461387</v>
      </c>
      <c r="X9893" s="2">
        <f ca="1"/>
        <v>48.621612231667683</v>
      </c>
      <c r="AG9893" s="2">
        <f ca="1"/>
        <v>0.92174916164891574</v>
      </c>
      <c r="AH9893" s="2" t="str">
        <f ca="1"/>
        <v>Bad</v>
      </c>
    </row>
    <row r="9894" spans="2:34">
      <c r="B9894" s="2">
        <f ca="1"/>
        <v>0.73847588759195704</v>
      </c>
      <c r="O9894" s="2">
        <f ca="1"/>
        <v>-1.1634733844506164</v>
      </c>
      <c r="X9894" s="2">
        <f ca="1"/>
        <v>56.434918224791602</v>
      </c>
      <c r="AG9894" s="2">
        <f ca="1"/>
        <v>0.84037958951036296</v>
      </c>
      <c r="AH9894" s="2" t="str">
        <f ca="1"/>
        <v>Bad</v>
      </c>
    </row>
    <row r="9895" spans="2:34">
      <c r="B9895" s="2">
        <f ca="1"/>
        <v>8.9831942296048295E-2</v>
      </c>
      <c r="O9895" s="2">
        <f ca="1"/>
        <v>-0.39902685459137349</v>
      </c>
      <c r="X9895" s="2">
        <f ca="1"/>
        <v>41.566980874853868</v>
      </c>
      <c r="AG9895" s="2">
        <f ca="1"/>
        <v>0.58452669603274598</v>
      </c>
      <c r="AH9895" s="2" t="str">
        <f ca="1"/>
        <v>Bad</v>
      </c>
    </row>
    <row r="9896" spans="2:34">
      <c r="B9896" s="2">
        <f ca="1"/>
        <v>0.63948180319811887</v>
      </c>
      <c r="O9896" s="2">
        <f ca="1"/>
        <v>0.6633809084315615</v>
      </c>
      <c r="X9896" s="2">
        <f ca="1"/>
        <v>21.672031515300635</v>
      </c>
      <c r="AG9896" s="2">
        <f ca="1"/>
        <v>0.79477363236631704</v>
      </c>
      <c r="AH9896" s="2" t="str">
        <f ca="1"/>
        <v>Bad</v>
      </c>
    </row>
    <row r="9897" spans="2:34">
      <c r="B9897" s="2">
        <f ca="1"/>
        <v>0.80683704335803164</v>
      </c>
      <c r="O9897" s="2">
        <f ca="1"/>
        <v>-1.3229747162433811</v>
      </c>
      <c r="X9897" s="2">
        <f ca="1"/>
        <v>33.536227903148067</v>
      </c>
      <c r="AG9897" s="2">
        <f ca="1"/>
        <v>0.81266532843695072</v>
      </c>
      <c r="AH9897" s="2" t="str">
        <f ca="1"/>
        <v>Bad</v>
      </c>
    </row>
    <row r="9898" spans="2:34">
      <c r="B9898" s="2">
        <f ca="1"/>
        <v>0.49664626392708189</v>
      </c>
      <c r="O9898" s="2">
        <f ca="1"/>
        <v>-1.5756519558904671</v>
      </c>
      <c r="X9898" s="2">
        <f ca="1"/>
        <v>48.284080186427218</v>
      </c>
      <c r="AG9898" s="2">
        <f ca="1"/>
        <v>0.72151137463280213</v>
      </c>
      <c r="AH9898" s="2" t="str">
        <f ca="1"/>
        <v>Bad</v>
      </c>
    </row>
    <row r="9899" spans="2:34">
      <c r="B9899" s="2">
        <f ca="1"/>
        <v>0.68281636143838087</v>
      </c>
      <c r="O9899" s="2">
        <f ca="1"/>
        <v>2.1695187035118475</v>
      </c>
      <c r="X9899" s="2">
        <f ca="1"/>
        <v>46.400556098656836</v>
      </c>
      <c r="AG9899" s="2">
        <f ca="1"/>
        <v>6.0411192938421232E-2</v>
      </c>
      <c r="AH9899" s="2" t="str">
        <f ca="1"/>
        <v>OK</v>
      </c>
    </row>
    <row r="9900" spans="2:34">
      <c r="B9900" s="2">
        <f ca="1"/>
        <v>0.59340828616523189</v>
      </c>
      <c r="O9900" s="2">
        <f ca="1"/>
        <v>1.0790234147905491</v>
      </c>
      <c r="X9900" s="2">
        <f ca="1"/>
        <v>36.979164341544781</v>
      </c>
      <c r="AG9900" s="2">
        <f ca="1"/>
        <v>0.34836325161388015</v>
      </c>
      <c r="AH9900" s="2" t="str">
        <f ca="1"/>
        <v>OK</v>
      </c>
    </row>
    <row r="9901" spans="2:34">
      <c r="B9901" s="2">
        <f ca="1"/>
        <v>0.60924126497440079</v>
      </c>
      <c r="O9901" s="2">
        <f ca="1"/>
        <v>0.30317036077234943</v>
      </c>
      <c r="X9901" s="2">
        <f ca="1"/>
        <v>38.499105274994086</v>
      </c>
      <c r="AG9901" s="2">
        <f ca="1"/>
        <v>0.75012738131481949</v>
      </c>
      <c r="AH9901" s="2" t="str">
        <f ca="1"/>
        <v>Bad</v>
      </c>
    </row>
    <row r="9902" spans="2:34">
      <c r="B9902" s="2">
        <f ca="1"/>
        <v>0.79226819052267361</v>
      </c>
      <c r="O9902" s="2">
        <f ca="1"/>
        <v>-0.71635638974741023</v>
      </c>
      <c r="X9902" s="2">
        <f ca="1"/>
        <v>53.580760092714897</v>
      </c>
      <c r="AG9902" s="2">
        <f ca="1"/>
        <v>0.44426581284848043</v>
      </c>
      <c r="AH9902" s="2" t="str">
        <f ca="1"/>
        <v>Bad</v>
      </c>
    </row>
    <row r="9903" spans="2:34">
      <c r="B9903" s="2">
        <f ca="1"/>
        <v>1.9843814773474966E-2</v>
      </c>
      <c r="O9903" s="2">
        <f ca="1"/>
        <v>0.36987022230218491</v>
      </c>
      <c r="X9903" s="2">
        <f ca="1"/>
        <v>26.218177747070285</v>
      </c>
      <c r="AG9903" s="2">
        <f ca="1"/>
        <v>0.61235914132796765</v>
      </c>
      <c r="AH9903" s="2" t="str">
        <f ca="1"/>
        <v>Bad</v>
      </c>
    </row>
    <row r="9904" spans="2:34">
      <c r="B9904" s="2">
        <f ca="1"/>
        <v>0.73783894509492765</v>
      </c>
      <c r="O9904" s="2">
        <f ca="1"/>
        <v>1.2926235311995837</v>
      </c>
      <c r="X9904" s="2">
        <f ca="1"/>
        <v>52.298396794858526</v>
      </c>
      <c r="AG9904" s="2">
        <f ca="1"/>
        <v>0.45052998826451063</v>
      </c>
      <c r="AH9904" s="2" t="str">
        <f ca="1"/>
        <v>Bad</v>
      </c>
    </row>
    <row r="9905" spans="2:34">
      <c r="B9905" s="2">
        <f ca="1"/>
        <v>0.55258639338339055</v>
      </c>
      <c r="O9905" s="2">
        <f ca="1"/>
        <v>0.6263031382028319</v>
      </c>
      <c r="X9905" s="2">
        <f ca="1"/>
        <v>56.509880481976737</v>
      </c>
      <c r="AG9905" s="2">
        <f ca="1"/>
        <v>0.47064925971241611</v>
      </c>
      <c r="AH9905" s="2" t="str">
        <f ca="1"/>
        <v>Bad</v>
      </c>
    </row>
    <row r="9906" spans="2:34">
      <c r="B9906" s="2">
        <f ca="1"/>
        <v>0.18669669607602479</v>
      </c>
      <c r="O9906" s="2">
        <f ca="1"/>
        <v>-0.62245179256915262</v>
      </c>
      <c r="X9906" s="2">
        <f ca="1"/>
        <v>81.448353278751014</v>
      </c>
      <c r="AG9906" s="2">
        <f ca="1"/>
        <v>0.69158293587120223</v>
      </c>
      <c r="AH9906" s="2" t="str">
        <f ca="1"/>
        <v>Bad</v>
      </c>
    </row>
    <row r="9907" spans="2:34">
      <c r="B9907" s="2">
        <f ca="1"/>
        <v>0.46091717592281722</v>
      </c>
      <c r="O9907" s="2">
        <f ca="1"/>
        <v>0.81759684450449011</v>
      </c>
      <c r="X9907" s="2">
        <f ca="1"/>
        <v>45.17296830793002</v>
      </c>
      <c r="AG9907" s="2">
        <f ca="1"/>
        <v>0.30121255103690747</v>
      </c>
      <c r="AH9907" s="2" t="str">
        <f ca="1"/>
        <v>OK</v>
      </c>
    </row>
    <row r="9908" spans="2:34">
      <c r="B9908" s="2">
        <f ca="1"/>
        <v>0.31265037861646694</v>
      </c>
      <c r="O9908" s="2">
        <f ca="1"/>
        <v>0.73142920909847176</v>
      </c>
      <c r="X9908" s="2">
        <f ca="1"/>
        <v>50.27749993865514</v>
      </c>
      <c r="AG9908" s="2">
        <f ca="1"/>
        <v>0.16469697933200567</v>
      </c>
      <c r="AH9908" s="2" t="str">
        <f ca="1"/>
        <v>OK</v>
      </c>
    </row>
    <row r="9909" spans="2:34">
      <c r="B9909" s="2">
        <f ca="1"/>
        <v>0.54598000024358262</v>
      </c>
      <c r="O9909" s="2">
        <f ca="1"/>
        <v>-1.0770879133042193</v>
      </c>
      <c r="X9909" s="2">
        <f ca="1"/>
        <v>37.010559262637074</v>
      </c>
      <c r="AG9909" s="2">
        <f ca="1"/>
        <v>0.78440010223673995</v>
      </c>
      <c r="AH9909" s="2" t="str">
        <f ca="1"/>
        <v>Bad</v>
      </c>
    </row>
    <row r="9910" spans="2:34">
      <c r="B9910" s="2">
        <f ca="1"/>
        <v>0.25879101829134044</v>
      </c>
      <c r="O9910" s="2">
        <f ca="1"/>
        <v>0.19871280573205763</v>
      </c>
      <c r="X9910" s="2">
        <f ca="1"/>
        <v>56.831694071158445</v>
      </c>
      <c r="AG9910" s="2">
        <f ca="1"/>
        <v>0.24912740773891406</v>
      </c>
      <c r="AH9910" s="2" t="str">
        <f ca="1"/>
        <v>OK</v>
      </c>
    </row>
    <row r="9911" spans="2:34">
      <c r="B9911" s="2">
        <f ca="1"/>
        <v>6.4461153300758633E-2</v>
      </c>
      <c r="O9911" s="2">
        <f ca="1"/>
        <v>-1.0257827627036067</v>
      </c>
      <c r="X9911" s="2">
        <f ca="1"/>
        <v>32.580759600224511</v>
      </c>
      <c r="AG9911" s="2">
        <f ca="1"/>
        <v>0.8132269049970946</v>
      </c>
      <c r="AH9911" s="2" t="str">
        <f ca="1"/>
        <v>Bad</v>
      </c>
    </row>
    <row r="9912" spans="2:34">
      <c r="B9912" s="2">
        <f ca="1"/>
        <v>0.29440895812810775</v>
      </c>
      <c r="O9912" s="2">
        <f ca="1"/>
        <v>0.1763981495930933</v>
      </c>
      <c r="X9912" s="2">
        <f ca="1"/>
        <v>29.584022607631386</v>
      </c>
      <c r="AG9912" s="2">
        <f ca="1"/>
        <v>0.20435145247704489</v>
      </c>
      <c r="AH9912" s="2" t="str">
        <f ca="1"/>
        <v>OK</v>
      </c>
    </row>
    <row r="9913" spans="2:34">
      <c r="B9913" s="2">
        <f ca="1"/>
        <v>0.22274641098869097</v>
      </c>
      <c r="O9913" s="2">
        <f ca="1"/>
        <v>1.7196137005171515</v>
      </c>
      <c r="X9913" s="2">
        <f ca="1"/>
        <v>49.518562255927662</v>
      </c>
      <c r="AG9913" s="2">
        <f ca="1"/>
        <v>0.29932063153712862</v>
      </c>
      <c r="AH9913" s="2" t="str">
        <f ca="1"/>
        <v>OK</v>
      </c>
    </row>
    <row r="9914" spans="2:34">
      <c r="B9914" s="2">
        <f ca="1"/>
        <v>0.38062204051544501</v>
      </c>
      <c r="O9914" s="2">
        <f ca="1"/>
        <v>-0.26821888375348418</v>
      </c>
      <c r="X9914" s="2">
        <f ca="1"/>
        <v>39.459214893116787</v>
      </c>
      <c r="AG9914" s="2">
        <f ca="1"/>
        <v>0.48866148793690245</v>
      </c>
      <c r="AH9914" s="2" t="str">
        <f ca="1"/>
        <v>Bad</v>
      </c>
    </row>
    <row r="9915" spans="2:34">
      <c r="B9915" s="2">
        <f ca="1"/>
        <v>0.25849525841063103</v>
      </c>
      <c r="O9915" s="2">
        <f ca="1"/>
        <v>-0.38609766807107498</v>
      </c>
      <c r="X9915" s="2">
        <f ca="1"/>
        <v>53.776031741515013</v>
      </c>
      <c r="AG9915" s="2">
        <f ca="1"/>
        <v>0.10173779995903987</v>
      </c>
      <c r="AH9915" s="2" t="str">
        <f ca="1"/>
        <v>OK</v>
      </c>
    </row>
    <row r="9916" spans="2:34">
      <c r="B9916" s="2">
        <f ca="1"/>
        <v>0.13256220379814931</v>
      </c>
      <c r="O9916" s="2">
        <f ca="1"/>
        <v>-0.62282284318911818</v>
      </c>
      <c r="X9916" s="2">
        <f ca="1"/>
        <v>54.786257769020096</v>
      </c>
      <c r="AG9916" s="2">
        <f ca="1"/>
        <v>0.58416941206801498</v>
      </c>
      <c r="AH9916" s="2" t="str">
        <f ca="1"/>
        <v>Bad</v>
      </c>
    </row>
    <row r="9917" spans="2:34">
      <c r="B9917" s="2">
        <f ca="1"/>
        <v>0.7874790707120658</v>
      </c>
      <c r="O9917" s="2">
        <f ca="1"/>
        <v>-0.88998629185651623</v>
      </c>
      <c r="X9917" s="2">
        <f ca="1"/>
        <v>62.135081175014264</v>
      </c>
      <c r="AG9917" s="2">
        <f ca="1"/>
        <v>0.38512864238977174</v>
      </c>
      <c r="AH9917" s="2" t="str">
        <f ca="1"/>
        <v>OK</v>
      </c>
    </row>
    <row r="9918" spans="2:34">
      <c r="B9918" s="2">
        <f ca="1"/>
        <v>0.81681196811501144</v>
      </c>
      <c r="O9918" s="2">
        <f ca="1"/>
        <v>-0.13317991667754556</v>
      </c>
      <c r="X9918" s="2">
        <f ca="1"/>
        <v>49.942725601919449</v>
      </c>
      <c r="AG9918" s="2">
        <f ca="1"/>
        <v>2.1307378421574263E-2</v>
      </c>
      <c r="AH9918" s="2" t="str">
        <f ca="1"/>
        <v>Good</v>
      </c>
    </row>
    <row r="9919" spans="2:34">
      <c r="B9919" s="2">
        <f ca="1"/>
        <v>0.11893856831317806</v>
      </c>
      <c r="O9919" s="2">
        <f ca="1"/>
        <v>-0.33202020649083486</v>
      </c>
      <c r="X9919" s="2">
        <f ca="1"/>
        <v>65.445162300887986</v>
      </c>
      <c r="AG9919" s="2">
        <f ca="1"/>
        <v>0.79782271849702324</v>
      </c>
      <c r="AH9919" s="2" t="str">
        <f ca="1"/>
        <v>Bad</v>
      </c>
    </row>
    <row r="9920" spans="2:34">
      <c r="B9920" s="2">
        <f ca="1"/>
        <v>0.88246460878101174</v>
      </c>
      <c r="O9920" s="2">
        <f ca="1"/>
        <v>-0.14332755830919611</v>
      </c>
      <c r="X9920" s="2">
        <f ca="1"/>
        <v>73.824372257851337</v>
      </c>
      <c r="AG9920" s="2">
        <f ca="1"/>
        <v>0.53020830578218603</v>
      </c>
      <c r="AH9920" s="2" t="str">
        <f ca="1"/>
        <v>Bad</v>
      </c>
    </row>
    <row r="9921" spans="2:34">
      <c r="B9921" s="2">
        <f ca="1"/>
        <v>0.77252740536146147</v>
      </c>
      <c r="O9921" s="2">
        <f ca="1"/>
        <v>-0.32524634756345538</v>
      </c>
      <c r="X9921" s="2">
        <f ca="1"/>
        <v>43.592896726166344</v>
      </c>
      <c r="AG9921" s="2">
        <f ca="1"/>
        <v>0.84771838675041211</v>
      </c>
      <c r="AH9921" s="2" t="str">
        <f ca="1"/>
        <v>Bad</v>
      </c>
    </row>
    <row r="9922" spans="2:34">
      <c r="B9922" s="2">
        <f ca="1"/>
        <v>0.90104953039776814</v>
      </c>
      <c r="O9922" s="2">
        <f ca="1"/>
        <v>4.8570085748327295E-2</v>
      </c>
      <c r="X9922" s="2">
        <f ca="1"/>
        <v>47.657097415456079</v>
      </c>
      <c r="AG9922" s="2">
        <f ca="1"/>
        <v>0.37715586156102088</v>
      </c>
      <c r="AH9922" s="2" t="str">
        <f ca="1"/>
        <v>OK</v>
      </c>
    </row>
    <row r="9923" spans="2:34">
      <c r="B9923" s="2">
        <f ca="1"/>
        <v>6.4457725417450096E-2</v>
      </c>
      <c r="O9923" s="2">
        <f ca="1"/>
        <v>-0.54885761210681783</v>
      </c>
      <c r="X9923" s="2">
        <f ca="1"/>
        <v>65.164495118402982</v>
      </c>
      <c r="AG9923" s="2">
        <f ca="1"/>
        <v>0.79778737723199611</v>
      </c>
      <c r="AH9923" s="2" t="str">
        <f ca="1"/>
        <v>Bad</v>
      </c>
    </row>
    <row r="9924" spans="2:34">
      <c r="B9924" s="2">
        <f ca="1"/>
        <v>0.81305370923179265</v>
      </c>
      <c r="O9924" s="2">
        <f ca="1"/>
        <v>-0.89861376571821205</v>
      </c>
      <c r="X9924" s="2">
        <f ca="1"/>
        <v>65.642550902995822</v>
      </c>
      <c r="AG9924" s="2">
        <f ca="1"/>
        <v>0.25827565944879805</v>
      </c>
      <c r="AH9924" s="2" t="str">
        <f ca="1"/>
        <v>OK</v>
      </c>
    </row>
    <row r="9925" spans="2:34">
      <c r="B9925" s="2">
        <f ca="1"/>
        <v>0.48925175957662237</v>
      </c>
      <c r="O9925" s="2">
        <f ca="1"/>
        <v>0.19248562225193183</v>
      </c>
      <c r="X9925" s="2">
        <f ca="1"/>
        <v>27.893034518516664</v>
      </c>
      <c r="AG9925" s="2">
        <f ca="1"/>
        <v>4.657598499627591E-2</v>
      </c>
      <c r="AH9925" s="2" t="str">
        <f ca="1"/>
        <v>Good</v>
      </c>
    </row>
    <row r="9926" spans="2:34">
      <c r="B9926" s="2">
        <f ca="1"/>
        <v>0.53420192509465259</v>
      </c>
      <c r="O9926" s="2">
        <f ca="1"/>
        <v>0.47244399547179605</v>
      </c>
      <c r="X9926" s="2">
        <f ca="1"/>
        <v>61.453533858936929</v>
      </c>
      <c r="AG9926" s="2">
        <f ca="1"/>
        <v>0.94947478799301388</v>
      </c>
      <c r="AH9926" s="2" t="str">
        <f ca="1"/>
        <v>Bad</v>
      </c>
    </row>
    <row r="9927" spans="2:34">
      <c r="B9927" s="2">
        <f ca="1"/>
        <v>0.23853656638680976</v>
      </c>
      <c r="O9927" s="2">
        <f ca="1"/>
        <v>-1.1048111942978325</v>
      </c>
      <c r="X9927" s="2">
        <f ca="1"/>
        <v>30.271992633317311</v>
      </c>
      <c r="AG9927" s="2">
        <f ca="1"/>
        <v>0.48502466694179147</v>
      </c>
      <c r="AH9927" s="2" t="str">
        <f ca="1"/>
        <v>Bad</v>
      </c>
    </row>
    <row r="9928" spans="2:34">
      <c r="B9928" s="2">
        <f ca="1"/>
        <v>0.79114985951066497</v>
      </c>
      <c r="O9928" s="2">
        <f ca="1"/>
        <v>-1.7588867502367069</v>
      </c>
      <c r="X9928" s="2">
        <f ca="1"/>
        <v>82.685241115960011</v>
      </c>
      <c r="AG9928" s="2">
        <f ca="1"/>
        <v>0.84108270554738129</v>
      </c>
      <c r="AH9928" s="2" t="str">
        <f ca="1"/>
        <v>Bad</v>
      </c>
    </row>
    <row r="9929" spans="2:34">
      <c r="B9929" s="2">
        <f ca="1"/>
        <v>0.8260578920641517</v>
      </c>
      <c r="O9929" s="2">
        <f ca="1"/>
        <v>0.11040602782200865</v>
      </c>
      <c r="X9929" s="2">
        <f ca="1"/>
        <v>54.195578203387676</v>
      </c>
      <c r="AG9929" s="2">
        <f ca="1"/>
        <v>0.82044383239180352</v>
      </c>
      <c r="AH9929" s="2" t="str">
        <f ca="1"/>
        <v>Bad</v>
      </c>
    </row>
    <row r="9930" spans="2:34">
      <c r="B9930" s="2">
        <f ca="1"/>
        <v>0.8797799128413144</v>
      </c>
      <c r="O9930" s="2">
        <f ca="1"/>
        <v>-0.10328355063627211</v>
      </c>
      <c r="X9930" s="2">
        <f ca="1"/>
        <v>40.24543622009535</v>
      </c>
      <c r="AG9930" s="2">
        <f ca="1"/>
        <v>0.88064783763881271</v>
      </c>
      <c r="AH9930" s="2" t="str">
        <f ca="1"/>
        <v>Bad</v>
      </c>
    </row>
    <row r="9931" spans="2:34">
      <c r="B9931" s="2">
        <f ca="1"/>
        <v>0.26297213559215282</v>
      </c>
      <c r="O9931" s="2">
        <f ca="1"/>
        <v>-0.54533666002679926</v>
      </c>
      <c r="X9931" s="2">
        <f ca="1"/>
        <v>62.04866935144458</v>
      </c>
      <c r="AG9931" s="2">
        <f ca="1"/>
        <v>0.87126310253122674</v>
      </c>
      <c r="AH9931" s="2" t="str">
        <f ca="1"/>
        <v>Bad</v>
      </c>
    </row>
    <row r="9932" spans="2:34">
      <c r="B9932" s="2">
        <f ca="1"/>
        <v>0.38163386835970647</v>
      </c>
      <c r="O9932" s="2">
        <f ca="1"/>
        <v>7.2859485342876409E-2</v>
      </c>
      <c r="X9932" s="2">
        <f ca="1"/>
        <v>47.079289846278236</v>
      </c>
      <c r="AG9932" s="2">
        <f ca="1"/>
        <v>0.84223535914416336</v>
      </c>
      <c r="AH9932" s="2" t="str">
        <f ca="1"/>
        <v>Bad</v>
      </c>
    </row>
    <row r="9933" spans="2:34">
      <c r="B9933" s="2">
        <f ca="1"/>
        <v>3.6569526671739849E-2</v>
      </c>
      <c r="O9933" s="2">
        <f ca="1"/>
        <v>-0.82295894090716404</v>
      </c>
      <c r="X9933" s="2">
        <f ca="1"/>
        <v>59.725466524452379</v>
      </c>
      <c r="AG9933" s="2">
        <f ca="1"/>
        <v>0.18025771473223573</v>
      </c>
      <c r="AH9933" s="2" t="str">
        <f ca="1"/>
        <v>OK</v>
      </c>
    </row>
    <row r="9934" spans="2:34">
      <c r="B9934" s="2">
        <f ca="1"/>
        <v>0.30400788129461565</v>
      </c>
      <c r="O9934" s="2">
        <f ca="1"/>
        <v>0.34023262148985278</v>
      </c>
      <c r="X9934" s="2">
        <f ca="1"/>
        <v>60.472311547198871</v>
      </c>
      <c r="AG9934" s="2">
        <f ca="1"/>
        <v>0.89239782866027095</v>
      </c>
      <c r="AH9934" s="2" t="str">
        <f ca="1"/>
        <v>Bad</v>
      </c>
    </row>
    <row r="9935" spans="2:34">
      <c r="B9935" s="2">
        <f ca="1"/>
        <v>4.4990704273937032E-2</v>
      </c>
      <c r="O9935" s="2">
        <f ca="1"/>
        <v>-0.12736725007248567</v>
      </c>
      <c r="X9935" s="2">
        <f ca="1"/>
        <v>39.560730464955249</v>
      </c>
      <c r="AG9935" s="2">
        <f ca="1"/>
        <v>0.25002371449802241</v>
      </c>
      <c r="AH9935" s="2" t="str">
        <f ca="1"/>
        <v>OK</v>
      </c>
    </row>
    <row r="9936" spans="2:34">
      <c r="B9936" s="2">
        <f ca="1"/>
        <v>0.29047516234411153</v>
      </c>
      <c r="O9936" s="2">
        <f ca="1"/>
        <v>0.60325723170801704</v>
      </c>
      <c r="X9936" s="2">
        <f ca="1"/>
        <v>71.128488373900964</v>
      </c>
      <c r="AG9936" s="2">
        <f ca="1"/>
        <v>0.78937756814836679</v>
      </c>
      <c r="AH9936" s="2" t="str">
        <f ca="1"/>
        <v>Bad</v>
      </c>
    </row>
    <row r="9937" spans="2:34">
      <c r="B9937" s="2">
        <f ca="1"/>
        <v>0.25505208872789331</v>
      </c>
      <c r="O9937" s="2">
        <f ca="1"/>
        <v>-1.4429040203898074</v>
      </c>
      <c r="X9937" s="2">
        <f ca="1"/>
        <v>61.695460448148907</v>
      </c>
      <c r="AG9937" s="2">
        <f ca="1"/>
        <v>0.42838181807405218</v>
      </c>
      <c r="AH9937" s="2" t="str">
        <f ca="1"/>
        <v>Bad</v>
      </c>
    </row>
    <row r="9938" spans="2:34">
      <c r="B9938" s="2">
        <f ca="1"/>
        <v>0.10695731474391379</v>
      </c>
      <c r="O9938" s="2">
        <f ca="1"/>
        <v>-0.17209600540369008</v>
      </c>
      <c r="X9938" s="2">
        <f ca="1"/>
        <v>39.28682158706642</v>
      </c>
      <c r="AG9938" s="2">
        <f ca="1"/>
        <v>0.44736347843131785</v>
      </c>
      <c r="AH9938" s="2" t="str">
        <f ca="1"/>
        <v>Bad</v>
      </c>
    </row>
    <row r="9939" spans="2:34">
      <c r="B9939" s="2">
        <f ca="1"/>
        <v>0.23673891834369964</v>
      </c>
      <c r="O9939" s="2">
        <f ca="1"/>
        <v>0.99910787043753957</v>
      </c>
      <c r="X9939" s="2">
        <f ca="1"/>
        <v>91.702339332848467</v>
      </c>
      <c r="AG9939" s="2">
        <f ca="1"/>
        <v>0.65138669396915239</v>
      </c>
      <c r="AH9939" s="2" t="str">
        <f ca="1"/>
        <v>Bad</v>
      </c>
    </row>
    <row r="9940" spans="2:34">
      <c r="B9940" s="2">
        <f ca="1"/>
        <v>0.70899758092900789</v>
      </c>
      <c r="O9940" s="2">
        <f ca="1"/>
        <v>-1.990807339379685</v>
      </c>
      <c r="X9940" s="2">
        <f ca="1"/>
        <v>27.651545123949958</v>
      </c>
      <c r="AG9940" s="2">
        <f ca="1"/>
        <v>0.67537806726801275</v>
      </c>
      <c r="AH9940" s="2" t="str">
        <f ca="1"/>
        <v>Bad</v>
      </c>
    </row>
    <row r="9941" spans="2:34">
      <c r="B9941" s="2">
        <f ca="1"/>
        <v>0.41083251217700978</v>
      </c>
      <c r="O9941" s="2">
        <f ca="1"/>
        <v>1.6253008520973757</v>
      </c>
      <c r="X9941" s="2">
        <f ca="1"/>
        <v>47.076285865633487</v>
      </c>
      <c r="AG9941" s="2">
        <f ca="1"/>
        <v>0.61949971004670101</v>
      </c>
      <c r="AH9941" s="2" t="str">
        <f ca="1"/>
        <v>Bad</v>
      </c>
    </row>
    <row r="9942" spans="2:34">
      <c r="B9942" s="2">
        <f ca="1"/>
        <v>0.55789106911725095</v>
      </c>
      <c r="O9942" s="2">
        <f ca="1"/>
        <v>0.14446749104676765</v>
      </c>
      <c r="X9942" s="2">
        <f ca="1"/>
        <v>44.729156215757875</v>
      </c>
      <c r="AG9942" s="2">
        <f ca="1"/>
        <v>0.65279670933757372</v>
      </c>
      <c r="AH9942" s="2" t="str">
        <f ca="1"/>
        <v>Bad</v>
      </c>
    </row>
    <row r="9943" spans="2:34">
      <c r="B9943" s="2">
        <f ca="1"/>
        <v>0.83328817574862013</v>
      </c>
      <c r="O9943" s="2">
        <f ca="1"/>
        <v>0.77994982651023959</v>
      </c>
      <c r="X9943" s="2">
        <f ca="1"/>
        <v>48.237901373404988</v>
      </c>
      <c r="AG9943" s="2">
        <f ca="1"/>
        <v>4.247180961400443E-2</v>
      </c>
      <c r="AH9943" s="2" t="str">
        <f ca="1"/>
        <v>Good</v>
      </c>
    </row>
    <row r="9944" spans="2:34">
      <c r="B9944" s="2">
        <f ca="1"/>
        <v>0.88579366119566982</v>
      </c>
      <c r="O9944" s="2">
        <f ca="1"/>
        <v>0.21879614354718918</v>
      </c>
      <c r="X9944" s="2">
        <f ca="1"/>
        <v>42.098771542178774</v>
      </c>
      <c r="AG9944" s="2">
        <f ca="1"/>
        <v>0.62848824475630849</v>
      </c>
      <c r="AH9944" s="2" t="str">
        <f ca="1"/>
        <v>Bad</v>
      </c>
    </row>
    <row r="9945" spans="2:34">
      <c r="B9945" s="2">
        <f ca="1"/>
        <v>0.98563239008939374</v>
      </c>
      <c r="O9945" s="2">
        <f ca="1"/>
        <v>0.85257605387990565</v>
      </c>
      <c r="X9945" s="2">
        <f ca="1"/>
        <v>71.017957332992296</v>
      </c>
      <c r="AG9945" s="2">
        <f ca="1"/>
        <v>0.24272196924125877</v>
      </c>
      <c r="AH9945" s="2" t="str">
        <f ca="1"/>
        <v>OK</v>
      </c>
    </row>
    <row r="9946" spans="2:34">
      <c r="B9946" s="2">
        <f ca="1"/>
        <v>0.39259532216735749</v>
      </c>
      <c r="O9946" s="2">
        <f ca="1"/>
        <v>-5.763691524883946E-2</v>
      </c>
      <c r="X9946" s="2">
        <f ca="1"/>
        <v>50.4092297712277</v>
      </c>
      <c r="AG9946" s="2">
        <f ca="1"/>
        <v>0.52163374546399366</v>
      </c>
      <c r="AH9946" s="2" t="str">
        <f ca="1"/>
        <v>Bad</v>
      </c>
    </row>
    <row r="9947" spans="2:34">
      <c r="B9947" s="2">
        <f ca="1"/>
        <v>0.59279740268144798</v>
      </c>
      <c r="O9947" s="2">
        <f ca="1"/>
        <v>1.2088146852408119</v>
      </c>
      <c r="X9947" s="2">
        <f ca="1"/>
        <v>56.133357672345895</v>
      </c>
      <c r="AG9947" s="2">
        <f ca="1"/>
        <v>0.23123396665195384</v>
      </c>
      <c r="AH9947" s="2" t="str">
        <f ca="1"/>
        <v>OK</v>
      </c>
    </row>
    <row r="9948" spans="2:34">
      <c r="B9948" s="2">
        <f ca="1"/>
        <v>0.28662816833433147</v>
      </c>
      <c r="O9948" s="2">
        <f ca="1"/>
        <v>-0.5109221258945339</v>
      </c>
      <c r="X9948" s="2">
        <f ca="1"/>
        <v>35.827355760266968</v>
      </c>
      <c r="AG9948" s="2">
        <f ca="1"/>
        <v>0.92228010323430798</v>
      </c>
      <c r="AH9948" s="2" t="str">
        <f ca="1"/>
        <v>Bad</v>
      </c>
    </row>
    <row r="9949" spans="2:34">
      <c r="B9949" s="2">
        <f ca="1"/>
        <v>0.42823362689300848</v>
      </c>
      <c r="O9949" s="2">
        <f ca="1"/>
        <v>-7.1521270268289569E-2</v>
      </c>
      <c r="X9949" s="2">
        <f ca="1"/>
        <v>103.19960135113925</v>
      </c>
      <c r="AG9949" s="2">
        <f ca="1"/>
        <v>0.60883192893457294</v>
      </c>
      <c r="AH9949" s="2" t="str">
        <f ca="1"/>
        <v>Bad</v>
      </c>
    </row>
    <row r="9950" spans="2:34">
      <c r="B9950" s="2">
        <f ca="1"/>
        <v>8.4476131240050822E-2</v>
      </c>
      <c r="O9950" s="2">
        <f ca="1"/>
        <v>0.35410067469335477</v>
      </c>
      <c r="X9950" s="2">
        <f ca="1"/>
        <v>54.040777450083539</v>
      </c>
      <c r="AG9950" s="2">
        <f ca="1"/>
        <v>0.74565003764148741</v>
      </c>
      <c r="AH9950" s="2" t="str">
        <f ca="1"/>
        <v>Bad</v>
      </c>
    </row>
    <row r="9951" spans="2:34">
      <c r="B9951" s="2">
        <f ca="1"/>
        <v>0.93143537251308017</v>
      </c>
      <c r="O9951" s="2">
        <f ca="1"/>
        <v>1.1754300573599008</v>
      </c>
      <c r="X9951" s="2">
        <f ca="1"/>
        <v>26.01523910385486</v>
      </c>
      <c r="AG9951" s="2">
        <f ca="1"/>
        <v>0.44908572822074277</v>
      </c>
      <c r="AH9951" s="2" t="str">
        <f ca="1"/>
        <v>Bad</v>
      </c>
    </row>
    <row r="9952" spans="2:34">
      <c r="B9952" s="2">
        <f ca="1"/>
        <v>0.49220588816789368</v>
      </c>
      <c r="O9952" s="2">
        <f ca="1"/>
        <v>-3.2091469160916684</v>
      </c>
      <c r="X9952" s="2">
        <f ca="1"/>
        <v>70.907407064608648</v>
      </c>
      <c r="AG9952" s="2">
        <f ca="1"/>
        <v>0.73352408966483473</v>
      </c>
      <c r="AH9952" s="2" t="str">
        <f ca="1"/>
        <v>Bad</v>
      </c>
    </row>
    <row r="9953" spans="2:34">
      <c r="B9953" s="2">
        <f ca="1"/>
        <v>0.8151063072850242</v>
      </c>
      <c r="O9953" s="2">
        <f ca="1"/>
        <v>-0.35323334883143653</v>
      </c>
      <c r="X9953" s="2">
        <f ca="1"/>
        <v>42.346768384234615</v>
      </c>
      <c r="AG9953" s="2">
        <f ca="1"/>
        <v>0.30261171841030499</v>
      </c>
      <c r="AH9953" s="2" t="str">
        <f ca="1"/>
        <v>OK</v>
      </c>
    </row>
    <row r="9954" spans="2:34">
      <c r="B9954" s="2">
        <f ca="1"/>
        <v>0.59050350321498901</v>
      </c>
      <c r="O9954" s="2">
        <f ca="1"/>
        <v>-1.1081304057331645</v>
      </c>
      <c r="X9954" s="2">
        <f ca="1"/>
        <v>67.306216508213382</v>
      </c>
      <c r="AG9954" s="2">
        <f ca="1"/>
        <v>2.2553524120607404E-2</v>
      </c>
      <c r="AH9954" s="2" t="str">
        <f ca="1"/>
        <v>Good</v>
      </c>
    </row>
    <row r="9955" spans="2:34">
      <c r="B9955" s="2">
        <f ca="1"/>
        <v>0.76568893290642093</v>
      </c>
      <c r="O9955" s="2">
        <f ca="1"/>
        <v>0.79848275361159893</v>
      </c>
      <c r="X9955" s="2">
        <f ca="1"/>
        <v>38.007639562408428</v>
      </c>
      <c r="AG9955" s="2">
        <f ca="1"/>
        <v>7.2631211189277955E-3</v>
      </c>
      <c r="AH9955" s="2" t="str">
        <f ca="1"/>
        <v>Good</v>
      </c>
    </row>
    <row r="9956" spans="2:34">
      <c r="B9956" s="2">
        <f ca="1"/>
        <v>0.77535020526366738</v>
      </c>
      <c r="O9956" s="2">
        <f ca="1"/>
        <v>0.41305568316340324</v>
      </c>
      <c r="X9956" s="2">
        <f ca="1"/>
        <v>46.643872702070951</v>
      </c>
      <c r="AG9956" s="2">
        <f ca="1"/>
        <v>0.36366630260152988</v>
      </c>
      <c r="AH9956" s="2" t="str">
        <f ca="1"/>
        <v>OK</v>
      </c>
    </row>
    <row r="9957" spans="2:34">
      <c r="B9957" s="2">
        <f ca="1"/>
        <v>0.76654175654057055</v>
      </c>
      <c r="O9957" s="2">
        <f ca="1"/>
        <v>-0.84643797771267104</v>
      </c>
      <c r="X9957" s="2">
        <f ca="1"/>
        <v>38.698973142014957</v>
      </c>
      <c r="AG9957" s="2">
        <f ca="1"/>
        <v>0.15552292075697349</v>
      </c>
      <c r="AH9957" s="2" t="str">
        <f ca="1"/>
        <v>OK</v>
      </c>
    </row>
    <row r="9958" spans="2:34">
      <c r="B9958" s="2">
        <f ca="1"/>
        <v>0.82739686703066484</v>
      </c>
      <c r="O9958" s="2">
        <f ca="1"/>
        <v>-0.43146931961967633</v>
      </c>
      <c r="X9958" s="2">
        <f ca="1"/>
        <v>20.441652770543147</v>
      </c>
      <c r="AG9958" s="2">
        <f ca="1"/>
        <v>0.13536134304342951</v>
      </c>
      <c r="AH9958" s="2" t="str">
        <f ca="1"/>
        <v>OK</v>
      </c>
    </row>
    <row r="9959" spans="2:34">
      <c r="B9959" s="2">
        <f ca="1"/>
        <v>0.6245065644552148</v>
      </c>
      <c r="O9959" s="2">
        <f ca="1"/>
        <v>-0.96358224846382012</v>
      </c>
      <c r="X9959" s="2">
        <f ca="1"/>
        <v>34.835800165481132</v>
      </c>
      <c r="AG9959" s="2">
        <f ca="1"/>
        <v>0.38193133835804183</v>
      </c>
      <c r="AH9959" s="2" t="str">
        <f ca="1"/>
        <v>OK</v>
      </c>
    </row>
    <row r="9960" spans="2:34">
      <c r="B9960" s="2">
        <f ca="1"/>
        <v>0.12161432613981793</v>
      </c>
      <c r="O9960" s="2">
        <f ca="1"/>
        <v>2.1382721998466629</v>
      </c>
      <c r="X9960" s="2">
        <f ca="1"/>
        <v>32.168343458774785</v>
      </c>
      <c r="AG9960" s="2">
        <f ca="1"/>
        <v>0.84814583959917145</v>
      </c>
      <c r="AH9960" s="2" t="str">
        <f ca="1"/>
        <v>Bad</v>
      </c>
    </row>
    <row r="9961" spans="2:34">
      <c r="B9961" s="2">
        <f ca="1"/>
        <v>0.91094943875333967</v>
      </c>
      <c r="O9961" s="2">
        <f ca="1"/>
        <v>0.2810454484076968</v>
      </c>
      <c r="X9961" s="2">
        <f ca="1"/>
        <v>61.431673967616014</v>
      </c>
      <c r="AG9961" s="2">
        <f ca="1"/>
        <v>0.3516802807298387</v>
      </c>
      <c r="AH9961" s="2" t="str">
        <f ca="1"/>
        <v>OK</v>
      </c>
    </row>
    <row r="9962" spans="2:34">
      <c r="B9962" s="2">
        <f ca="1"/>
        <v>0.40524935205422685</v>
      </c>
      <c r="O9962" s="2">
        <f ca="1"/>
        <v>-0.50472953112179364</v>
      </c>
      <c r="X9962" s="2">
        <f ca="1"/>
        <v>27.771259383065086</v>
      </c>
      <c r="AG9962" s="2">
        <f ca="1"/>
        <v>0.93009100402475986</v>
      </c>
      <c r="AH9962" s="2" t="str">
        <f ca="1"/>
        <v>Bad</v>
      </c>
    </row>
    <row r="9963" spans="2:34">
      <c r="B9963" s="2">
        <f ca="1"/>
        <v>5.1540337201175124E-2</v>
      </c>
      <c r="O9963" s="2">
        <f ca="1"/>
        <v>0.84099923341386218</v>
      </c>
      <c r="X9963" s="2">
        <f ca="1"/>
        <v>53.854923128953729</v>
      </c>
      <c r="AG9963" s="2">
        <f ca="1"/>
        <v>0.41399692246942466</v>
      </c>
      <c r="AH9963" s="2" t="str">
        <f ca="1"/>
        <v>Bad</v>
      </c>
    </row>
    <row r="9964" spans="2:34">
      <c r="B9964" s="2">
        <f ca="1"/>
        <v>6.7208415931839127E-2</v>
      </c>
      <c r="O9964" s="2">
        <f ca="1"/>
        <v>-1.2472778104725715</v>
      </c>
      <c r="X9964" s="2">
        <f ca="1"/>
        <v>21.913532440264035</v>
      </c>
      <c r="AG9964" s="2">
        <f ca="1"/>
        <v>0.73351700740543535</v>
      </c>
      <c r="AH9964" s="2" t="str">
        <f ca="1"/>
        <v>Bad</v>
      </c>
    </row>
    <row r="9965" spans="2:34">
      <c r="B9965" s="2">
        <f ca="1"/>
        <v>0.12732256527509467</v>
      </c>
      <c r="O9965" s="2">
        <f ca="1"/>
        <v>-4.5722346262243516E-2</v>
      </c>
      <c r="X9965" s="2">
        <f ca="1"/>
        <v>51.349641116006069</v>
      </c>
      <c r="AG9965" s="2">
        <f ca="1"/>
        <v>0.42463387249891116</v>
      </c>
      <c r="AH9965" s="2" t="str">
        <f ca="1"/>
        <v>Bad</v>
      </c>
    </row>
    <row r="9966" spans="2:34">
      <c r="B9966" s="2">
        <f ca="1"/>
        <v>0.7024990169669747</v>
      </c>
      <c r="O9966" s="2">
        <f ca="1"/>
        <v>-0.23575956239834739</v>
      </c>
      <c r="X9966" s="2">
        <f ca="1"/>
        <v>32.953003223028439</v>
      </c>
      <c r="AG9966" s="2">
        <f ca="1"/>
        <v>0.97285942074895093</v>
      </c>
      <c r="AH9966" s="2" t="str">
        <f ca="1"/>
        <v>Bad</v>
      </c>
    </row>
    <row r="9967" spans="2:34">
      <c r="B9967" s="2">
        <f ca="1"/>
        <v>0.95028360421704794</v>
      </c>
      <c r="O9967" s="2">
        <f ca="1"/>
        <v>0.18572890333691372</v>
      </c>
      <c r="X9967" s="2">
        <f ca="1"/>
        <v>25.100810873517819</v>
      </c>
      <c r="AG9967" s="2">
        <f ca="1"/>
        <v>0.38336908652674384</v>
      </c>
      <c r="AH9967" s="2" t="str">
        <f ca="1"/>
        <v>OK</v>
      </c>
    </row>
    <row r="9968" spans="2:34">
      <c r="B9968" s="2">
        <f ca="1"/>
        <v>0.51196336743297022</v>
      </c>
      <c r="O9968" s="2">
        <f ca="1"/>
        <v>0.16149840542410077</v>
      </c>
      <c r="X9968" s="2">
        <f ca="1"/>
        <v>62.21047112942162</v>
      </c>
      <c r="AG9968" s="2">
        <f ca="1"/>
        <v>0.45353777161859243</v>
      </c>
      <c r="AH9968" s="2" t="str">
        <f ca="1"/>
        <v>Bad</v>
      </c>
    </row>
    <row r="9969" spans="2:34">
      <c r="B9969" s="2">
        <f ca="1"/>
        <v>0.54671856386035644</v>
      </c>
      <c r="O9969" s="2">
        <f ca="1"/>
        <v>-0.98855645052314545</v>
      </c>
      <c r="X9969" s="2">
        <f ca="1"/>
        <v>58.509668199236714</v>
      </c>
      <c r="AG9969" s="2">
        <f ca="1"/>
        <v>0.85106264813296173</v>
      </c>
      <c r="AH9969" s="2" t="str">
        <f ca="1"/>
        <v>Bad</v>
      </c>
    </row>
    <row r="9970" spans="2:34">
      <c r="B9970" s="2">
        <f ca="1"/>
        <v>0.55904314814464118</v>
      </c>
      <c r="O9970" s="2">
        <f ca="1"/>
        <v>-0.42518693338650859</v>
      </c>
      <c r="X9970" s="2">
        <f ca="1"/>
        <v>42.811473935146942</v>
      </c>
      <c r="AG9970" s="2">
        <f ca="1"/>
        <v>0.6844919292292031</v>
      </c>
      <c r="AH9970" s="2" t="str">
        <f ca="1"/>
        <v>Bad</v>
      </c>
    </row>
    <row r="9971" spans="2:34">
      <c r="B9971" s="2">
        <f ca="1"/>
        <v>0.42930331239810848</v>
      </c>
      <c r="O9971" s="2">
        <f ca="1"/>
        <v>2.979564746979229E-2</v>
      </c>
      <c r="X9971" s="2">
        <f ca="1"/>
        <v>44.012219659891244</v>
      </c>
      <c r="AG9971" s="2">
        <f ca="1"/>
        <v>0.23450183223889076</v>
      </c>
      <c r="AH9971" s="2" t="str">
        <f ca="1"/>
        <v>OK</v>
      </c>
    </row>
    <row r="9972" spans="2:34">
      <c r="B9972" s="2">
        <f ca="1"/>
        <v>0.60021660043988634</v>
      </c>
      <c r="O9972" s="2">
        <f ca="1"/>
        <v>0.31597352403152873</v>
      </c>
      <c r="X9972" s="2">
        <f ca="1"/>
        <v>41.19971156613461</v>
      </c>
      <c r="AG9972" s="2">
        <f ca="1"/>
        <v>0.29010025640567449</v>
      </c>
      <c r="AH9972" s="2" t="str">
        <f ca="1"/>
        <v>OK</v>
      </c>
    </row>
    <row r="9973" spans="2:34">
      <c r="B9973" s="2">
        <f ca="1"/>
        <v>0.43564292783822656</v>
      </c>
      <c r="O9973" s="2">
        <f ca="1"/>
        <v>-7.8620897089619182E-2</v>
      </c>
      <c r="X9973" s="2">
        <f ca="1"/>
        <v>46.620729712055187</v>
      </c>
      <c r="AG9973" s="2">
        <f ca="1"/>
        <v>0.37566125915600512</v>
      </c>
      <c r="AH9973" s="2" t="str">
        <f ca="1"/>
        <v>OK</v>
      </c>
    </row>
    <row r="9974" spans="2:34">
      <c r="B9974" s="2">
        <f ca="1"/>
        <v>0.98177021597139902</v>
      </c>
      <c r="O9974" s="2">
        <f ca="1"/>
        <v>0.36113639959219129</v>
      </c>
      <c r="X9974" s="2">
        <f ca="1"/>
        <v>39.442584265178184</v>
      </c>
      <c r="AG9974" s="2">
        <f ca="1"/>
        <v>6.5769767560511783E-2</v>
      </c>
      <c r="AH9974" s="2" t="str">
        <f ca="1"/>
        <v>OK</v>
      </c>
    </row>
    <row r="9975" spans="2:34">
      <c r="B9975" s="2">
        <f ca="1"/>
        <v>0.47647821341001517</v>
      </c>
      <c r="O9975" s="2">
        <f ca="1"/>
        <v>0.65213236521341167</v>
      </c>
      <c r="X9975" s="2">
        <f ca="1"/>
        <v>62.707872087844372</v>
      </c>
      <c r="AG9975" s="2">
        <f ca="1"/>
        <v>0.91750322576935095</v>
      </c>
      <c r="AH9975" s="2" t="str">
        <f ca="1"/>
        <v>Bad</v>
      </c>
    </row>
    <row r="9976" spans="2:34">
      <c r="B9976" s="2">
        <f ca="1"/>
        <v>0.1717410233445702</v>
      </c>
      <c r="O9976" s="2">
        <f ca="1"/>
        <v>-0.23902214175380523</v>
      </c>
      <c r="X9976" s="2">
        <f ca="1"/>
        <v>46.26618023014143</v>
      </c>
      <c r="AG9976" s="2">
        <f ca="1"/>
        <v>0.18390371088787472</v>
      </c>
      <c r="AH9976" s="2" t="str">
        <f ca="1"/>
        <v>OK</v>
      </c>
    </row>
    <row r="9977" spans="2:34">
      <c r="B9977" s="2">
        <f ca="1"/>
        <v>0.40406321500114895</v>
      </c>
      <c r="O9977" s="2">
        <f ca="1"/>
        <v>1.0174799449707572</v>
      </c>
      <c r="X9977" s="2">
        <f ca="1"/>
        <v>68.21645619660093</v>
      </c>
      <c r="AG9977" s="2">
        <f ca="1"/>
        <v>0.42636898669000844</v>
      </c>
      <c r="AH9977" s="2" t="str">
        <f ca="1"/>
        <v>Bad</v>
      </c>
    </row>
    <row r="9978" spans="2:34">
      <c r="B9978" s="2">
        <f ca="1"/>
        <v>0.94597135237464025</v>
      </c>
      <c r="O9978" s="2">
        <f ca="1"/>
        <v>-1.0563273524951857</v>
      </c>
      <c r="X9978" s="2">
        <f ca="1"/>
        <v>72.825084820598121</v>
      </c>
      <c r="AG9978" s="2">
        <f ca="1"/>
        <v>0.86616079332135087</v>
      </c>
      <c r="AH9978" s="2" t="str">
        <f ca="1"/>
        <v>Bad</v>
      </c>
    </row>
    <row r="9979" spans="2:34">
      <c r="B9979" s="2">
        <f ca="1"/>
        <v>0.66865479660480243</v>
      </c>
      <c r="O9979" s="2">
        <f ca="1"/>
        <v>-0.28313119657794222</v>
      </c>
      <c r="X9979" s="2">
        <f ca="1"/>
        <v>29.485489113540911</v>
      </c>
      <c r="AG9979" s="2">
        <f ca="1"/>
        <v>0.10388085673380765</v>
      </c>
      <c r="AH9979" s="2" t="str">
        <f ca="1"/>
        <v>OK</v>
      </c>
    </row>
    <row r="9980" spans="2:34">
      <c r="B9980" s="2">
        <f ca="1"/>
        <v>0.2800461915753123</v>
      </c>
      <c r="O9980" s="2">
        <f ca="1"/>
        <v>1.4936568236641605</v>
      </c>
      <c r="X9980" s="2">
        <f ca="1"/>
        <v>61.850041840687844</v>
      </c>
      <c r="AG9980" s="2">
        <f ca="1"/>
        <v>0.69527040417435737</v>
      </c>
      <c r="AH9980" s="2" t="str">
        <f ca="1"/>
        <v>Bad</v>
      </c>
    </row>
    <row r="9981" spans="2:34">
      <c r="B9981" s="2">
        <f ca="1"/>
        <v>0.18148979740025251</v>
      </c>
      <c r="O9981" s="2">
        <f ca="1"/>
        <v>1.1683365978161069</v>
      </c>
      <c r="X9981" s="2">
        <f ca="1"/>
        <v>86.8421045155375</v>
      </c>
      <c r="AG9981" s="2">
        <f ca="1"/>
        <v>0.88071878937223724</v>
      </c>
      <c r="AH9981" s="2" t="str">
        <f ca="1"/>
        <v>Bad</v>
      </c>
    </row>
    <row r="9982" spans="2:34">
      <c r="B9982" s="2">
        <f ca="1"/>
        <v>0.14290154583131098</v>
      </c>
      <c r="O9982" s="2">
        <f ca="1"/>
        <v>-0.10218319556067065</v>
      </c>
      <c r="X9982" s="2">
        <f ca="1"/>
        <v>111.94912995000422</v>
      </c>
      <c r="AG9982" s="2">
        <f ca="1"/>
        <v>0.84677932479840456</v>
      </c>
      <c r="AH9982" s="2" t="str">
        <f ca="1"/>
        <v>Bad</v>
      </c>
    </row>
    <row r="9983" spans="2:34">
      <c r="B9983" s="2">
        <f ca="1"/>
        <v>0.98397578284829623</v>
      </c>
      <c r="O9983" s="2">
        <f ca="1"/>
        <v>-0.25767652315800088</v>
      </c>
      <c r="X9983" s="2">
        <f ca="1"/>
        <v>35.472307346777981</v>
      </c>
      <c r="AG9983" s="2">
        <f ca="1"/>
        <v>0.86172995608549896</v>
      </c>
      <c r="AH9983" s="2" t="str">
        <f ca="1"/>
        <v>Bad</v>
      </c>
    </row>
    <row r="9984" spans="2:34">
      <c r="B9984" s="2">
        <f ca="1"/>
        <v>3.5197757406358665E-2</v>
      </c>
      <c r="O9984" s="2">
        <f ca="1"/>
        <v>0.24064370284249689</v>
      </c>
      <c r="X9984" s="2">
        <f ca="1"/>
        <v>29.331009691890021</v>
      </c>
      <c r="AG9984" s="2">
        <f ca="1"/>
        <v>0.83774718270440074</v>
      </c>
      <c r="AH9984" s="2" t="str">
        <f ca="1"/>
        <v>Bad</v>
      </c>
    </row>
    <row r="9985" spans="2:34">
      <c r="B9985" s="2">
        <f ca="1"/>
        <v>0.88585087565615006</v>
      </c>
      <c r="O9985" s="2">
        <f ca="1"/>
        <v>-0.8258541391599733</v>
      </c>
      <c r="X9985" s="2">
        <f ca="1"/>
        <v>46.131433788586932</v>
      </c>
      <c r="AG9985" s="2">
        <f ca="1"/>
        <v>0.90394116326527807</v>
      </c>
      <c r="AH9985" s="2" t="str">
        <f ca="1"/>
        <v>Bad</v>
      </c>
    </row>
    <row r="9986" spans="2:34">
      <c r="B9986" s="2">
        <f ca="1"/>
        <v>0.97524682666185369</v>
      </c>
      <c r="O9986" s="2">
        <f ca="1"/>
        <v>0.72849523446929709</v>
      </c>
      <c r="X9986" s="2">
        <f ca="1"/>
        <v>37.210854485843427</v>
      </c>
      <c r="AG9986" s="2">
        <f ca="1"/>
        <v>0.28898269680290567</v>
      </c>
      <c r="AH9986" s="2" t="str">
        <f ca="1"/>
        <v>OK</v>
      </c>
    </row>
    <row r="9987" spans="2:34">
      <c r="B9987" s="2">
        <f ca="1"/>
        <v>0.29826407386591569</v>
      </c>
      <c r="O9987" s="2">
        <f ca="1"/>
        <v>1.5123455284560789</v>
      </c>
      <c r="X9987" s="2">
        <f ca="1"/>
        <v>57.102888669569083</v>
      </c>
      <c r="AG9987" s="2">
        <f ca="1"/>
        <v>0.44714187987355625</v>
      </c>
      <c r="AH9987" s="2" t="str">
        <f ca="1"/>
        <v>Bad</v>
      </c>
    </row>
    <row r="9988" spans="2:34">
      <c r="B9988" s="2">
        <f ca="1"/>
        <v>0.52767570203530778</v>
      </c>
      <c r="O9988" s="2">
        <f ca="1"/>
        <v>0.53679647016850018</v>
      </c>
      <c r="X9988" s="2">
        <f ca="1"/>
        <v>46.945721953434791</v>
      </c>
      <c r="AG9988" s="2">
        <f ca="1"/>
        <v>0.15943460811947352</v>
      </c>
      <c r="AH9988" s="2" t="str">
        <f ca="1"/>
        <v>OK</v>
      </c>
    </row>
    <row r="9989" spans="2:34">
      <c r="B9989" s="2">
        <f ca="1"/>
        <v>0.39214687554675343</v>
      </c>
      <c r="O9989" s="2">
        <f ca="1"/>
        <v>0.6777156838030155</v>
      </c>
      <c r="X9989" s="2">
        <f ca="1"/>
        <v>66.097639766125027</v>
      </c>
      <c r="AG9989" s="2">
        <f ca="1"/>
        <v>0.63557195294633684</v>
      </c>
      <c r="AH9989" s="2" t="str">
        <f ca="1"/>
        <v>Bad</v>
      </c>
    </row>
    <row r="9990" spans="2:34">
      <c r="B9990" s="2">
        <f ca="1"/>
        <v>0.43679607402272458</v>
      </c>
      <c r="O9990" s="2">
        <f ca="1"/>
        <v>0.77113212456920921</v>
      </c>
      <c r="X9990" s="2">
        <f ca="1"/>
        <v>46.497282430263638</v>
      </c>
      <c r="AG9990" s="2">
        <f ca="1"/>
        <v>0.7739590054279275</v>
      </c>
      <c r="AH9990" s="2" t="str">
        <f ca="1"/>
        <v>Bad</v>
      </c>
    </row>
    <row r="9991" spans="2:34">
      <c r="B9991" s="2">
        <f ca="1"/>
        <v>0.39154196170389333</v>
      </c>
      <c r="O9991" s="2">
        <f ca="1"/>
        <v>-0.9565023749552175</v>
      </c>
      <c r="X9991" s="2">
        <f ca="1"/>
        <v>37.601155126262981</v>
      </c>
      <c r="AG9991" s="2">
        <f ca="1"/>
        <v>0.46221222982190691</v>
      </c>
      <c r="AH9991" s="2" t="str">
        <f ca="1"/>
        <v>Bad</v>
      </c>
    </row>
    <row r="9992" spans="2:34">
      <c r="B9992" s="2">
        <f ca="1"/>
        <v>0.88104312091212544</v>
      </c>
      <c r="O9992" s="2">
        <f ca="1"/>
        <v>-0.12602086755906075</v>
      </c>
      <c r="X9992" s="2">
        <f ca="1"/>
        <v>37.667301313479634</v>
      </c>
      <c r="AG9992" s="2">
        <f ca="1"/>
        <v>0.27659329793150245</v>
      </c>
      <c r="AH9992" s="2" t="str">
        <f ca="1"/>
        <v>OK</v>
      </c>
    </row>
    <row r="9993" spans="2:34">
      <c r="B9993" s="2">
        <f ca="1"/>
        <v>0.76112552385893162</v>
      </c>
      <c r="O9993" s="2">
        <f ca="1"/>
        <v>0.19448714929760261</v>
      </c>
      <c r="X9993" s="2">
        <f ca="1"/>
        <v>72.507003011143752</v>
      </c>
      <c r="AG9993" s="2">
        <f ca="1"/>
        <v>0.67911639318855777</v>
      </c>
      <c r="AH9993" s="2" t="str">
        <f ca="1"/>
        <v>Bad</v>
      </c>
    </row>
    <row r="9994" spans="2:34">
      <c r="B9994" s="2">
        <f ca="1"/>
        <v>0.77089696209247149</v>
      </c>
      <c r="O9994" s="2">
        <f ca="1"/>
        <v>-0.74393594139357744</v>
      </c>
      <c r="X9994" s="2">
        <f ca="1"/>
        <v>39.506399397428169</v>
      </c>
      <c r="AG9994" s="2">
        <f ca="1"/>
        <v>0.16360128970689214</v>
      </c>
      <c r="AH9994" s="2" t="str">
        <f ca="1"/>
        <v>OK</v>
      </c>
    </row>
    <row r="9995" spans="2:34">
      <c r="B9995" s="2">
        <f ca="1"/>
        <v>0.20882500383844382</v>
      </c>
      <c r="O9995" s="2">
        <f ca="1"/>
        <v>0.42473924801458096</v>
      </c>
      <c r="X9995" s="2">
        <f ca="1"/>
        <v>73.778886776912174</v>
      </c>
      <c r="AG9995" s="2">
        <f ca="1"/>
        <v>0.13384519956052232</v>
      </c>
      <c r="AH9995" s="2" t="str">
        <f ca="1"/>
        <v>OK</v>
      </c>
    </row>
    <row r="9996" spans="2:34">
      <c r="B9996" s="2">
        <f ca="1"/>
        <v>0.53594287731392254</v>
      </c>
      <c r="O9996" s="2">
        <f ca="1"/>
        <v>7.7958431876022666E-2</v>
      </c>
      <c r="X9996" s="2">
        <f ca="1"/>
        <v>71.558521247531402</v>
      </c>
      <c r="AG9996" s="2">
        <f ca="1"/>
        <v>0.13260327751686796</v>
      </c>
      <c r="AH9996" s="2" t="str">
        <f ca="1"/>
        <v>OK</v>
      </c>
    </row>
    <row r="9997" spans="2:34">
      <c r="B9997" s="2">
        <f ca="1"/>
        <v>0.57585644478949094</v>
      </c>
      <c r="O9997" s="2">
        <f ca="1"/>
        <v>-1.280450358699212</v>
      </c>
      <c r="X9997" s="2">
        <f ca="1"/>
        <v>50.045396144866025</v>
      </c>
      <c r="AG9997" s="2">
        <f ca="1"/>
        <v>0.78923284613754086</v>
      </c>
      <c r="AH9997" s="2" t="str">
        <f ca="1"/>
        <v>Bad</v>
      </c>
    </row>
    <row r="9998" spans="2:34">
      <c r="B9998" s="2">
        <f ca="1"/>
        <v>0.50184758323845591</v>
      </c>
      <c r="O9998" s="2">
        <f ca="1"/>
        <v>-1.2474170829491968</v>
      </c>
      <c r="X9998" s="2">
        <f ca="1"/>
        <v>58.049403221807538</v>
      </c>
      <c r="AG9998" s="2">
        <f ca="1"/>
        <v>0.9580127075583893</v>
      </c>
      <c r="AH9998" s="2" t="str">
        <f ca="1"/>
        <v>Bad</v>
      </c>
    </row>
    <row r="9999" spans="2:34">
      <c r="B9999" s="2">
        <f ca="1"/>
        <v>0.67706384452881929</v>
      </c>
      <c r="O9999" s="2">
        <f ca="1"/>
        <v>-1.1188779042694075</v>
      </c>
      <c r="X9999" s="2">
        <f ca="1"/>
        <v>41.548574741712287</v>
      </c>
      <c r="AG9999" s="2">
        <f ca="1"/>
        <v>0.42817547804840594</v>
      </c>
      <c r="AH9999" s="2" t="str">
        <f ca="1"/>
        <v>Bad</v>
      </c>
    </row>
    <row r="10000" spans="2:34">
      <c r="B10000" s="2">
        <f ca="1"/>
        <v>6.4360457494358592E-2</v>
      </c>
      <c r="O10000" s="2">
        <f ca="1"/>
        <v>-0.20281004027206145</v>
      </c>
      <c r="X10000" s="2">
        <f ca="1"/>
        <v>44.672721527104507</v>
      </c>
      <c r="AG10000" s="2">
        <f ca="1"/>
        <v>0.11202210285121761</v>
      </c>
      <c r="AH10000" s="2" t="str">
        <f ca="1"/>
        <v>OK</v>
      </c>
    </row>
    <row r="10001" spans="2:34">
      <c r="B10001" s="2">
        <f ca="1"/>
        <v>0.99269089092952156</v>
      </c>
      <c r="O10001" s="2">
        <f ca="1"/>
        <v>0.868214487741367</v>
      </c>
      <c r="X10001" s="2">
        <f ca="1"/>
        <v>40.588673008804797</v>
      </c>
      <c r="AG10001" s="2">
        <f ca="1"/>
        <v>0.34727191929665446</v>
      </c>
      <c r="AH10001" s="2" t="str">
        <f ca="1"/>
        <v>OK</v>
      </c>
    </row>
    <row r="10002" spans="2:34">
      <c r="B10002" s="2">
        <f ca="1"/>
        <v>9.1145091362726971E-2</v>
      </c>
      <c r="O10002" s="2">
        <f ca="1"/>
        <v>0.10495110682934754</v>
      </c>
      <c r="X10002" s="2">
        <f ca="1"/>
        <v>53.919816857816983</v>
      </c>
      <c r="AG10002" s="2">
        <f ca="1"/>
        <v>0.20788817335785637</v>
      </c>
      <c r="AH10002" s="2" t="str">
        <f ca="1"/>
        <v>OK</v>
      </c>
    </row>
    <row r="10003" spans="2:34">
      <c r="B10003" s="2">
        <f ca="1"/>
        <v>0.86109546633695055</v>
      </c>
      <c r="O10003" s="2">
        <f ca="1"/>
        <v>1.0027074211009175</v>
      </c>
      <c r="X10003" s="2">
        <f ca="1"/>
        <v>48.89465258868654</v>
      </c>
      <c r="AG10003" s="2">
        <f ca="1"/>
        <v>0.34207690014216841</v>
      </c>
      <c r="AH10003" s="2" t="str">
        <f ca="1"/>
        <v>OK</v>
      </c>
    </row>
    <row r="10004" spans="2:34">
      <c r="B10004" s="2">
        <f ca="1"/>
        <v>0.18593064166788631</v>
      </c>
      <c r="AG10004" s="2">
        <f ca="1"/>
        <v>0.4857986841796631</v>
      </c>
      <c r="AH10004" s="2" t="str">
        <f ca="1"/>
        <v>Bad</v>
      </c>
    </row>
    <row r="10005" spans="2:34">
      <c r="B10005" s="2">
        <f ca="1"/>
        <v>0.75596302328409859</v>
      </c>
      <c r="AG10005" s="2">
        <f ca="1"/>
        <v>0.61892793191825923</v>
      </c>
      <c r="AH10005" s="2" t="str">
        <f ca="1"/>
        <v>Bad</v>
      </c>
    </row>
    <row r="10006" spans="2:34">
      <c r="B10006" s="2">
        <f ca="1"/>
        <v>0.75160491570245158</v>
      </c>
      <c r="AG10006" s="2">
        <f ca="1"/>
        <v>0.2260116375414325</v>
      </c>
      <c r="AH10006" s="2" t="str">
        <f ca="1"/>
        <v>OK</v>
      </c>
    </row>
    <row r="10007" spans="2:34">
      <c r="B10007" s="2">
        <f ca="1"/>
        <v>0.84420024846440644</v>
      </c>
      <c r="AG10007" s="2">
        <f ca="1"/>
        <v>0.31163116774485622</v>
      </c>
      <c r="AH10007" s="2" t="str">
        <f ca="1"/>
        <v>OK</v>
      </c>
    </row>
    <row r="10008" spans="2:34">
      <c r="B10008" s="2">
        <f ca="1"/>
        <v>7.008480678400919E-2</v>
      </c>
    </row>
    <row r="10009" spans="2:34">
      <c r="B10009" s="2">
        <f ca="1"/>
        <v>0.83534971535659164</v>
      </c>
    </row>
    <row r="10010" spans="2:34">
      <c r="B10010" s="2">
        <f ca="1"/>
        <v>0.93907446930504701</v>
      </c>
    </row>
    <row r="10011" spans="2:34">
      <c r="B10011" s="2">
        <f ca="1"/>
        <v>0.62405955550140813</v>
      </c>
    </row>
    <row r="10012" spans="2:34">
      <c r="B10012" s="2">
        <f ca="1"/>
        <v>0.71594323941542015</v>
      </c>
    </row>
    <row r="10013" spans="2:34">
      <c r="B10013" s="2">
        <f ca="1"/>
        <v>0.6819123604795283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tabSelected="1" workbookViewId="0">
      <selection activeCell="M4" sqref="M4:P4"/>
    </sheetView>
  </sheetViews>
  <sheetFormatPr defaultRowHeight="15.75"/>
  <cols>
    <col min="2" max="2" width="9.5" customWidth="1"/>
    <col min="13" max="13" width="13.625" bestFit="1" customWidth="1"/>
  </cols>
  <sheetData>
    <row r="1" spans="1:53">
      <c r="A1" s="103"/>
      <c r="B1" s="1"/>
      <c r="C1" s="1"/>
      <c r="D1" s="1"/>
      <c r="E1" s="1"/>
      <c r="F1" s="104"/>
      <c r="G1" s="103"/>
      <c r="H1" s="1"/>
      <c r="I1" s="1"/>
      <c r="J1" s="1"/>
      <c r="K1" s="1"/>
      <c r="L1" s="103"/>
      <c r="M1" s="1"/>
      <c r="N1" s="1"/>
      <c r="O1" s="1"/>
      <c r="P1" s="1"/>
      <c r="Q1" s="1"/>
      <c r="R1" s="1"/>
      <c r="S1" s="1"/>
      <c r="T1" s="1"/>
      <c r="U1" s="103"/>
      <c r="V1" s="1"/>
      <c r="W1" s="1"/>
      <c r="X1" s="1"/>
      <c r="Y1" s="1"/>
      <c r="Z1" s="1"/>
      <c r="AA1" s="104"/>
    </row>
    <row r="2" spans="1:53">
      <c r="A2" s="105"/>
      <c r="B2" s="12" t="s">
        <v>289</v>
      </c>
      <c r="F2" s="106"/>
      <c r="G2" s="105"/>
      <c r="H2" s="12" t="s">
        <v>298</v>
      </c>
      <c r="L2" s="105"/>
      <c r="M2" s="12" t="s">
        <v>301</v>
      </c>
      <c r="U2" s="105"/>
      <c r="V2" s="12" t="s">
        <v>306</v>
      </c>
      <c r="AA2" s="106"/>
      <c r="AC2" s="12" t="s">
        <v>309</v>
      </c>
    </row>
    <row r="3" spans="1:53">
      <c r="A3" s="105"/>
      <c r="F3" s="106"/>
      <c r="G3" s="105"/>
      <c r="L3" s="105"/>
      <c r="U3" s="105"/>
      <c r="AA3" s="106"/>
      <c r="AF3" s="118" t="s">
        <v>311</v>
      </c>
    </row>
    <row r="4" spans="1:53">
      <c r="A4" s="105"/>
      <c r="B4" t="str" cm="1">
        <f t="array" ref="B4:E8">lossratios</f>
        <v>Loss ratios</v>
      </c>
      <c r="C4" t="str">
        <v>NSW</v>
      </c>
      <c r="D4" t="str">
        <v>VIC</v>
      </c>
      <c r="E4" t="str">
        <v>ACT</v>
      </c>
      <c r="F4" s="106"/>
      <c r="G4" s="105"/>
      <c r="L4" s="105"/>
      <c r="M4" t="str" cm="1">
        <f t="array" ref="M4:P8">lossratios</f>
        <v>Loss ratios</v>
      </c>
      <c r="N4" t="str">
        <v>NSW</v>
      </c>
      <c r="O4" t="str">
        <v>VIC</v>
      </c>
      <c r="P4" t="str">
        <v>ACT</v>
      </c>
      <c r="U4" s="105"/>
      <c r="V4" t="str" cm="1">
        <f t="array" ref="V4:W16">monthly_profit</f>
        <v>Month</v>
      </c>
      <c r="W4" t="str">
        <v>Profit</v>
      </c>
      <c r="AA4" s="106"/>
      <c r="AC4" s="2" t="s">
        <v>310</v>
      </c>
      <c r="AD4" s="2"/>
      <c r="AE4" s="2"/>
      <c r="AF4" s="2"/>
      <c r="AG4" s="2"/>
      <c r="AH4" s="2"/>
      <c r="AI4" s="2"/>
      <c r="AJ4" s="2"/>
      <c r="AL4" t="s">
        <v>312</v>
      </c>
    </row>
    <row r="5" spans="1:53" s="114" customFormat="1" ht="23.25">
      <c r="A5" s="105"/>
      <c r="B5" t="str">
        <v>Motor</v>
      </c>
      <c r="C5">
        <v>0.92900000000000005</v>
      </c>
      <c r="D5">
        <v>0.76500000000000001</v>
      </c>
      <c r="E5">
        <v>0.94099999999999995</v>
      </c>
      <c r="F5" s="106"/>
      <c r="G5" s="105"/>
      <c r="H5" s="2" t="s">
        <v>299</v>
      </c>
      <c r="I5" s="2"/>
      <c r="J5" s="2"/>
      <c r="K5"/>
      <c r="L5" s="105"/>
      <c r="M5" t="str">
        <v>Motor</v>
      </c>
      <c r="N5">
        <v>0.92900000000000005</v>
      </c>
      <c r="O5">
        <v>0.76500000000000001</v>
      </c>
      <c r="P5">
        <v>0.94099999999999995</v>
      </c>
      <c r="U5" s="116"/>
      <c r="V5" t="str">
        <v>Jan</v>
      </c>
      <c r="W5">
        <v>624</v>
      </c>
      <c r="AA5" s="115"/>
      <c r="AB5"/>
      <c r="AC5" s="2"/>
      <c r="AD5" s="2"/>
      <c r="AE5" s="2"/>
      <c r="AF5" s="2"/>
      <c r="AG5" s="2"/>
      <c r="AH5" s="2"/>
      <c r="AI5" s="2"/>
      <c r="AJ5" s="2"/>
      <c r="AK5"/>
      <c r="AL5" s="2"/>
      <c r="AM5" s="2"/>
      <c r="AN5" s="2"/>
      <c r="AO5" s="2"/>
      <c r="AP5" s="2"/>
      <c r="AQ5" s="2"/>
      <c r="AR5" s="2"/>
      <c r="AS5"/>
      <c r="AT5"/>
      <c r="AU5"/>
      <c r="AV5"/>
      <c r="AW5"/>
      <c r="AX5"/>
      <c r="AY5"/>
      <c r="AZ5"/>
      <c r="BA5"/>
    </row>
    <row r="6" spans="1:53" ht="23.25">
      <c r="A6" s="105"/>
      <c r="B6" t="str">
        <v>Liability</v>
      </c>
      <c r="C6">
        <v>0.61199999999999999</v>
      </c>
      <c r="D6">
        <v>0.76100000000000001</v>
      </c>
      <c r="E6">
        <v>1.093</v>
      </c>
      <c r="F6" s="115"/>
      <c r="G6" s="116"/>
      <c r="H6" s="114"/>
      <c r="I6" s="114"/>
      <c r="J6" s="114"/>
      <c r="K6" s="114"/>
      <c r="L6" s="116"/>
      <c r="M6" t="str">
        <v>Liability</v>
      </c>
      <c r="N6">
        <v>0.61199999999999999</v>
      </c>
      <c r="O6">
        <v>0.76100000000000001</v>
      </c>
      <c r="P6">
        <v>1.093</v>
      </c>
      <c r="U6" s="105"/>
      <c r="V6" t="str">
        <v>Feb</v>
      </c>
      <c r="W6">
        <v>390</v>
      </c>
      <c r="AA6" s="106"/>
      <c r="AE6" s="2"/>
      <c r="AF6" s="2"/>
      <c r="AG6" s="2"/>
      <c r="AH6" s="2"/>
      <c r="AI6" s="2"/>
      <c r="AJ6" s="2"/>
      <c r="AN6" s="2"/>
      <c r="AO6" s="2"/>
      <c r="AP6" s="2"/>
      <c r="AQ6" s="2"/>
      <c r="AR6" s="2"/>
    </row>
    <row r="7" spans="1:53">
      <c r="A7" s="105"/>
      <c r="B7" t="str">
        <v>Life</v>
      </c>
      <c r="C7">
        <v>0.871</v>
      </c>
      <c r="D7">
        <v>0.92800000000000005</v>
      </c>
      <c r="E7">
        <v>0.65900000000000003</v>
      </c>
      <c r="F7" s="106"/>
      <c r="G7" s="105"/>
      <c r="L7" s="105"/>
      <c r="M7" t="str">
        <v>Life</v>
      </c>
      <c r="N7">
        <v>0.871</v>
      </c>
      <c r="O7">
        <v>0.92800000000000005</v>
      </c>
      <c r="P7">
        <v>0.65900000000000003</v>
      </c>
      <c r="U7" s="105"/>
      <c r="V7" t="str">
        <v>Mar</v>
      </c>
      <c r="W7">
        <v>1000</v>
      </c>
      <c r="AA7" s="106"/>
      <c r="AE7" s="2"/>
      <c r="AF7" s="2"/>
      <c r="AG7" s="2"/>
      <c r="AH7" s="2"/>
      <c r="AI7" s="2"/>
      <c r="AJ7" s="2"/>
      <c r="AN7" s="2"/>
      <c r="AO7" s="2"/>
      <c r="AP7" s="2"/>
      <c r="AQ7" s="2"/>
      <c r="AR7" s="2"/>
    </row>
    <row r="8" spans="1:53" ht="23.25">
      <c r="A8" s="105"/>
      <c r="B8" t="str">
        <v>Property</v>
      </c>
      <c r="C8">
        <v>1.0489999999999999</v>
      </c>
      <c r="D8">
        <v>0.67500000000000004</v>
      </c>
      <c r="E8">
        <v>0.96699999999999997</v>
      </c>
      <c r="F8" s="115"/>
      <c r="G8" s="116"/>
      <c r="H8" s="114"/>
      <c r="I8" s="114"/>
      <c r="J8" s="114"/>
      <c r="K8" s="114"/>
      <c r="L8" s="116"/>
      <c r="M8" t="str">
        <v>Property</v>
      </c>
      <c r="N8">
        <v>1.0489999999999999</v>
      </c>
      <c r="O8">
        <v>0.67500000000000004</v>
      </c>
      <c r="P8">
        <v>0.96699999999999997</v>
      </c>
      <c r="U8" s="105"/>
      <c r="V8" t="str">
        <v>Apr</v>
      </c>
      <c r="W8">
        <v>250</v>
      </c>
      <c r="AA8" s="106"/>
      <c r="AE8" s="2"/>
      <c r="AF8" s="2"/>
      <c r="AG8" s="2"/>
      <c r="AH8" s="2"/>
      <c r="AI8" s="2"/>
      <c r="AJ8" s="2"/>
      <c r="AN8" s="2"/>
      <c r="AO8" s="2"/>
      <c r="AP8" s="2"/>
      <c r="AQ8" s="2"/>
      <c r="AR8" s="2"/>
    </row>
    <row r="9" spans="1:53">
      <c r="A9" s="105"/>
      <c r="F9" s="106"/>
      <c r="G9" s="105"/>
      <c r="H9" s="2" t="s">
        <v>300</v>
      </c>
      <c r="I9" s="2"/>
      <c r="J9" s="2"/>
      <c r="L9" s="105"/>
      <c r="U9" s="105"/>
      <c r="V9" t="str">
        <v>May</v>
      </c>
      <c r="W9">
        <v>439</v>
      </c>
      <c r="AA9" s="106"/>
      <c r="AE9" s="2"/>
      <c r="AF9" s="2"/>
      <c r="AG9" s="2"/>
      <c r="AH9" s="2"/>
      <c r="AI9" s="2"/>
      <c r="AJ9" s="2"/>
      <c r="AN9" s="2"/>
      <c r="AO9" s="2"/>
      <c r="AP9" s="2"/>
      <c r="AQ9" s="2"/>
      <c r="AR9" s="2"/>
    </row>
    <row r="10" spans="1:53">
      <c r="A10" s="105"/>
      <c r="B10" s="2" t="s">
        <v>290</v>
      </c>
      <c r="C10" s="2"/>
      <c r="D10" s="2"/>
      <c r="E10" s="2"/>
      <c r="F10" s="106"/>
      <c r="G10" s="105"/>
      <c r="L10" s="105"/>
      <c r="M10" s="2" t="s">
        <v>302</v>
      </c>
      <c r="N10" s="2"/>
      <c r="O10" s="2"/>
      <c r="P10" s="2"/>
      <c r="Q10" s="2"/>
      <c r="R10" s="2"/>
      <c r="S10" s="2"/>
      <c r="U10" s="105"/>
      <c r="V10" t="str">
        <v>Jun</v>
      </c>
      <c r="W10">
        <v>109</v>
      </c>
      <c r="AA10" s="106"/>
      <c r="AE10" s="2"/>
      <c r="AF10" s="2"/>
      <c r="AG10" s="2"/>
      <c r="AH10" s="2"/>
      <c r="AI10" s="2"/>
      <c r="AJ10" s="2"/>
      <c r="AN10" s="2"/>
      <c r="AO10" s="2"/>
      <c r="AP10" s="2"/>
      <c r="AQ10" s="2"/>
      <c r="AR10" s="2"/>
    </row>
    <row r="11" spans="1:53">
      <c r="A11" s="107"/>
      <c r="B11" s="66"/>
      <c r="C11" s="66"/>
      <c r="D11" s="66"/>
      <c r="E11" s="66"/>
      <c r="F11" s="108"/>
      <c r="G11" s="107"/>
      <c r="H11" s="66"/>
      <c r="I11" s="66"/>
      <c r="J11" s="66"/>
      <c r="K11" s="66"/>
      <c r="L11" s="105"/>
      <c r="M11" s="2" t="s">
        <v>303</v>
      </c>
      <c r="N11" s="2"/>
      <c r="O11" s="2"/>
      <c r="P11" s="2"/>
      <c r="Q11" s="2"/>
      <c r="R11" s="2"/>
      <c r="S11" s="2"/>
      <c r="U11" s="105"/>
      <c r="V11" t="str">
        <v>Jul</v>
      </c>
      <c r="W11">
        <v>530</v>
      </c>
      <c r="AA11" s="106"/>
      <c r="AE11" s="2"/>
      <c r="AF11" s="2"/>
      <c r="AG11" s="2"/>
      <c r="AH11" s="2"/>
      <c r="AI11" s="2"/>
      <c r="AJ11" s="2"/>
      <c r="AN11" s="2"/>
      <c r="AO11" s="2"/>
      <c r="AP11" s="2"/>
      <c r="AQ11" s="2"/>
      <c r="AR11" s="2"/>
    </row>
    <row r="12" spans="1:53">
      <c r="L12" s="105"/>
      <c r="M12" s="2"/>
      <c r="N12" s="2"/>
      <c r="O12" s="2"/>
      <c r="P12" s="2"/>
      <c r="Q12" s="2"/>
      <c r="R12" s="2"/>
      <c r="S12" s="2"/>
      <c r="U12" s="105"/>
      <c r="V12" t="str">
        <v>Aug</v>
      </c>
      <c r="W12">
        <v>123</v>
      </c>
      <c r="AA12" s="106"/>
      <c r="AE12" s="2"/>
      <c r="AF12" s="2"/>
      <c r="AG12" s="2"/>
      <c r="AH12" s="2"/>
      <c r="AI12" s="2"/>
      <c r="AJ12" s="2"/>
      <c r="AN12" s="2"/>
      <c r="AO12" s="2"/>
      <c r="AP12" s="2"/>
      <c r="AQ12" s="2"/>
      <c r="AR12" s="2"/>
    </row>
    <row r="13" spans="1:53">
      <c r="A13" s="103"/>
      <c r="B13" s="113" t="s">
        <v>291</v>
      </c>
      <c r="C13" s="1"/>
      <c r="D13" s="1"/>
      <c r="E13" s="1"/>
      <c r="F13" s="1"/>
      <c r="G13" s="1"/>
      <c r="H13" s="1"/>
      <c r="I13" s="1"/>
      <c r="J13" s="1"/>
      <c r="K13" s="1"/>
      <c r="L13" s="105"/>
      <c r="M13" s="2"/>
      <c r="N13" s="2"/>
      <c r="O13" s="2"/>
      <c r="P13" s="2"/>
      <c r="Q13" s="2"/>
      <c r="R13" s="2"/>
      <c r="S13" s="2"/>
      <c r="U13" s="105"/>
      <c r="V13" t="str">
        <v>Sep</v>
      </c>
      <c r="W13">
        <v>5345</v>
      </c>
      <c r="AA13" s="106"/>
      <c r="AE13" s="2"/>
      <c r="AF13" s="2"/>
      <c r="AG13" s="2"/>
      <c r="AH13" s="2"/>
      <c r="AI13" s="2"/>
      <c r="AJ13" s="2"/>
      <c r="AN13" s="2"/>
      <c r="AO13" s="2"/>
      <c r="AP13" s="2"/>
      <c r="AQ13" s="2"/>
      <c r="AR13" s="2"/>
    </row>
    <row r="14" spans="1:53">
      <c r="A14" s="105"/>
      <c r="L14" s="105"/>
      <c r="U14" s="105"/>
      <c r="V14" t="str">
        <v>Oct</v>
      </c>
      <c r="W14">
        <v>312</v>
      </c>
      <c r="AA14" s="106"/>
      <c r="AE14" s="2"/>
      <c r="AF14" s="2"/>
      <c r="AG14" s="2"/>
      <c r="AH14" s="2"/>
      <c r="AI14" s="2"/>
      <c r="AJ14" s="2"/>
      <c r="AN14" s="2"/>
      <c r="AO14" s="2"/>
      <c r="AP14" s="2"/>
      <c r="AQ14" s="2"/>
      <c r="AR14" s="2"/>
    </row>
    <row r="15" spans="1:53" ht="23.25">
      <c r="A15" s="105"/>
      <c r="B15" t="str" cm="1">
        <f t="array" ref="B15:C27">monthly_profit</f>
        <v>Month</v>
      </c>
      <c r="C15" t="str">
        <v>Profit</v>
      </c>
      <c r="E15" t="s">
        <v>305</v>
      </c>
      <c r="K15" s="115"/>
      <c r="L15" s="116"/>
      <c r="M15" s="117" t="s">
        <v>304</v>
      </c>
      <c r="N15" s="2"/>
      <c r="O15" s="2"/>
      <c r="P15" s="2"/>
      <c r="Q15" s="2"/>
      <c r="R15" s="2"/>
      <c r="S15" s="2"/>
      <c r="U15" s="105"/>
      <c r="V15" t="str">
        <v>Nov</v>
      </c>
      <c r="W15">
        <v>98</v>
      </c>
      <c r="AA15" s="106"/>
      <c r="AE15" s="2"/>
      <c r="AF15" s="2"/>
      <c r="AG15" s="2"/>
      <c r="AH15" s="2"/>
      <c r="AI15" s="2"/>
      <c r="AJ15" s="2"/>
      <c r="AN15" s="2"/>
      <c r="AO15" s="2"/>
      <c r="AP15" s="2"/>
      <c r="AQ15" s="2"/>
      <c r="AR15" s="2"/>
    </row>
    <row r="16" spans="1:53">
      <c r="A16" s="105"/>
      <c r="B16" t="str">
        <v>Jan</v>
      </c>
      <c r="C16">
        <v>624</v>
      </c>
      <c r="K16" s="106"/>
      <c r="L16" s="105"/>
      <c r="M16" s="2"/>
      <c r="N16" s="2"/>
      <c r="O16" s="2"/>
      <c r="P16" s="2"/>
      <c r="Q16" s="2"/>
      <c r="R16" s="2"/>
      <c r="S16" s="2"/>
      <c r="U16" s="105"/>
      <c r="V16" t="str">
        <v>Dec</v>
      </c>
      <c r="W16">
        <v>672</v>
      </c>
      <c r="AA16" s="106"/>
      <c r="AN16" s="2"/>
      <c r="AO16" s="2"/>
      <c r="AP16" s="2"/>
      <c r="AQ16" s="2"/>
      <c r="AR16" s="2"/>
    </row>
    <row r="17" spans="1:44" ht="23.25">
      <c r="A17" s="116"/>
      <c r="B17" t="str">
        <v>Feb</v>
      </c>
      <c r="C17">
        <v>390</v>
      </c>
      <c r="K17" s="106"/>
      <c r="L17" s="105"/>
      <c r="M17" s="2"/>
      <c r="N17" s="2"/>
      <c r="O17" s="2"/>
      <c r="P17" s="2"/>
      <c r="Q17" s="2"/>
      <c r="R17" s="2"/>
      <c r="S17" s="2"/>
      <c r="U17" s="105"/>
      <c r="AA17" s="106"/>
      <c r="AN17" s="2"/>
      <c r="AO17" s="2"/>
      <c r="AP17" s="2"/>
      <c r="AQ17" s="2"/>
      <c r="AR17" s="2"/>
    </row>
    <row r="18" spans="1:44" s="114" customFormat="1" ht="23.25">
      <c r="A18" s="105"/>
      <c r="B18" t="str">
        <v>Mar</v>
      </c>
      <c r="C18">
        <v>1000</v>
      </c>
      <c r="D18"/>
      <c r="E18"/>
      <c r="F18"/>
      <c r="G18"/>
      <c r="H18"/>
      <c r="I18"/>
      <c r="J18"/>
      <c r="K18" s="115"/>
      <c r="L18" s="116"/>
      <c r="M18" s="117"/>
      <c r="N18" s="117"/>
      <c r="O18" s="117"/>
      <c r="P18" s="117"/>
      <c r="Q18" s="117"/>
      <c r="R18" s="117"/>
      <c r="S18" s="117"/>
      <c r="U18" s="116"/>
      <c r="V18" s="2" t="s">
        <v>307</v>
      </c>
      <c r="W18" s="2"/>
      <c r="X18" s="2"/>
      <c r="Y18" s="2"/>
      <c r="Z18" s="2"/>
      <c r="AA18" s="115"/>
      <c r="AB18"/>
      <c r="AC18"/>
      <c r="AL18"/>
      <c r="AN18" s="117"/>
      <c r="AO18" s="117"/>
      <c r="AP18" s="117"/>
      <c r="AQ18" s="117"/>
      <c r="AR18" s="117"/>
    </row>
    <row r="19" spans="1:44">
      <c r="A19" s="105"/>
      <c r="B19" t="str">
        <v>Apr</v>
      </c>
      <c r="C19">
        <v>250</v>
      </c>
      <c r="K19" s="106"/>
      <c r="L19" s="105"/>
      <c r="M19" s="2"/>
      <c r="N19" s="2"/>
      <c r="O19" s="2"/>
      <c r="P19" s="2"/>
      <c r="Q19" s="2"/>
      <c r="R19" s="2"/>
      <c r="S19" s="2"/>
      <c r="U19" s="105"/>
      <c r="V19" s="2" t="s">
        <v>308</v>
      </c>
      <c r="W19" s="2"/>
      <c r="X19" s="2"/>
      <c r="Y19" s="2"/>
      <c r="Z19" s="2"/>
      <c r="AA19" s="106"/>
    </row>
    <row r="20" spans="1:44">
      <c r="A20" s="105"/>
      <c r="B20" t="str">
        <v>May</v>
      </c>
      <c r="C20">
        <v>439</v>
      </c>
      <c r="K20" s="106"/>
      <c r="L20" s="105"/>
      <c r="M20" s="2"/>
      <c r="N20" s="2"/>
      <c r="O20" s="2"/>
      <c r="P20" s="2"/>
      <c r="Q20" s="2"/>
      <c r="R20" s="2"/>
      <c r="S20" s="2"/>
      <c r="U20" s="105"/>
      <c r="V20" s="2"/>
      <c r="W20" s="2"/>
      <c r="X20" s="2"/>
      <c r="Y20" s="2"/>
      <c r="Z20" s="2"/>
      <c r="AA20" s="106"/>
    </row>
    <row r="21" spans="1:44">
      <c r="A21" s="105"/>
      <c r="B21" t="str">
        <v>Jun</v>
      </c>
      <c r="C21">
        <v>109</v>
      </c>
      <c r="K21" s="106"/>
      <c r="L21" s="105"/>
      <c r="M21" s="2"/>
      <c r="N21" s="2"/>
      <c r="O21" s="2"/>
      <c r="P21" s="2"/>
      <c r="Q21" s="2"/>
      <c r="R21" s="2"/>
      <c r="S21" s="2"/>
      <c r="U21" s="105"/>
      <c r="V21" s="2"/>
      <c r="W21" s="2"/>
      <c r="X21" s="2"/>
      <c r="Y21" s="2"/>
      <c r="Z21" s="2"/>
      <c r="AA21" s="106"/>
    </row>
    <row r="22" spans="1:44">
      <c r="A22" s="105"/>
      <c r="B22" t="str">
        <v>Jul</v>
      </c>
      <c r="C22">
        <v>530</v>
      </c>
      <c r="K22" s="106"/>
      <c r="L22" s="105"/>
      <c r="M22" s="2"/>
      <c r="N22" s="2"/>
      <c r="O22" s="2"/>
      <c r="P22" s="2"/>
      <c r="Q22" s="2"/>
      <c r="R22" s="2"/>
      <c r="S22" s="2"/>
      <c r="U22" s="105"/>
      <c r="V22" s="2"/>
      <c r="W22" s="2"/>
      <c r="X22" s="2"/>
      <c r="Y22" s="2"/>
      <c r="Z22" s="2"/>
      <c r="AA22" s="106"/>
    </row>
    <row r="23" spans="1:44">
      <c r="A23" s="105"/>
      <c r="B23" t="str">
        <v>Aug</v>
      </c>
      <c r="C23">
        <v>123</v>
      </c>
      <c r="K23" s="106"/>
      <c r="L23" s="105"/>
      <c r="M23" s="2"/>
      <c r="N23" s="2"/>
      <c r="O23" s="2"/>
      <c r="P23" s="2"/>
      <c r="Q23" s="2"/>
      <c r="R23" s="2"/>
      <c r="S23" s="2"/>
      <c r="U23" s="105"/>
      <c r="V23" s="2"/>
      <c r="W23" s="2"/>
      <c r="X23" s="2"/>
      <c r="Y23" s="2"/>
      <c r="Z23" s="2"/>
      <c r="AA23" s="106"/>
    </row>
    <row r="24" spans="1:44">
      <c r="A24" s="105"/>
      <c r="B24" t="str">
        <v>Sep</v>
      </c>
      <c r="C24">
        <v>5345</v>
      </c>
      <c r="K24" s="106"/>
      <c r="L24" s="105"/>
      <c r="M24" s="2"/>
      <c r="N24" s="2"/>
      <c r="O24" s="2"/>
      <c r="P24" s="2"/>
      <c r="Q24" s="2"/>
      <c r="R24" s="2"/>
      <c r="S24" s="2"/>
      <c r="U24" s="105"/>
      <c r="V24" s="2"/>
      <c r="W24" s="2"/>
      <c r="X24" s="2"/>
      <c r="Y24" s="2"/>
      <c r="Z24" s="2"/>
      <c r="AA24" s="106"/>
    </row>
    <row r="25" spans="1:44">
      <c r="A25" s="105"/>
      <c r="B25" t="str">
        <v>Oct</v>
      </c>
      <c r="C25">
        <v>312</v>
      </c>
      <c r="K25" s="106"/>
      <c r="L25" s="105"/>
      <c r="M25" s="2"/>
      <c r="N25" s="2"/>
      <c r="O25" s="2"/>
      <c r="P25" s="2"/>
      <c r="Q25" s="2"/>
      <c r="R25" s="2"/>
      <c r="S25" s="2"/>
      <c r="U25" s="105"/>
      <c r="V25" s="2"/>
      <c r="W25" s="2"/>
      <c r="X25" s="2"/>
      <c r="Y25" s="2"/>
      <c r="Z25" s="2"/>
      <c r="AA25" s="106"/>
    </row>
    <row r="26" spans="1:44">
      <c r="A26" s="105"/>
      <c r="B26" t="str">
        <v>Nov</v>
      </c>
      <c r="C26">
        <v>98</v>
      </c>
      <c r="K26" s="106"/>
      <c r="L26" s="107"/>
      <c r="M26" s="66"/>
      <c r="N26" s="66"/>
      <c r="O26" s="66"/>
      <c r="P26" s="66"/>
      <c r="Q26" s="66"/>
      <c r="R26" s="66"/>
      <c r="S26" s="66"/>
      <c r="T26" s="66"/>
      <c r="U26" s="105"/>
      <c r="V26" s="2"/>
      <c r="W26" s="2"/>
      <c r="X26" s="2"/>
      <c r="Y26" s="2"/>
      <c r="Z26" s="2"/>
      <c r="AA26" s="106"/>
    </row>
    <row r="27" spans="1:44">
      <c r="A27" s="105"/>
      <c r="B27" t="str">
        <v>Dec</v>
      </c>
      <c r="C27">
        <v>672</v>
      </c>
      <c r="K27" s="106"/>
      <c r="U27" s="105"/>
      <c r="V27" s="2"/>
      <c r="W27" s="2"/>
      <c r="X27" s="2"/>
      <c r="Y27" s="2"/>
      <c r="Z27" s="2"/>
      <c r="AA27" s="106"/>
    </row>
    <row r="28" spans="1:44">
      <c r="A28" s="105"/>
      <c r="C28" s="109"/>
      <c r="D28" s="110"/>
      <c r="K28" s="106"/>
      <c r="U28" s="105"/>
      <c r="V28" s="2"/>
      <c r="W28" s="2"/>
      <c r="X28" s="2"/>
      <c r="Y28" s="2"/>
      <c r="Z28" s="2"/>
      <c r="AA28" s="106"/>
    </row>
    <row r="29" spans="1:44">
      <c r="A29" s="105"/>
      <c r="B29" s="2" t="s">
        <v>292</v>
      </c>
      <c r="C29" s="111"/>
      <c r="D29" s="112"/>
      <c r="E29" s="2"/>
      <c r="F29" s="2"/>
      <c r="G29" s="2"/>
      <c r="H29" s="2"/>
      <c r="I29" s="2"/>
      <c r="J29" s="2"/>
      <c r="K29" s="106"/>
      <c r="U29" s="105"/>
      <c r="V29" s="2"/>
      <c r="W29" s="2"/>
      <c r="X29" s="2"/>
      <c r="Y29" s="2"/>
      <c r="Z29" s="2"/>
      <c r="AA29" s="106"/>
    </row>
    <row r="30" spans="1:44">
      <c r="A30" s="105"/>
      <c r="B30" s="2"/>
      <c r="C30" s="2"/>
      <c r="D30" s="2"/>
      <c r="E30" s="2"/>
      <c r="F30" s="2"/>
      <c r="G30" s="2"/>
      <c r="H30" s="2"/>
      <c r="I30" s="2"/>
      <c r="J30" s="2"/>
      <c r="K30" s="106"/>
      <c r="U30" s="105"/>
      <c r="V30" s="2"/>
      <c r="W30" s="2"/>
      <c r="X30" s="2"/>
      <c r="Y30" s="2"/>
      <c r="Z30" s="2"/>
      <c r="AA30" s="106"/>
    </row>
    <row r="31" spans="1:44">
      <c r="A31" s="105"/>
      <c r="B31" s="2" t="s">
        <v>293</v>
      </c>
      <c r="C31" s="2"/>
      <c r="D31" s="2"/>
      <c r="E31" s="2"/>
      <c r="F31" s="2"/>
      <c r="G31" s="2"/>
      <c r="H31" s="2"/>
      <c r="I31" s="2"/>
      <c r="J31" s="2"/>
      <c r="K31" s="106"/>
      <c r="U31" s="105"/>
      <c r="V31" s="2"/>
      <c r="W31" s="2"/>
      <c r="X31" s="2"/>
      <c r="Y31" s="2"/>
      <c r="Z31" s="2"/>
      <c r="AA31" s="106"/>
    </row>
    <row r="32" spans="1:44">
      <c r="A32" s="105"/>
      <c r="B32" s="2" t="s">
        <v>294</v>
      </c>
      <c r="C32" s="2"/>
      <c r="D32" s="2"/>
      <c r="E32" s="2"/>
      <c r="F32" s="2"/>
      <c r="G32" s="2"/>
      <c r="H32" s="2"/>
      <c r="I32" s="2"/>
      <c r="J32" s="2"/>
      <c r="K32" s="106"/>
      <c r="U32" s="105"/>
      <c r="AA32" s="106"/>
    </row>
    <row r="33" spans="1:27">
      <c r="A33" s="105"/>
      <c r="B33" s="2"/>
      <c r="C33" s="2"/>
      <c r="D33" s="2"/>
      <c r="E33" s="2"/>
      <c r="F33" s="2"/>
      <c r="G33" s="2"/>
      <c r="H33" s="2"/>
      <c r="I33" s="2"/>
      <c r="J33" s="2"/>
      <c r="K33" s="106"/>
      <c r="U33" s="107"/>
      <c r="V33" s="66"/>
      <c r="W33" s="66"/>
      <c r="X33" s="66"/>
      <c r="Y33" s="66"/>
      <c r="Z33" s="66"/>
      <c r="AA33" s="108"/>
    </row>
    <row r="34" spans="1:27">
      <c r="A34" s="105"/>
      <c r="B34" s="2" t="s">
        <v>295</v>
      </c>
      <c r="C34" s="2"/>
      <c r="D34" s="2"/>
      <c r="E34" s="2"/>
      <c r="F34" s="2"/>
      <c r="G34" s="2"/>
      <c r="H34" s="2"/>
      <c r="I34" s="2"/>
      <c r="J34" s="2"/>
      <c r="K34" s="106"/>
    </row>
    <row r="35" spans="1:27">
      <c r="A35" s="105"/>
      <c r="B35" s="2" t="s">
        <v>296</v>
      </c>
      <c r="C35" s="2"/>
      <c r="D35" s="2"/>
      <c r="E35" s="2"/>
      <c r="F35" s="2"/>
      <c r="G35" s="2"/>
      <c r="H35" s="2"/>
      <c r="I35" s="2"/>
      <c r="J35" s="2"/>
      <c r="K35" s="106"/>
    </row>
    <row r="36" spans="1:27">
      <c r="A36" s="105"/>
      <c r="B36" s="2"/>
      <c r="C36" s="2"/>
      <c r="D36" s="2"/>
      <c r="E36" s="2"/>
      <c r="F36" s="2"/>
      <c r="G36" s="2"/>
      <c r="H36" s="2"/>
      <c r="I36" s="2"/>
      <c r="J36" s="2"/>
      <c r="K36" s="106"/>
    </row>
    <row r="37" spans="1:27">
      <c r="A37" s="105"/>
      <c r="B37" s="2" t="s">
        <v>297</v>
      </c>
      <c r="C37" s="2"/>
      <c r="D37" s="2"/>
      <c r="E37" s="2"/>
      <c r="F37" s="2"/>
      <c r="G37" s="2"/>
      <c r="H37" s="2"/>
      <c r="I37" s="2"/>
      <c r="J37" s="2"/>
      <c r="K37" s="106"/>
    </row>
    <row r="38" spans="1:27">
      <c r="A38" s="107"/>
      <c r="B38" s="66"/>
      <c r="C38" s="66"/>
      <c r="D38" s="66"/>
      <c r="E38" s="66"/>
      <c r="F38" s="66"/>
      <c r="G38" s="66"/>
      <c r="H38" s="66"/>
      <c r="I38" s="66"/>
      <c r="J38" s="66"/>
      <c r="K38" s="10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57150</xdr:rowOff>
                  </from>
                  <to>
                    <xdr:col>9</xdr:col>
                    <xdr:colOff>276225</xdr:colOff>
                    <xdr:row>3</xdr:row>
                    <xdr:rowOff>104775</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47625</xdr:rowOff>
                  </from>
                  <to>
                    <xdr:col>16</xdr:col>
                    <xdr:colOff>409575</xdr:colOff>
                    <xdr:row>12</xdr:row>
                    <xdr:rowOff>95250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314325</xdr:colOff>
                    <xdr:row>12</xdr:row>
                    <xdr:rowOff>142875</xdr:rowOff>
                  </from>
                  <to>
                    <xdr:col>10</xdr:col>
                    <xdr:colOff>514350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171450</xdr:rowOff>
                  </from>
                  <to>
                    <xdr:col>24</xdr:col>
                    <xdr:colOff>590550</xdr:colOff>
                    <xdr:row>15</xdr:row>
                    <xdr:rowOff>123825</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28575</xdr:colOff>
                    <xdr:row>16</xdr:row>
                    <xdr:rowOff>19050</xdr:rowOff>
                  </from>
                  <to>
                    <xdr:col>7</xdr:col>
                    <xdr:colOff>600075</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657225</xdr:colOff>
                    <xdr:row>14</xdr:row>
                    <xdr:rowOff>76200</xdr:rowOff>
                  </from>
                  <to>
                    <xdr:col>7</xdr:col>
                    <xdr:colOff>676275</xdr:colOff>
                    <xdr:row>15</xdr:row>
                    <xdr:rowOff>28575</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47625</xdr:colOff>
                    <xdr:row>4</xdr:row>
                    <xdr:rowOff>19050</xdr:rowOff>
                  </from>
                  <to>
                    <xdr:col>29</xdr:col>
                    <xdr:colOff>523875</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19050</xdr:rowOff>
                  </from>
                  <to>
                    <xdr:col>39</xdr:col>
                    <xdr:colOff>295275</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Ho Ming Lee</cp:lastModifiedBy>
  <cp:revision/>
  <dcterms:created xsi:type="dcterms:W3CDTF">2023-08-17T06:53:41Z</dcterms:created>
  <dcterms:modified xsi:type="dcterms:W3CDTF">2024-07-18T01:42:50Z</dcterms:modified>
  <cp:category/>
  <cp:contentStatus/>
</cp:coreProperties>
</file>